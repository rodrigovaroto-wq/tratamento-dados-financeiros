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riapartners.sharepoint.com/sites/publico/Shared Documents/Oria/Oria/"/>
    </mc:Choice>
  </mc:AlternateContent>
  <xr:revisionPtr revIDLastSave="0" documentId="8_{0561880E-9A73-4EFB-AACB-C4930F81E94A}" xr6:coauthVersionLast="47" xr6:coauthVersionMax="47" xr10:uidLastSave="{00000000-0000-0000-0000-000000000000}"/>
  <bookViews>
    <workbookView minimized="1" xWindow="7755" yWindow="3720" windowWidth="17280" windowHeight="8880" tabRatio="841" activeTab="2" xr2:uid="{00000000-000D-0000-FFFF-FFFF00000000}"/>
  </bookViews>
  <sheets>
    <sheet name="Considerações" sheetId="25" r:id="rId1"/>
    <sheet name="Capa" sheetId="34" r:id="rId2"/>
    <sheet name="Output" sheetId="16" r:id="rId3"/>
    <sheet name="Revenues, COGS &amp; SG&amp;A" sheetId="2" r:id="rId4"/>
    <sheet name="Premissas" sheetId="50" r:id="rId5"/>
    <sheet name="Income Statement" sheetId="7" r:id="rId6"/>
    <sheet name="Balance Sheet" sheetId="8" r:id="rId7"/>
    <sheet name="Working Capital" sheetId="12" r:id="rId8"/>
    <sheet name="ST Inv. &amp; Debt" sheetId="22" r:id="rId9"/>
    <sheet name="Fixed Assets &amp; CAPEX" sheetId="11" r:id="rId10"/>
    <sheet name="Cash Flow" sheetId="6" r:id="rId11"/>
    <sheet name="Goodwill, Taxes &amp; Div." sheetId="15" r:id="rId12"/>
    <sheet name="Anual" sheetId="20" r:id="rId13"/>
    <sheet name="Tributos a Recolher" sheetId="52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>#REF!</definedName>
    <definedName name="\b">#REF!</definedName>
    <definedName name="\g">#REF!</definedName>
    <definedName name="\p">#REF!</definedName>
    <definedName name="__123Graph_A" localSheetId="12" hidden="1">[1]Resumen!$B$210:$B$215</definedName>
    <definedName name="__123Graph_A" localSheetId="2">'[2]#REF'!$E$11:$L$11</definedName>
    <definedName name="__123Graph_A">'[3]#REF'!$E$11:$L$11</definedName>
    <definedName name="__123Graph_AMAKIKO" hidden="1">[1]Resumen!$B$210:$B$215</definedName>
    <definedName name="__123Graph_AMAKIKO2" hidden="1">[1]Resumen!$B$210:$B$215</definedName>
    <definedName name="__123Graph_B" localSheetId="12" hidden="1">[1]Resumen!$D$210:$D$215</definedName>
    <definedName name="__123Graph_B" localSheetId="2">'[2]#REF'!$E$12:$L$12</definedName>
    <definedName name="__123Graph_B">'[3]#REF'!$E$12:$L$12</definedName>
    <definedName name="__123Graph_BMAKIKO" hidden="1">[1]Resumen!$D$210:$D$215</definedName>
    <definedName name="__123Graph_BMAKIKO2" hidden="1">[1]Resumen!$D$210:$D$215</definedName>
    <definedName name="__123Graph_C" localSheetId="12" hidden="1">[1]Resumen!$F$211:$F$215</definedName>
    <definedName name="__123Graph_C" localSheetId="2">'[2]#REF'!$E$10:$L$10</definedName>
    <definedName name="__123Graph_C">'[3]#REF'!$E$10:$L$10</definedName>
    <definedName name="__123Graph_CMAKIKO" hidden="1">[1]Resumen!$F$211:$F$215</definedName>
    <definedName name="__123Graph_CMAKIKO2" hidden="1">[1]Resumen!$F$211:$F$215</definedName>
    <definedName name="__123Graph_D" hidden="1">[1]Resumen!$G$211:$G$215</definedName>
    <definedName name="__123Graph_DMAKIKO" hidden="1">[1]Resumen!$G$211:$G$215</definedName>
    <definedName name="__123Graph_DMAKIKO2" hidden="1">[1]Resumen!$G$211:$G$215</definedName>
    <definedName name="__123Graph_E" hidden="1">[1]Resumen!$H$216:$H$218</definedName>
    <definedName name="__123Graph_EMAKIKO" hidden="1">[1]Resumen!$H$216:$H$218</definedName>
    <definedName name="__123Graph_EMAKIKO2" hidden="1">[1]Resumen!$H$216:$H$218</definedName>
    <definedName name="__123Graph_X" localSheetId="12" hidden="1">[1]Resumen!$A$210:$A$215</definedName>
    <definedName name="__123Graph_X" localSheetId="2">'[2]#REF'!$E$8:$L$8</definedName>
    <definedName name="__123Graph_X">'[3]#REF'!$E$8:$L$8</definedName>
    <definedName name="__123Graph_XMAKIKO" hidden="1">[1]Resumen!$A$210:$A$215</definedName>
    <definedName name="__123Graph_XMAKIKO2" hidden="1">[1]Resumen!$A$210:$A$215</definedName>
    <definedName name="__FDS_HYPERLINK_TOGGLE_STATE__" hidden="1">"ON"</definedName>
    <definedName name="_1__123Graph_ACHART_1" hidden="1">[4]synthgraph!#REF!</definedName>
    <definedName name="_1_0_S" hidden="1">#REF!</definedName>
    <definedName name="_123" localSheetId="12">#REF!</definedName>
    <definedName name="_123" localSheetId="2">#REF!</definedName>
    <definedName name="_123">#REF!</definedName>
    <definedName name="_2__123Graph_ACHART_3" hidden="1">#REF!</definedName>
    <definedName name="_2_0_S" localSheetId="2" hidden="1">#REF!</definedName>
    <definedName name="_2IMPORT_RANGE">'[5]#REF'!$A$2:$K$34</definedName>
    <definedName name="_3__123Graph_BCHART_1" hidden="1">[4]synthgraph!#REF!</definedName>
    <definedName name="_3_0_S" hidden="1">#REF!</definedName>
    <definedName name="_4__123Graph_BCHART_3" hidden="1">#REF!</definedName>
    <definedName name="_5__123Graph_DCHART_1" hidden="1">[4]synthgraph!#REF!</definedName>
    <definedName name="_5IMPORT_RANGE" localSheetId="2">'[2]#REF'!$A$2:$K$34</definedName>
    <definedName name="_6__123Graph_LBL_ACHART_1" hidden="1">[4]synthgraph!#REF!</definedName>
    <definedName name="_6IMPORT_RANGE">'[3]#REF'!$A$2:$K$34</definedName>
    <definedName name="_7__123Graph_LBL_ACHART_3" hidden="1">#REF!</definedName>
    <definedName name="_8__123Graph_LBL_DCHART_1" hidden="1">[4]synthgraph!#REF!</definedName>
    <definedName name="_DRE0700" localSheetId="12" hidden="1">{"'PXR_6500'!$A$1:$I$124"}</definedName>
    <definedName name="_DRE0700" localSheetId="11" hidden="1">{"'PXR_6500'!$A$1:$I$124"}</definedName>
    <definedName name="_DRE0700" localSheetId="2" hidden="1">{"'PXR_6500'!$A$1:$I$124"}</definedName>
    <definedName name="_DRE0700" localSheetId="8" hidden="1">{"'PXR_6500'!$A$1:$I$124"}</definedName>
    <definedName name="_DRE0700" hidden="1">{"'PXR_6500'!$A$1:$I$124"}</definedName>
    <definedName name="_g7" localSheetId="8" hidden="1">{#N/A,#N/A,FALSE,"model"}</definedName>
    <definedName name="_g7" hidden="1">{#N/A,#N/A,FALSE,"model"}</definedName>
    <definedName name="_go8" localSheetId="8" hidden="1">{#N/A,#N/A,FALSE,"model"}</definedName>
    <definedName name="_go8" hidden="1">{#N/A,#N/A,FALSE,"model"}</definedName>
    <definedName name="_Key1" localSheetId="12" hidden="1">#REF!</definedName>
    <definedName name="_Key1" hidden="1">#REF!</definedName>
    <definedName name="_Key2" localSheetId="12" hidden="1">#REF!</definedName>
    <definedName name="_Key2" localSheetId="2" hidden="1">#REF!</definedName>
    <definedName name="_Key2" hidden="1">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oyg8" localSheetId="8" hidden="1">{#N/A,#N/A,FALSE,"RESUMEN";#N/A,#N/A,FALSE,"PARQ_C";#N/A,#N/A,FALSE,"PARQ_P";#N/A,#N/A,FALSE,"MIN_S_C";#N/A,#N/A,FALSE,"MIN_S_P";#N/A,#N/A,FALSE,"MIN_E_M_M";#N/A,#N/A,FALSE,"MIN_E_FIJA";#N/A,#N/A,FALSE,"SUPUESTOS"}</definedName>
    <definedName name="_oyg8" hidden="1">{#N/A,#N/A,FALSE,"RESUMEN";#N/A,#N/A,FALSE,"PARQ_C";#N/A,#N/A,FALSE,"PARQ_P";#N/A,#N/A,FALSE,"MIN_S_C";#N/A,#N/A,FALSE,"MIN_S_P";#N/A,#N/A,FALSE,"MIN_E_M_M";#N/A,#N/A,FALSE,"MIN_E_FIJA";#N/A,#N/A,FALSE,"SUPUESTOS"}</definedName>
    <definedName name="_PS1" localSheetId="12">'[5]#REF'!$A$1:$X$45</definedName>
    <definedName name="_PS1" localSheetId="2">'[2]#REF'!$A$1:$X$45</definedName>
    <definedName name="_PS1">'[3]#REF'!$A$1:$X$45</definedName>
    <definedName name="_PS10" localSheetId="12">'[5]#REF'!$A$1:$Q$63</definedName>
    <definedName name="_PS10" localSheetId="2">'[2]#REF'!$A$1:$Q$63</definedName>
    <definedName name="_PS10">'[3]#REF'!$A$1:$Q$63</definedName>
    <definedName name="_PS11" localSheetId="12">'[5]#REF'!$A$1:$X$64</definedName>
    <definedName name="_PS11" localSheetId="2">'[2]#REF'!$A$1:$X$64</definedName>
    <definedName name="_PS11">'[3]#REF'!$A$1:$X$64</definedName>
    <definedName name="_PS12" localSheetId="12">'[5]#REF'!$A$1:$P$58</definedName>
    <definedName name="_PS12" localSheetId="2">'[2]#REF'!$A$1:$P$58</definedName>
    <definedName name="_PS12">'[3]#REF'!$A$1:$P$58</definedName>
    <definedName name="_PS13" localSheetId="12">'[5]#REF'!$A$1:$U$60</definedName>
    <definedName name="_PS13" localSheetId="2">'[2]#REF'!$A$1:$U$60</definedName>
    <definedName name="_PS13">'[3]#REF'!$A$1:$U$60</definedName>
    <definedName name="_PS14" localSheetId="12">'[5]#REF'!#REF!</definedName>
    <definedName name="_PS14" localSheetId="2">'[2]#REF'!#REF!</definedName>
    <definedName name="_PS14">'[3]#REF'!#REF!</definedName>
    <definedName name="_PS15" localSheetId="12">'[5]#REF'!$A$1:$Z$44</definedName>
    <definedName name="_PS15" localSheetId="2">'[2]#REF'!$A$1:$Z$44</definedName>
    <definedName name="_PS15">'[3]#REF'!$A$1:$Z$44</definedName>
    <definedName name="_PS16" localSheetId="12">'[5]#REF'!$A$1:$M$60</definedName>
    <definedName name="_PS16" localSheetId="2">'[2]#REF'!$A$1:$M$60</definedName>
    <definedName name="_PS16">'[3]#REF'!$A$1:$M$60</definedName>
    <definedName name="_PS17" localSheetId="12">'[5]#REF'!$B$1:$T$50</definedName>
    <definedName name="_PS17" localSheetId="2">'[2]#REF'!$B$1:$T$50</definedName>
    <definedName name="_PS17">'[3]#REF'!$B$1:$T$50</definedName>
    <definedName name="_PS18" localSheetId="12">'[5]#REF'!$A$1:$U$63</definedName>
    <definedName name="_PS18" localSheetId="2">'[2]#REF'!$A$1:$U$63</definedName>
    <definedName name="_PS18">'[3]#REF'!$A$1:$U$63</definedName>
    <definedName name="_PS19" localSheetId="12">'[5]#REF'!$A$1:$S$48</definedName>
    <definedName name="_PS19" localSheetId="2">'[2]#REF'!$A$1:$S$48</definedName>
    <definedName name="_PS19">'[3]#REF'!$A$1:$S$48</definedName>
    <definedName name="_PS2" localSheetId="12">'[5]#REF'!$A$1:$W$65</definedName>
    <definedName name="_PS2" localSheetId="2">'[2]#REF'!$A$1:$W$65</definedName>
    <definedName name="_PS2">'[3]#REF'!$A$1:$W$65</definedName>
    <definedName name="_PS3" localSheetId="12">'[5]#REF'!$A$1:$W$82</definedName>
    <definedName name="_PS3" localSheetId="2">'[2]#REF'!$A$1:$W$82</definedName>
    <definedName name="_PS3">'[3]#REF'!$A$1:$W$82</definedName>
    <definedName name="_PS4" localSheetId="12">'[5]#REF'!$A$1:$V$63</definedName>
    <definedName name="_PS4" localSheetId="2">'[2]#REF'!$A$1:$V$63</definedName>
    <definedName name="_PS4">'[3]#REF'!$A$1:$V$63</definedName>
    <definedName name="_PS5" localSheetId="12">'[5]#REF'!#REF!</definedName>
    <definedName name="_PS5" localSheetId="2">'[2]#REF'!#REF!</definedName>
    <definedName name="_PS5">'[3]#REF'!#REF!</definedName>
    <definedName name="_PS6" localSheetId="12">'[5]#REF'!$A$1:$P$59</definedName>
    <definedName name="_PS6" localSheetId="2">'[2]#REF'!$A$1:$P$59</definedName>
    <definedName name="_PS6">'[3]#REF'!$A$1:$P$59</definedName>
    <definedName name="_PS7" localSheetId="12">'[5]#REF'!$A$61:$P$120</definedName>
    <definedName name="_PS7" localSheetId="2">'[2]#REF'!$A$61:$P$120</definedName>
    <definedName name="_PS7">'[3]#REF'!$A$61:$P$120</definedName>
    <definedName name="_PS8" localSheetId="12">'[5]#REF'!$A$122:$P$181</definedName>
    <definedName name="_PS8" localSheetId="2">'[2]#REF'!$A$122:$P$181</definedName>
    <definedName name="_PS8">'[3]#REF'!$A$122:$P$181</definedName>
    <definedName name="_PS9" localSheetId="12">'[5]#REF'!$A$1:$U$85</definedName>
    <definedName name="_PS9" localSheetId="2">'[2]#REF'!$A$1:$U$85</definedName>
    <definedName name="_PS9">'[3]#REF'!$A$1:$U$85</definedName>
    <definedName name="_Regression_Out" hidden="1">[6]Comps!$AC$43:$AH$60</definedName>
    <definedName name="_Regression_X" hidden="1">[6]Comps!$AA$43:$AA$48</definedName>
    <definedName name="_Regression_Y" hidden="1">[6]Comps!$Z$43:$Z$48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hidden="1">{"comp1",#N/A,FALSE,"COMPS";"footnotes",#N/A,FALSE,"COMPS"}</definedName>
    <definedName name="aa">#REF!</definedName>
    <definedName name="aaa" localSheetId="8" hidden="1">{"'PXR_6500'!$A$1:$I$124"}</definedName>
    <definedName name="aaa" hidden="1">{"'PXR_6500'!$A$1:$I$124"}</definedName>
    <definedName name="ab" hidden="1">{#N/A,#N/A,TRUE,"Pro Forma";#N/A,#N/A,TRUE,"PF_Bal";#N/A,#N/A,TRUE,"PF_INC";#N/A,#N/A,TRUE,"CBE";#N/A,#N/A,TRUE,"SWK"}</definedName>
    <definedName name="abcdef" localSheetId="12" hidden="1">{"'PXR_6500'!$A$1:$I$124"}</definedName>
    <definedName name="abcdef" localSheetId="11" hidden="1">{"'PXR_6500'!$A$1:$I$124"}</definedName>
    <definedName name="abcdef" localSheetId="2" hidden="1">{"'PXR_6500'!$A$1:$I$124"}</definedName>
    <definedName name="abcdef" localSheetId="8" hidden="1">{"'PXR_6500'!$A$1:$I$124"}</definedName>
    <definedName name="abcdef" hidden="1">{"'PXR_6500'!$A$1:$I$124"}</definedName>
    <definedName name="ABN" localSheetId="12" hidden="1">{"'PXR_6500'!$A$1:$I$124"}</definedName>
    <definedName name="ABN" localSheetId="11" hidden="1">{"'PXR_6500'!$A$1:$I$124"}</definedName>
    <definedName name="ABN" localSheetId="2" hidden="1">{"'PXR_6500'!$A$1:$I$124"}</definedName>
    <definedName name="ABN" localSheetId="8" hidden="1">{"'PXR_6500'!$A$1:$I$124"}</definedName>
    <definedName name="ABN" hidden="1">{"'PXR_6500'!$A$1:$I$124"}</definedName>
    <definedName name="abno" localSheetId="12" hidden="1">{"'PXR_6500'!$A$1:$I$124"}</definedName>
    <definedName name="abno" localSheetId="11" hidden="1">{"'PXR_6500'!$A$1:$I$124"}</definedName>
    <definedName name="abno" localSheetId="2" hidden="1">{"'PXR_6500'!$A$1:$I$124"}</definedName>
    <definedName name="abno" localSheetId="8" hidden="1">{"'PXR_6500'!$A$1:$I$124"}</definedName>
    <definedName name="abno" hidden="1">{"'PXR_6500'!$A$1:$I$124"}</definedName>
    <definedName name="AccDep_perAC" localSheetId="12">'[5]INCOME STATEMENT'!#REF!</definedName>
    <definedName name="AccDep_perAC" localSheetId="2">'[2]INCOME STATEMENT'!#REF!</definedName>
    <definedName name="AccDep_perAC">'[3]INCOME STATEMENT'!#REF!</definedName>
    <definedName name="AccDepDisp_CapLease" localSheetId="12">'[5]INCOME STATEMENT'!#REF!</definedName>
    <definedName name="AccDepDisp_CapLease" localSheetId="2">'[2]INCOME STATEMENT'!#REF!</definedName>
    <definedName name="AccDepDisp_CapLease">'[3]INCOME STATEMENT'!#REF!</definedName>
    <definedName name="AccDepDisp_Owned" localSheetId="12">'[5]INCOME STATEMENT'!#REF!</definedName>
    <definedName name="AccDepDisp_Owned" localSheetId="2">'[2]INCOME STATEMENT'!#REF!</definedName>
    <definedName name="AccDepDisp_Owned">'[3]INCOME STATEMENT'!#REF!</definedName>
    <definedName name="addg" hidden="1">{#N/A,#N/A,FALSE,"CBE";#N/A,#N/A,FALSE,"SWK"}</definedName>
    <definedName name="ANO" localSheetId="12">#REF!</definedName>
    <definedName name="ANO">#REF!</definedName>
    <definedName name="AREA" localSheetId="12">#REF!</definedName>
    <definedName name="AREA" localSheetId="2">#REF!</definedName>
    <definedName name="AREA">#REF!</definedName>
    <definedName name="as" hidden="1">{"comp1",#N/A,FALSE,"COMPS";"footnotes",#N/A,FALSE,"COMPS"}</definedName>
    <definedName name="asad" hidden="1">{"away stand alones",#N/A,FALSE,"Target"}</definedName>
    <definedName name="Assumpt_BS" localSheetId="12">'[5]INCOME STATEMENT'!#REF!</definedName>
    <definedName name="Assumpt_BS" localSheetId="2">'[2]INCOME STATEMENT'!#REF!</definedName>
    <definedName name="Assumpt_BS">'[3]INCOME STATEMENT'!#REF!</definedName>
    <definedName name="Assumpt_CAPEX" localSheetId="12">'[5]INCOME STATEMENT'!#REF!</definedName>
    <definedName name="Assumpt_CAPEX" localSheetId="2">'[2]INCOME STATEMENT'!#REF!</definedName>
    <definedName name="Assumpt_CAPEX">'[3]INCOME STATEMENT'!#REF!</definedName>
    <definedName name="Assumpt_Fuel" localSheetId="12">'[5]INCOME STATEMENT'!#REF!</definedName>
    <definedName name="Assumpt_Fuel" localSheetId="2">'[2]INCOME STATEMENT'!#REF!</definedName>
    <definedName name="Assumpt_Fuel">'[3]INCOME STATEMENT'!#REF!</definedName>
    <definedName name="Assumpt_IS" localSheetId="12">'[5]INCOME STATEMENT'!#REF!</definedName>
    <definedName name="Assumpt_IS" localSheetId="2">'[2]INCOME STATEMENT'!#REF!</definedName>
    <definedName name="Assumpt_IS">'[3]INCOME STATEMENT'!#REF!</definedName>
    <definedName name="avdd" hidden="1">{#N/A,#N/A,FALSE,"Calc";#N/A,#N/A,FALSE,"Sensitivity";#N/A,#N/A,FALSE,"LT Earn.Dil.";#N/A,#N/A,FALSE,"Dil. AVP"}</definedName>
    <definedName name="b" hidden="1">{"consolidated",#N/A,FALSE,"Sheet1";"cms",#N/A,FALSE,"Sheet1";"fse",#N/A,FALSE,"Sheet1"}</definedName>
    <definedName name="Balance_Sheet" localSheetId="12">'[5]INCOME STATEMENT'!#REF!</definedName>
    <definedName name="Balance_Sheet" localSheetId="2">'[2]INCOME STATEMENT'!#REF!</definedName>
    <definedName name="Balance_Sheet">'[3]INCOME STATEMENT'!#REF!</definedName>
    <definedName name="Balancete" localSheetId="12">#REF!</definedName>
    <definedName name="Balancete">#REF!</definedName>
    <definedName name="BankLeague" localSheetId="12">'[5]#REF'!$F$2:$H$15</definedName>
    <definedName name="BankLeague" localSheetId="2">'[2]#REF'!$F$2:$H$15</definedName>
    <definedName name="BankLeague">'[3]#REF'!$F$2:$H$15</definedName>
    <definedName name="base">#REF!</definedName>
    <definedName name="bchfile" localSheetId="12">'[5]#REF'!$C$16</definedName>
    <definedName name="bchfile" localSheetId="2">'[2]#REF'!$C$16</definedName>
    <definedName name="bchfile">'[3]#REF'!$C$16</definedName>
    <definedName name="bchfile2" localSheetId="12">'[5]#REF'!$F$16</definedName>
    <definedName name="bchfile2" localSheetId="2">'[2]#REF'!$F$16</definedName>
    <definedName name="bchfile2">'[3]#REF'!$F$16</definedName>
    <definedName name="BCS" localSheetId="12">'[5]#REF'!$F$95:$N$130</definedName>
    <definedName name="BCS" localSheetId="2">'[2]#REF'!$F$95:$N$130</definedName>
    <definedName name="BCS">'[3]#REF'!$F$95:$N$130</definedName>
    <definedName name="BCSMKT" localSheetId="12">'[5]#REF'!$A$95:$K$133</definedName>
    <definedName name="BCSMKT" localSheetId="2">'[2]#REF'!$A$95:$K$133</definedName>
    <definedName name="BCSMKT">'[3]#REF'!$A$95:$K$133</definedName>
    <definedName name="bd">#REF!</definedName>
    <definedName name="bdorca1" localSheetId="12">#REF!</definedName>
    <definedName name="bdorca1" localSheetId="2">#REF!</definedName>
    <definedName name="bdorca1">#REF!</definedName>
    <definedName name="bdorcaacu" localSheetId="12">#REF!</definedName>
    <definedName name="bdorcaacu" localSheetId="2">#REF!</definedName>
    <definedName name="bdorcaacu">#REF!</definedName>
    <definedName name="bdorcaacu1" localSheetId="12">#REF!</definedName>
    <definedName name="bdorcaacu1" localSheetId="2">#REF!</definedName>
    <definedName name="bdorcaacu1">#REF!</definedName>
    <definedName name="bdreal" localSheetId="12">#REF!</definedName>
    <definedName name="bdreal" localSheetId="2">#REF!</definedName>
    <definedName name="bdreal">#REF!</definedName>
    <definedName name="bdreal1" localSheetId="12">#REF!</definedName>
    <definedName name="bdreal1" localSheetId="2">#REF!</definedName>
    <definedName name="bdreal1">#REF!</definedName>
    <definedName name="blank" localSheetId="12">#REF!</definedName>
    <definedName name="blank">#REF!</definedName>
    <definedName name="BNDES">#REF!</definedName>
    <definedName name="bnkj" hidden="1">{#N/A,#N/A,FALSE,"output";#N/A,#N/A,FALSE,"contrib";#N/A,#N/A,FALSE,"profile";#N/A,#N/A,FALSE,"comps"}</definedName>
    <definedName name="ç" localSheetId="8" hidden="1">{"'PXR_6500'!$A$1:$I$124"}</definedName>
    <definedName name="ç" hidden="1">{"'PXR_6500'!$A$1:$I$124"}</definedName>
    <definedName name="cabeçalho">[7]desagregado!$A$1:$IV$3</definedName>
    <definedName name="cap">[8]Dados!#REF!</definedName>
    <definedName name="CAPA" localSheetId="12">#REF!</definedName>
    <definedName name="CAPA">#REF!</definedName>
    <definedName name="CarteraTotal" localSheetId="12">#REF!</definedName>
    <definedName name="CarteraTotal" localSheetId="2">#REF!</definedName>
    <definedName name="CarteraTotal">#REF!</definedName>
    <definedName name="Cashflow_Stmt." localSheetId="12">'[5]INCOME STATEMENT'!#REF!</definedName>
    <definedName name="Cashflow_Stmt." localSheetId="2">'[2]INCOME STATEMENT'!#REF!</definedName>
    <definedName name="Cashflow_Stmt.">'[3]INCOME STATEMENT'!#REF!</definedName>
    <definedName name="cb">#REF!</definedName>
    <definedName name="çççç" localSheetId="8" hidden="1">{"'PXR_6500'!$A$1:$I$124"}</definedName>
    <definedName name="çççç" hidden="1">{"'PXR_6500'!$A$1:$I$124"}</definedName>
    <definedName name="cesta">#REF!</definedName>
    <definedName name="çgu" localSheetId="8" hidden="1">{"CONSOLIDADO",#N/A,FALSE,"COMENTARIOS"}</definedName>
    <definedName name="çgu" hidden="1">{"CONSOLIDADO",#N/A,FALSE,"COMENTARIOS"}</definedName>
    <definedName name="çjh" localSheetId="8" hidden="1">{"'PXR_6500'!$A$1:$I$124"}</definedName>
    <definedName name="çjh" hidden="1">{"'PXR_6500'!$A$1:$I$124"}</definedName>
    <definedName name="çl" localSheetId="8" hidden="1">{"'PXR_6500'!$A$1:$I$124"}</definedName>
    <definedName name="çl" hidden="1">{"'PXR_6500'!$A$1:$I$124"}</definedName>
    <definedName name="çlç" localSheetId="8" hidden="1">{"'PXR_6500'!$A$1:$I$124"}</definedName>
    <definedName name="çlç" hidden="1">{"'PXR_6500'!$A$1:$I$124"}</definedName>
    <definedName name="çlj" localSheetId="8" hidden="1">{#N/A,#N/A,FALSE,"Relatórios";"Vendas e Custos",#N/A,FALSE,"Vendas e Custos";"Premissas",#N/A,FALSE,"Premissas";"Projeções",#N/A,FALSE,"Projeções";"Dolar",#N/A,FALSE,"Dolar";"Original",#N/A,FALSE,"Original e UFIR"}</definedName>
    <definedName name="çlj" hidden="1">{#N/A,#N/A,FALSE,"Relatórios";"Vendas e Custos",#N/A,FALSE,"Vendas e Custos";"Premissas",#N/A,FALSE,"Premissas";"Projeções",#N/A,FALSE,"Projeções";"Dolar",#N/A,FALSE,"Dolar";"Original",#N/A,FALSE,"Original e UFIR"}</definedName>
    <definedName name="çlk" localSheetId="8" hidden="1">{"'PXR_6500'!$A$1:$I$124"}</definedName>
    <definedName name="çlk" hidden="1">{"'PXR_6500'!$A$1:$I$124"}</definedName>
    <definedName name="COD">[9]Assumptions!$C$14</definedName>
    <definedName name="CODTERRITORIO">#REF!</definedName>
    <definedName name="compfile" localSheetId="12">'[5]#REF'!$C$15</definedName>
    <definedName name="compfile" localSheetId="2">'[2]#REF'!$C$15</definedName>
    <definedName name="compfile">'[3]#REF'!$C$15</definedName>
    <definedName name="compfile2" localSheetId="12">'[5]#REF'!$F$15</definedName>
    <definedName name="compfile2" localSheetId="2">'[2]#REF'!$F$15</definedName>
    <definedName name="compfile2">'[3]#REF'!$F$15</definedName>
    <definedName name="contribuição">[7]desagregado!#REF!</definedName>
    <definedName name="Costa_Rica__Cellular_Subcsribers_by_standard__1994_2001" localSheetId="12">'[5]#REF'!$A$19</definedName>
    <definedName name="Costa_Rica__Cellular_Subcsribers_by_standard__1994_2001" localSheetId="2">'[2]#REF'!$A$19</definedName>
    <definedName name="Costa_Rica__Cellular_Subcsribers_by_standard__1994_2001">'[3]#REF'!$A$19</definedName>
    <definedName name="CPV">#REF!</definedName>
    <definedName name="CreditFile" localSheetId="12">'[5]#REF'!$C$14</definedName>
    <definedName name="CreditFile" localSheetId="2">'[2]#REF'!$C$14</definedName>
    <definedName name="CreditFile">'[3]#REF'!$C$14</definedName>
    <definedName name="CreditFile2" localSheetId="12">'[5]#REF'!$F$14</definedName>
    <definedName name="CreditFile2" localSheetId="2">'[2]#REF'!$F$14</definedName>
    <definedName name="CreditFile2">'[3]#REF'!$F$14</definedName>
    <definedName name="crescimento" localSheetId="12">#REF!</definedName>
    <definedName name="crescimento" localSheetId="2">#REF!</definedName>
    <definedName name="crescimento">#REF!</definedName>
    <definedName name="CurrFile" localSheetId="12">'[5]#REF'!$C$17</definedName>
    <definedName name="CurrFile" localSheetId="2">'[2]#REF'!$C$17</definedName>
    <definedName name="CurrFile">'[3]#REF'!$C$17</definedName>
    <definedName name="Custo_Transf">#REF!</definedName>
    <definedName name="d">[10]Assumptions!$B$30</definedName>
    <definedName name="Date_Table" localSheetId="12">'[5]#REF'!$B$44:$I$55</definedName>
    <definedName name="Date_Table" localSheetId="2">'[2]#REF'!$B$44:$I$55</definedName>
    <definedName name="Date_Table">'[3]#REF'!$B$44:$I$55</definedName>
    <definedName name="DBASE" localSheetId="12">'[5]#REF'!$D$1:$I$227</definedName>
    <definedName name="DBASE" localSheetId="2">'[2]#REF'!$D$1:$I$227</definedName>
    <definedName name="DBASE">'[3]#REF'!$D$1:$I$227</definedName>
    <definedName name="dcfterm">#REF!</definedName>
    <definedName name="DDD" localSheetId="12" hidden="1">{"'PXR_6500'!$A$1:$I$124"}</definedName>
    <definedName name="DDD" localSheetId="11" hidden="1">{"'PXR_6500'!$A$1:$I$124"}</definedName>
    <definedName name="DDD" localSheetId="2" hidden="1">{"'PXR_6500'!$A$1:$I$124"}</definedName>
    <definedName name="DDD" localSheetId="8" hidden="1">{"'PXR_6500'!$A$1:$I$124"}</definedName>
    <definedName name="DDD" hidden="1">{"'PXR_6500'!$A$1:$I$124"}</definedName>
    <definedName name="Dem_Result">#REF!</definedName>
    <definedName name="Desp_Adm" localSheetId="12">#REF!</definedName>
    <definedName name="Desp_Adm">#REF!</definedName>
    <definedName name="Desp_Com" localSheetId="12">#REF!</definedName>
    <definedName name="Desp_Com">#REF!</definedName>
    <definedName name="desvios">'[11]FAT94=100'!#REF!</definedName>
    <definedName name="dfd" hidden="1">{"comp1",#N/A,FALSE,"COMPS";"footnotes",#N/A,FALSE,"COMPS"}</definedName>
    <definedName name="DICNOMEBL_BLC_UNIC">#REF!</definedName>
    <definedName name="discussion" localSheetId="12">#REF!</definedName>
    <definedName name="discussion">#REF!</definedName>
    <definedName name="Doar" localSheetId="12" hidden="1">{#N/A,#N/A,FALSE,"Relatórios";"Vendas e Custos",#N/A,FALSE,"Vendas e Custos";"Premissas",#N/A,FALSE,"Premissas";"Projeções",#N/A,FALSE,"Projeções";"Dolar",#N/A,FALSE,"Dolar";"Original",#N/A,FALSE,"Original e UFIR"}</definedName>
    <definedName name="Doar" localSheetId="11" hidden="1">{#N/A,#N/A,FALSE,"Relatórios";"Vendas e Custos",#N/A,FALSE,"Vendas e Custos";"Premissas",#N/A,FALSE,"Premissas";"Projeções",#N/A,FALSE,"Projeções";"Dolar",#N/A,FALSE,"Dolar";"Original",#N/A,FALSE,"Original e UFIR"}</definedName>
    <definedName name="Doar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Doar" localSheetId="8" hidden="1">{#N/A,#N/A,FALSE,"Relatórios";"Vendas e Custos",#N/A,FALSE,"Vendas e Custos";"Premissas",#N/A,FALSE,"Premissas";"Projeções",#N/A,FALSE,"Projeções";"Dolar",#N/A,FALSE,"Dolar";"Original",#N/A,FALSE,"Original e UFIR"}</definedName>
    <definedName name="Doar" hidden="1">{#N/A,#N/A,FALSE,"Relatórios";"Vendas e Custos",#N/A,FALSE,"Vendas e Custos";"Premissas",#N/A,FALSE,"Premissas";"Projeções",#N/A,FALSE,"Projeções";"Dolar",#N/A,FALSE,"Dolar";"Original",#N/A,FALSE,"Original e UFIR"}</definedName>
    <definedName name="DOLAR_ORCADO_K_B" localSheetId="12">#REF!</definedName>
    <definedName name="DOLAR_ORCADO_K_B" localSheetId="2">#REF!</definedName>
    <definedName name="DOLAR_ORCADO_K_B">#REF!</definedName>
    <definedName name="Dolares" localSheetId="12">#REF!</definedName>
    <definedName name="Dolares">#REF!</definedName>
    <definedName name="draft_date" localSheetId="12">#REF!</definedName>
    <definedName name="draft_date">#REF!</definedName>
    <definedName name="draft_toggle" localSheetId="12">#REF!</definedName>
    <definedName name="draft_toggle">#REF!</definedName>
    <definedName name="DRE" localSheetId="12">#REF!</definedName>
    <definedName name="DRE">#REF!</definedName>
    <definedName name="dsa" localSheetId="8" hidden="1">{"'PXR_6500'!$A$1:$I$124"}</definedName>
    <definedName name="dsa" hidden="1">{"'PXR_6500'!$A$1:$I$124"}</definedName>
    <definedName name="e" hidden="1">{"casespecific",#N/A,FALSE,"Assumptions"}</definedName>
    <definedName name="ECNOFIBRAS" localSheetId="12" hidden="1">{"'PXR_6500'!$A$1:$I$124"}</definedName>
    <definedName name="ECNOFIBRAS" localSheetId="11" hidden="1">{"'PXR_6500'!$A$1:$I$124"}</definedName>
    <definedName name="ECNOFIBRAS" localSheetId="2" hidden="1">{"'PXR_6500'!$A$1:$I$124"}</definedName>
    <definedName name="ECNOFIBRAS" localSheetId="8" hidden="1">{"'PXR_6500'!$A$1:$I$124"}</definedName>
    <definedName name="ECNOFIBRAS" hidden="1">{"'PXR_6500'!$A$1:$I$124"}</definedName>
    <definedName name="ECNOFIBRAS2" localSheetId="12" hidden="1">{"'PXR_6500'!$A$1:$I$124"}</definedName>
    <definedName name="ECNOFIBRAS2" localSheetId="11" hidden="1">{"'PXR_6500'!$A$1:$I$124"}</definedName>
    <definedName name="ECNOFIBRAS2" localSheetId="2" hidden="1">{"'PXR_6500'!$A$1:$I$124"}</definedName>
    <definedName name="ECNOFIBRAS2" localSheetId="8" hidden="1">{"'PXR_6500'!$A$1:$I$124"}</definedName>
    <definedName name="ECNOFIBRAS2" hidden="1">{"'PXR_6500'!$A$1:$I$124"}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E" localSheetId="12" hidden="1">{"'PXR_6500'!$A$1:$I$124"}</definedName>
    <definedName name="EEE" localSheetId="11" hidden="1">{"'PXR_6500'!$A$1:$I$124"}</definedName>
    <definedName name="EEE" localSheetId="2" hidden="1">{"'PXR_6500'!$A$1:$I$124"}</definedName>
    <definedName name="EEE" localSheetId="8" hidden="1">{"'PXR_6500'!$A$1:$I$124"}</definedName>
    <definedName name="EEE" hidden="1">{"'PXR_6500'!$A$1:$I$124"}</definedName>
    <definedName name="eeee" hidden="1">0</definedName>
    <definedName name="emily" hidden="1">{#N/A,#N/A,FALSE,"Calc";#N/A,#N/A,FALSE,"Sensitivity";#N/A,#N/A,FALSE,"LT Earn.Dil.";#N/A,#N/A,FALSE,"Dil. AVP"}</definedName>
    <definedName name="error" localSheetId="12">'[5]#REF'!$C$11</definedName>
    <definedName name="error" localSheetId="2">'[2]#REF'!$C$11</definedName>
    <definedName name="error">'[3]#REF'!$C$11</definedName>
    <definedName name="escenarios" localSheetId="12">#REF!</definedName>
    <definedName name="escenarios" localSheetId="2">#REF!</definedName>
    <definedName name="escenarios">#REF!</definedName>
    <definedName name="ESCOLHA" localSheetId="12">#REF!</definedName>
    <definedName name="ESCOLHA">#REF!</definedName>
    <definedName name="ESCOLHA2" localSheetId="12">#REF!</definedName>
    <definedName name="ESCOLHA2">#REF!</definedName>
    <definedName name="ESCOLHA3" localSheetId="12">#REF!</definedName>
    <definedName name="ESCOLHA3">#REF!</definedName>
    <definedName name="ESCOLHA4" localSheetId="12">#REF!</definedName>
    <definedName name="ESCOLHA4">#REF!</definedName>
    <definedName name="ESCOLHA5" localSheetId="12">#REF!</definedName>
    <definedName name="ESCOLHA5">#REF!</definedName>
    <definedName name="esquerda">[7]desagregado!$B$1:$E$65536</definedName>
    <definedName name="evaterm" localSheetId="12">#REF!</definedName>
    <definedName name="evaterm">#REF!</definedName>
    <definedName name="Evol_quant_Pessoal" localSheetId="12">#REF!</definedName>
    <definedName name="Evol_quant_Pessoal">#REF!</definedName>
    <definedName name="Ex_rate00" localSheetId="12">[5]Macro!$H$37</definedName>
    <definedName name="Ex_rate00" localSheetId="2">[2]Macro!$H$37</definedName>
    <definedName name="Ex_rate00">[3]Macro!$H$37</definedName>
    <definedName name="Ex_rate01" localSheetId="12">[5]Macro!$I$37</definedName>
    <definedName name="Ex_rate01" localSheetId="2">[2]Macro!$I$37</definedName>
    <definedName name="Ex_rate01">[3]Macro!$I$37</definedName>
    <definedName name="Ex_rate02" localSheetId="12">[5]Macro!$J$37</definedName>
    <definedName name="Ex_rate02" localSheetId="2">[2]Macro!$J$37</definedName>
    <definedName name="Ex_rate02">[3]Macro!$J$37</definedName>
    <definedName name="Ex_rate03" localSheetId="12">[5]Macro!$K$37</definedName>
    <definedName name="Ex_rate03" localSheetId="2">[2]Macro!$K$37</definedName>
    <definedName name="Ex_rate03">[3]Macro!$K$37</definedName>
    <definedName name="Ex_rate04" localSheetId="12">[5]Macro!$L$37</definedName>
    <definedName name="Ex_rate04" localSheetId="2">[2]Macro!$L$37</definedName>
    <definedName name="Ex_rate04">[3]Macro!$L$37</definedName>
    <definedName name="Ex_rate05" localSheetId="12">[5]Macro!$M$37</definedName>
    <definedName name="Ex_rate05" localSheetId="2">[2]Macro!$M$37</definedName>
    <definedName name="Ex_rate05">[3]Macro!$M$37</definedName>
    <definedName name="Ex_rate06" localSheetId="12">[5]Macro!$N$37</definedName>
    <definedName name="Ex_rate06" localSheetId="2">[2]Macro!$N$37</definedName>
    <definedName name="Ex_rate06">[3]Macro!$N$37</definedName>
    <definedName name="Ex_rate08" localSheetId="12">[5]Macro!$P$37</definedName>
    <definedName name="Ex_rate08" localSheetId="2">[2]Macro!$P$37</definedName>
    <definedName name="Ex_rate08">[3]Macro!$P$37</definedName>
    <definedName name="Ex_rate09" localSheetId="12">[5]Macro!$Q$37</definedName>
    <definedName name="Ex_rate09" localSheetId="2">[2]Macro!$Q$37</definedName>
    <definedName name="Ex_rate09">[3]Macro!$Q$37</definedName>
    <definedName name="Ex_rate10" localSheetId="12">[5]Macro!$R$37</definedName>
    <definedName name="Ex_rate10" localSheetId="2">[2]Macro!$R$37</definedName>
    <definedName name="Ex_rate10">[3]Macro!$R$37</definedName>
    <definedName name="Ex_rate97" localSheetId="12">[5]Macro!$E$37</definedName>
    <definedName name="Ex_rate97" localSheetId="2">[2]Macro!$E$37</definedName>
    <definedName name="Ex_rate97">[3]Macro!$E$37</definedName>
    <definedName name="Ex_rate98" localSheetId="12">'[5]#REF'!#REF!</definedName>
    <definedName name="Ex_rate98" localSheetId="2">'[2]#REF'!#REF!</definedName>
    <definedName name="Ex_rate98">'[3]#REF'!#REF!</definedName>
    <definedName name="Ex_rate99" localSheetId="12">[5]Macro!$G$37</definedName>
    <definedName name="Ex_rate99" localSheetId="2">[2]Macro!$G$37</definedName>
    <definedName name="Ex_rate99">[3]Macro!$G$37</definedName>
    <definedName name="eyr" hidden="1">{"hiden",#N/A,FALSE,"14";"hidden",#N/A,FALSE,"16";"hidden",#N/A,FALSE,"18";"hidden",#N/A,FALSE,"20"}</definedName>
    <definedName name="f" hidden="1">{"assumption cash",#N/A,TRUE,"Merger";"has gets cash",#N/A,TRUE,"Merger";"accretion dilution",#N/A,TRUE,"Merger";"comparison credit stats",#N/A,TRUE,"Merger";"pf credit stats",#N/A,TRUE,"Merger";"pf sheets",#N/A,TRUE,"Merger"}</definedName>
    <definedName name="FCxdetalhado" localSheetId="12">#REF!</definedName>
    <definedName name="FCxdetalhado">#REF!</definedName>
    <definedName name="fds" hidden="1">{"comps",#N/A,FALSE,"comps";"notes",#N/A,FALSE,"comps"}</definedName>
    <definedName name="fdsf" hidden="1">{"general",#N/A,FALSE,"Assumptions"}</definedName>
    <definedName name="Feriados" localSheetId="8">[12]Feriados!$A$2:$A$868</definedName>
    <definedName name="Feriados">#REF!</definedName>
    <definedName name="FILTROBL_BLC_UNIC">#REF!</definedName>
    <definedName name="fins1" hidden="1">{#N/A,#N/A,FALSE,"Calc";#N/A,#N/A,FALSE,"Sensitivity";#N/A,#N/A,FALSE,"LT Earn.Dil.";#N/A,#N/A,FALSE,"Dil. AVP"}</definedName>
    <definedName name="FixedAsset_Summary" localSheetId="12">'[5]INCOME STATEMENT'!#REF!</definedName>
    <definedName name="FixedAsset_Summary" localSheetId="2">'[2]INCOME STATEMENT'!#REF!</definedName>
    <definedName name="FixedAsset_Summary">'[3]INCOME STATEMENT'!#REF!</definedName>
    <definedName name="Flt.Analysis_CapLease" localSheetId="12">'[5]INCOME STATEMENT'!#REF!</definedName>
    <definedName name="Flt.Analysis_CapLease" localSheetId="2">'[2]INCOME STATEMENT'!#REF!</definedName>
    <definedName name="Flt.Analysis_CapLease">'[3]INCOME STATEMENT'!#REF!</definedName>
    <definedName name="Flt.CAPEX_CapLease" localSheetId="12">'[5]INCOME STATEMENT'!#REF!</definedName>
    <definedName name="Flt.CAPEX_CapLease" localSheetId="2">'[2]INCOME STATEMENT'!#REF!</definedName>
    <definedName name="Flt.CAPEX_CapLease">'[3]INCOME STATEMENT'!#REF!</definedName>
    <definedName name="Flt.CAPEX_Owned" localSheetId="12">'[5]INCOME STATEMENT'!#REF!</definedName>
    <definedName name="Flt.CAPEX_Owned" localSheetId="2">'[2]INCOME STATEMENT'!#REF!</definedName>
    <definedName name="Flt.CAPEX_Owned">'[3]INCOME STATEMENT'!#REF!</definedName>
    <definedName name="FltAccDep_CapLease" localSheetId="12">'[5]INCOME STATEMENT'!#REF!</definedName>
    <definedName name="FltAccDep_CapLease" localSheetId="2">'[2]INCOME STATEMENT'!#REF!</definedName>
    <definedName name="FltAccDep_CapLease">'[3]INCOME STATEMENT'!#REF!</definedName>
    <definedName name="FltPhaseOut_CapLease" localSheetId="12">'[5]INCOME STATEMENT'!#REF!</definedName>
    <definedName name="FltPhaseOut_CapLease" localSheetId="2">'[2]INCOME STATEMENT'!#REF!</definedName>
    <definedName name="FltPhaseOut_CapLease">'[3]INCOME STATEMENT'!#REF!</definedName>
    <definedName name="FltPhaseOut_Owned" localSheetId="12">'[5]INCOME STATEMENT'!#REF!</definedName>
    <definedName name="FltPhaseOut_Owned" localSheetId="2">'[2]INCOME STATEMENT'!#REF!</definedName>
    <definedName name="FltPhaseOut_Owned">'[3]INCOME STATEMENT'!#REF!</definedName>
    <definedName name="FltProgPmt_Summary" localSheetId="12">'[5]INCOME STATEMENT'!#REF!</definedName>
    <definedName name="FltProgPmt_Summary" localSheetId="2">'[2]INCOME STATEMENT'!#REF!</definedName>
    <definedName name="FltProgPmt_Summary">'[3]INCOME STATEMENT'!#REF!</definedName>
    <definedName name="FluxoCaixa2" localSheetId="12">#REF!</definedName>
    <definedName name="FluxoCaixa2">#REF!</definedName>
    <definedName name="FluxoCx2" localSheetId="12">#REF!</definedName>
    <definedName name="FluxoCx2">#REF!</definedName>
    <definedName name="FOLHA05" localSheetId="12">#REF!</definedName>
    <definedName name="FOLHA05" localSheetId="2">#REF!</definedName>
    <definedName name="FOLHA05">#REF!</definedName>
    <definedName name="FX_table">[9]Assumptions!$D$26:$AL$34</definedName>
    <definedName name="g7o" localSheetId="8" hidden="1">{#N/A,#N/A,FALSE,"model"}</definedName>
    <definedName name="g7o" hidden="1">{#N/A,#N/A,FALSE,"model"}</definedName>
    <definedName name="GainsDisp_CapLease" localSheetId="12">'[5]INCOME STATEMENT'!#REF!</definedName>
    <definedName name="GainsDisp_CapLease" localSheetId="2">'[2]INCOME STATEMENT'!#REF!</definedName>
    <definedName name="GainsDisp_CapLease">'[3]INCOME STATEMENT'!#REF!</definedName>
    <definedName name="GainsDisp_Owned" localSheetId="12">'[5]INCOME STATEMENT'!#REF!</definedName>
    <definedName name="GainsDisp_Owned" localSheetId="2">'[2]INCOME STATEMENT'!#REF!</definedName>
    <definedName name="GainsDisp_Owned">'[3]INCOME STATEMENT'!#REF!</definedName>
    <definedName name="ggf" hidden="1">{"comps",#N/A,FALSE,"comps";"notes",#N/A,FALSE,"comps"}</definedName>
    <definedName name="giçgui" localSheetId="8" hidden="1">{#N/A,#N/A,FALSE,"model"}</definedName>
    <definedName name="giçgui" hidden="1">{#N/A,#N/A,FALSE,"model"}</definedName>
    <definedName name="giu" localSheetId="8" hidden="1">{#N/A,#N/A,FALSE,"BALANCE";#N/A,#N/A,FALSE,"CUENTA DE PYG";#N/A,#N/A,FALSE,"RATIOS"}</definedName>
    <definedName name="giu" hidden="1">{#N/A,#N/A,FALSE,"BALANCE";#N/A,#N/A,FALSE,"CUENTA DE PYG";#N/A,#N/A,FALSE,"RATIOS"}</definedName>
    <definedName name="giuç" localSheetId="8" hidden="1">{#N/A,#N/A,FALSE,"model"}</definedName>
    <definedName name="giuç" hidden="1">{#N/A,#N/A,FALSE,"model"}</definedName>
    <definedName name="go8giu" localSheetId="8" hidden="1">{#N/A,#N/A,FALSE,"model"}</definedName>
    <definedName name="go8giu" hidden="1">{#N/A,#N/A,FALSE,"model"}</definedName>
    <definedName name="GrossBkValue_perAC" localSheetId="12">'[5]INCOME STATEMENT'!#REF!</definedName>
    <definedName name="GrossBkValue_perAC" localSheetId="2">'[2]INCOME STATEMENT'!#REF!</definedName>
    <definedName name="GrossBkValue_perAC">'[3]INCOME STATEMENT'!#REF!</definedName>
    <definedName name="GrossBKValueDisp_CapLease" localSheetId="12">'[5]INCOME STATEMENT'!#REF!</definedName>
    <definedName name="GrossBKValueDisp_CapLease" localSheetId="2">'[2]INCOME STATEMENT'!#REF!</definedName>
    <definedName name="GrossBKValueDisp_CapLease">'[3]INCOME STATEMENT'!#REF!</definedName>
    <definedName name="GrossBkValueDisp_Owned" localSheetId="12">'[5]INCOME STATEMENT'!#REF!</definedName>
    <definedName name="GrossBkValueDisp_Owned" localSheetId="2">'[2]INCOME STATEMENT'!#REF!</definedName>
    <definedName name="GrossBkValueDisp_Owned">'[3]INCOME STATEMENT'!#REF!</definedName>
    <definedName name="GSM_average_diff" localSheetId="12">[13]Market!#REF!</definedName>
    <definedName name="GSM_average_diff" localSheetId="2">[14]Market!#REF!</definedName>
    <definedName name="GSM_average_diff">[15]Market!#REF!</definedName>
    <definedName name="guo" localSheetId="8" hidden="1">{"'PXR_6500'!$A$1:$I$124"}</definedName>
    <definedName name="guo" hidden="1">{"'PXR_6500'!$A$1:$I$124"}</definedName>
    <definedName name="gyou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gyou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" localSheetId="12" hidden="1">{#N/A,#N/A,FALSE,"Relatórios";"Vendas e Custos",#N/A,FALSE,"Vendas e Custos";"Premissas",#N/A,FALSE,"Premissas";"Projeções",#N/A,FALSE,"Projeções";"Dolar",#N/A,FALSE,"Dolar";"Original",#N/A,FALSE,"Original e UFIR"}</definedName>
    <definedName name="H" localSheetId="11" hidden="1">{#N/A,#N/A,FALSE,"Relatórios";"Vendas e Custos",#N/A,FALSE,"Vendas e Custos";"Premissas",#N/A,FALSE,"Premissas";"Projeções",#N/A,FALSE,"Projeções";"Dolar",#N/A,FALSE,"Dolar";"Original",#N/A,FALSE,"Original e UFIR"}</definedName>
    <definedName name="H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H" localSheetId="8" hidden="1">{#N/A,#N/A,FALSE,"Relatórios";"Vendas e Custos",#N/A,FALSE,"Vendas e Custos";"Premissas",#N/A,FALSE,"Premissas";"Projeções",#N/A,FALSE,"Projeções";"Dolar",#N/A,FALSE,"Dolar";"Original",#N/A,FALSE,"Original e UFIR"}</definedName>
    <definedName name="H" hidden="1">{#N/A,#N/A,FALSE,"Relatórios";"Vendas e Custos",#N/A,FALSE,"Vendas e Custos";"Premissas",#N/A,FALSE,"Premissas";"Projeções",#N/A,FALSE,"Projeções";"Dolar",#N/A,FALSE,"Dolar";"Original",#N/A,FALSE,"Original e UFIR"}</definedName>
    <definedName name="hhh" localSheetId="8" hidden="1">{"'PXR_6500'!$A$1:$I$124"}</definedName>
    <definedName name="hhh" hidden="1">{"'PXR_6500'!$A$1:$I$124"}</definedName>
    <definedName name="hhhsdf" hidden="1">{"up stand alones",#N/A,FALSE,"Acquiror"}</definedName>
    <definedName name="ho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o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oçh" localSheetId="8" hidden="1">{"'PXR_6500'!$A$1:$I$124"}</definedName>
    <definedName name="hoçh" hidden="1">{"'PXR_6500'!$A$1:$I$124"}</definedName>
    <definedName name="hoo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oo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HTML" localSheetId="12" hidden="1">{"'PXR_6500'!$A$1:$I$124"}</definedName>
    <definedName name="HTML" localSheetId="11" hidden="1">{"'PXR_6500'!$A$1:$I$124"}</definedName>
    <definedName name="HTML" localSheetId="2" hidden="1">{"'PXR_6500'!$A$1:$I$124"}</definedName>
    <definedName name="HTML" localSheetId="8" hidden="1">{"'PXR_6500'!$A$1:$I$124"}</definedName>
    <definedName name="HTML" hidden="1">{"'PXR_6500'!$A$1:$I$124"}</definedName>
    <definedName name="HTML_CodePage" hidden="1">1252</definedName>
    <definedName name="HTML_Control" localSheetId="12" hidden="1">{"'RELATÓRIO'!$A$1:$E$20","'RELATÓRIO'!$A$22:$D$34","'INTERNET'!$A$31:$G$58","'INTERNET'!$A$1:$G$28","'SÉRIE HISTÓRICA'!$A$167:$H$212","'SÉRIE HISTÓRICA'!$A$56:$H$101"}</definedName>
    <definedName name="HTML_Control" localSheetId="11" hidden="1">{"'PXR_6500'!$A$1:$I$124"}</definedName>
    <definedName name="HTML_Control" localSheetId="2" hidden="1">{"'PXR_6500'!$A$1:$I$124"}</definedName>
    <definedName name="HTML_Control" localSheetId="8" hidden="1">{"'PXR_6500'!$A$1:$I$124"}</definedName>
    <definedName name="HTML_Control" hidden="1">{"'PXR_6500'!$A$1:$I$124"}</definedName>
    <definedName name="HTML_Description" hidden="1">""</definedName>
    <definedName name="HTML_Email" hidden="1">""</definedName>
    <definedName name="HTML_Header" hidden="1">""</definedName>
    <definedName name="HTML_LastUpdate" localSheetId="12" hidden="1">""</definedName>
    <definedName name="HTML_LastUpdate" hidden="1">"16/06/98"</definedName>
    <definedName name="HTML_LineAfter" hidden="1">FALSE</definedName>
    <definedName name="HTML_LineBefore" hidden="1">FALSE</definedName>
    <definedName name="HTML_Name" localSheetId="12" hidden="1">""</definedName>
    <definedName name="HTML_Name" hidden="1">"Setor de Custos"</definedName>
    <definedName name="HTML_OBDlg2" hidden="1">TRUE</definedName>
    <definedName name="HTML_OBDlg4" hidden="1">TRUE</definedName>
    <definedName name="HTML_OS" hidden="1">0</definedName>
    <definedName name="HTML_PathFile" localSheetId="12" hidden="1">"C:\DIVULGAÇÃO INPC IPCA 2001\inpc0501.htm"</definedName>
    <definedName name="HTML_PathFile" hidden="1">"D:\FIX\Mai98\PXR6500.htm"</definedName>
    <definedName name="HTML_Title" hidden="1">""</definedName>
    <definedName name="i" localSheetId="12">#REF!</definedName>
    <definedName name="i" localSheetId="2">#REF!</definedName>
    <definedName name="i">#REF!</definedName>
    <definedName name="ik" hidden="1">{"casespecific",#N/A,FALSE,"Assumptions"}</definedName>
    <definedName name="importados">#REF!</definedName>
    <definedName name="Income_Statement" localSheetId="12">'[5]INCOME STATEMENT'!#REF!</definedName>
    <definedName name="Income_Statement" localSheetId="2">'[2]INCOME STATEMENT'!#REF!</definedName>
    <definedName name="Income_Statement">'[3]INCOME STATEMENT'!#REF!</definedName>
    <definedName name="Indic.cltes.R2002" localSheetId="12">#REF!</definedName>
    <definedName name="Indic.cltes.R2002" localSheetId="2">#REF!</definedName>
    <definedName name="Indic.cltes.R2002">#REF!</definedName>
    <definedName name="Indic_Desemp" localSheetId="12">#REF!</definedName>
    <definedName name="Indic_Desemp">#REF!</definedName>
    <definedName name="INPUT2" localSheetId="12">'[5]#REF'!$A$1:$M$20</definedName>
    <definedName name="INPUT2" localSheetId="2">'[2]#REF'!$A$1:$M$20</definedName>
    <definedName name="INPUT2">'[3]#REF'!$A$1:$M$20</definedName>
    <definedName name="iug" localSheetId="8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iug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iuliu" localSheetId="8" hidden="1">{#N/A,#N/A,FALSE,"model"}</definedName>
    <definedName name="iuliu" hidden="1">{#N/A,#N/A,FALSE,"model"}</definedName>
    <definedName name="iyg" localSheetId="8" hidden="1">{"CONSOLIDADO",#N/A,FALSE,"COMENTARIOS"}</definedName>
    <definedName name="iyg" hidden="1">{"CONSOLIDADO",#N/A,FALSE,"COMENTARIOS"}</definedName>
    <definedName name="jçj" localSheetId="8" hidden="1">{#N/A,#N/A,FALSE,"Relatórios";"Vendas e Custos",#N/A,FALSE,"Vendas e Custos";"Premissas",#N/A,FALSE,"Premissas";"Projeções",#N/A,FALSE,"Projeções";"Dolar",#N/A,FALSE,"Dolar";"Original",#N/A,FALSE,"Original e UFIR"}</definedName>
    <definedName name="jçj" hidden="1">{#N/A,#N/A,FALSE,"Relatórios";"Vendas e Custos",#N/A,FALSE,"Vendas e Custos";"Premissas",#N/A,FALSE,"Premissas";"Projeções",#N/A,FALSE,"Projeções";"Dolar",#N/A,FALSE,"Dolar";"Original",#N/A,FALSE,"Original e UFIR"}</definedName>
    <definedName name="jçl" localSheetId="8" hidden="1">{"'PXR_6500'!$A$1:$I$124"}</definedName>
    <definedName name="jçl" hidden="1">{"'PXR_6500'!$A$1:$I$124"}</definedName>
    <definedName name="jj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jj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K___B_ORÇADO_97" localSheetId="12">#REF!</definedName>
    <definedName name="K___B_ORÇADO_97" localSheetId="2">#REF!</definedName>
    <definedName name="K___B_ORÇADO_97">#REF!</definedName>
    <definedName name="kg" localSheetId="8" hidden="1">{#N/A,#N/A,FALSE,"model"}</definedName>
    <definedName name="kg" hidden="1">{#N/A,#N/A,FALSE,"model"}</definedName>
    <definedName name="kol" hidden="1">{"away stand alones",#N/A,FALSE,"Target"}</definedName>
    <definedName name="LBOnew" hidden="1">{#N/A,#N/A,TRUE,"financial";#N/A,#N/A,TRUE,"plants"}</definedName>
    <definedName name="LeagueTrVal" localSheetId="12">'[5]#REF'!$A$2:$D$15</definedName>
    <definedName name="LeagueTrVal" localSheetId="2">'[2]#REF'!$A$2:$D$15</definedName>
    <definedName name="LeagueTrVal">'[3]#REF'!$A$2:$D$15</definedName>
    <definedName name="lll" localSheetId="8" hidden="1">{"'PXR_6500'!$A$1:$I$124"}</definedName>
    <definedName name="lll" hidden="1">{"'PXR_6500'!$A$1:$I$124"}</definedName>
    <definedName name="LME" localSheetId="12">#REF!</definedName>
    <definedName name="LME">#REF!</definedName>
    <definedName name="luj" localSheetId="8" hidden="1">{#N/A,#N/A,FALSE,"model"}</definedName>
    <definedName name="luj" hidden="1">{#N/A,#N/A,FALSE,"model"}</definedName>
    <definedName name="mdlfile" localSheetId="12">'[5]#REF'!$C$17</definedName>
    <definedName name="mdlfile" localSheetId="2">'[2]#REF'!$C$17</definedName>
    <definedName name="mdlfile">'[3]#REF'!$C$17</definedName>
    <definedName name="mdlfile2" localSheetId="12">'[5]#REF'!$F$17</definedName>
    <definedName name="mdlfile2" localSheetId="2">'[2]#REF'!$F$17</definedName>
    <definedName name="mdlfile2">'[3]#REF'!$F$17</definedName>
    <definedName name="mes" localSheetId="12">#REF!</definedName>
    <definedName name="mes" localSheetId="2">#REF!</definedName>
    <definedName name="mes">#REF!</definedName>
    <definedName name="MÊS" localSheetId="12">#REF!</definedName>
    <definedName name="MÊS" localSheetId="2">#REF!</definedName>
    <definedName name="MÊS">#REF!</definedName>
    <definedName name="minsain1">"minent1"</definedName>
    <definedName name="MktValue_perAC" localSheetId="12">'[5]INCOME STATEMENT'!#REF!</definedName>
    <definedName name="MktValue_perAC" localSheetId="2">'[2]INCOME STATEMENT'!#REF!</definedName>
    <definedName name="MktValue_perAC">'[3]INCOME STATEMENT'!#REF!</definedName>
    <definedName name="mnb" localSheetId="8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mnb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MOBILE" localSheetId="12">'[5]#REF'!$G$89:$O$145</definedName>
    <definedName name="MOBILE" localSheetId="2">'[2]#REF'!$G$89:$O$145</definedName>
    <definedName name="MOBILE">'[3]#REF'!$G$89:$O$145</definedName>
    <definedName name="MOBMKT" localSheetId="12">'[5]#REF'!$A$89:$L$145</definedName>
    <definedName name="MOBMKT" localSheetId="2">'[2]#REF'!$A$89:$L$145</definedName>
    <definedName name="MOBMKT">'[3]#REF'!$A$89:$L$145</definedName>
    <definedName name="Model_Pão_de_Açucar_ValResults_List" localSheetId="12">'[5]#REF'!$B$2:$E$5</definedName>
    <definedName name="Model_Pão_de_Açucar_ValResults_List" localSheetId="2">'[2]#REF'!$B$2:$E$5</definedName>
    <definedName name="Model_Pão_de_Açucar_ValResults_List">'[3]#REF'!$B$2:$E$5</definedName>
    <definedName name="MOU_Cartera" localSheetId="12">#REF!</definedName>
    <definedName name="MOU_Cartera" localSheetId="2">#REF!</definedName>
    <definedName name="MOU_Cartera">#REF!</definedName>
    <definedName name="MOU_Contrato" localSheetId="12">#REF!</definedName>
    <definedName name="MOU_Contrato" localSheetId="2">#REF!</definedName>
    <definedName name="MOU_Contrato">#REF!</definedName>
    <definedName name="MOU_Empresas" localSheetId="12">#REF!</definedName>
    <definedName name="MOU_Empresas" localSheetId="2">#REF!</definedName>
    <definedName name="MOU_Empresas">#REF!</definedName>
    <definedName name="MOU_Prepago" localSheetId="12">#REF!</definedName>
    <definedName name="MOU_Prepago" localSheetId="2">#REF!</definedName>
    <definedName name="MOU_Prepago">#REF!</definedName>
    <definedName name="MOU_Pyme" localSheetId="12">#REF!</definedName>
    <definedName name="MOU_Pyme" localSheetId="2">#REF!</definedName>
    <definedName name="MOU_Pyme">#REF!</definedName>
    <definedName name="MOU_Residencial" localSheetId="12">#REF!</definedName>
    <definedName name="MOU_Residencial" localSheetId="2">#REF!</definedName>
    <definedName name="MOU_Residencial">#REF!</definedName>
    <definedName name="Mutações" localSheetId="12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11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8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hidden="1">{#N/A,#N/A,FALSE,"Relatórios";"Vendas e Custos",#N/A,FALSE,"Vendas e Custos";"Premissas",#N/A,FALSE,"Premissas";"Projeções",#N/A,FALSE,"Projeções";"Dolar",#N/A,FALSE,"Dolar";"Original",#N/A,FALSE,"Original e UFIR"}</definedName>
    <definedName name="n" localSheetId="12">[5]Telcel:Supplier!$B$57:$AD$410</definedName>
    <definedName name="n" localSheetId="2">[2]Telcel:Supplier!$B$57:$AD$410</definedName>
    <definedName name="n">[3]Telcel:Supplier!$B$57:$AD$410</definedName>
    <definedName name="Nicaragua__Cellular_Subscribers_by_Standard__1994_2001" localSheetId="12">'[5]#REF'!$A$29</definedName>
    <definedName name="Nicaragua__Cellular_Subscribers_by_Standard__1994_2001" localSheetId="2">'[2]#REF'!$A$29</definedName>
    <definedName name="Nicaragua__Cellular_Subscribers_by_Standard__1994_2001">'[3]#REF'!$A$29</definedName>
    <definedName name="nmb" localSheetId="8" hidden="1">{#N/A,#N/A,FALSE,"model"}</definedName>
    <definedName name="nmb" hidden="1">{#N/A,#N/A,FALSE,"model"}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ç">'[16]P&amp;L Cash Flow'!#REF!</definedName>
    <definedName name="nuçui" localSheetId="8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nuçui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NUMERODEORDEM">#REF!</definedName>
    <definedName name="o8g" localSheetId="8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o8g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o8gg7" localSheetId="8" hidden="1">{#N/A,#N/A,FALSE,"model"}</definedName>
    <definedName name="o8gg7" hidden="1">{#N/A,#N/A,FALSE,"model"}</definedName>
    <definedName name="o8gy" localSheetId="8" hidden="1">{#N/A,#N/A,FALSE,"model"}</definedName>
    <definedName name="o8gy" hidden="1">{#N/A,#N/A,FALSE,"model"}</definedName>
    <definedName name="ogy" localSheetId="8" hidden="1">{#N/A,#N/A,FALSE,"Relatórios";"Vendas e Custos",#N/A,FALSE,"Vendas e Custos";"Premissas",#N/A,FALSE,"Premissas";"Projeções",#N/A,FALSE,"Projeções";"Dolar",#N/A,FALSE,"Dolar";"Original",#N/A,FALSE,"Original e UFIR"}</definedName>
    <definedName name="ogy" hidden="1">{#N/A,#N/A,FALSE,"Relatórios";"Vendas e Custos",#N/A,FALSE,"Vendas e Custos";"Premissas",#N/A,FALSE,"Premissas";"Projeções",#N/A,FALSE,"Projeções";"Dolar",#N/A,FALSE,"Dolar";"Original",#N/A,FALSE,"Original e UFIR"}</definedName>
    <definedName name="oi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oi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oih" localSheetId="8" hidden="1">{#N/A,#N/A,FALSE,"Relatórios";"Vendas e Custos",#N/A,FALSE,"Vendas e Custos";"Premissas",#N/A,FALSE,"Premissas";"Projeções",#N/A,FALSE,"Projeções";"Dolar",#N/A,FALSE,"Dolar";"Original",#N/A,FALSE,"Original e UFIR"}</definedName>
    <definedName name="oih" hidden="1">{#N/A,#N/A,FALSE,"Relatórios";"Vendas e Custos",#N/A,FALSE,"Vendas e Custos";"Premissas",#N/A,FALSE,"Premissas";"Projeções",#N/A,FALSE,"Projeções";"Dolar",#N/A,FALSE,"Dolar";"Original",#N/A,FALSE,"Original e UFIR"}</definedName>
    <definedName name="oiu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oiu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ok" hidden="1">{#N/A,#N/A,FALSE,"Calc";#N/A,#N/A,FALSE,"Sensitivity";#N/A,#N/A,FALSE,"LT Earn.Dil.";#N/A,#N/A,FALSE,"Dil. AVP"}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PCAO" localSheetId="12">#REF!</definedName>
    <definedName name="OPCAO">#REF!</definedName>
    <definedName name="OpCosts_Summary" localSheetId="12">'[5]INCOME STATEMENT'!#REF!</definedName>
    <definedName name="OpCosts_Summary" localSheetId="2">'[2]INCOME STATEMENT'!#REF!</definedName>
    <definedName name="OpCosts_Summary">'[3]INCOME STATEMENT'!#REF!</definedName>
    <definedName name="OpRev_Summary" localSheetId="12">'[5]INCOME STATEMENT'!#REF!</definedName>
    <definedName name="OpRev_Summary" localSheetId="2">'[2]INCOME STATEMENT'!#REF!</definedName>
    <definedName name="OpRev_Summary">'[3]INCOME STATEMENT'!#REF!</definedName>
    <definedName name="ORÇAMENTO_K___B" localSheetId="12">#REF!</definedName>
    <definedName name="ORÇAMENTO_K___B">#REF!</definedName>
    <definedName name="ORÇAMENTO_ORIGINAL" localSheetId="12">#REF!</definedName>
    <definedName name="ORÇAMENTO_ORIGINAL">#REF!</definedName>
    <definedName name="ORDEMTERRITORIO">#REF!</definedName>
    <definedName name="Other" localSheetId="12">'[5]#REF'!$N$2:$O$15</definedName>
    <definedName name="Other" localSheetId="2">'[2]#REF'!$N$2:$O$15</definedName>
    <definedName name="Other">'[3]#REF'!$N$2:$O$15</definedName>
    <definedName name="OtherRank" localSheetId="12">'[5]#REF'!$J$2:$L$15</definedName>
    <definedName name="OtherRank" localSheetId="2">'[2]#REF'!$J$2:$L$15</definedName>
    <definedName name="OtherRank">'[3]#REF'!$J$2:$L$15</definedName>
    <definedName name="OtherRev_Summary" localSheetId="12">'[5]INCOME STATEMENT'!#REF!</definedName>
    <definedName name="OtherRev_Summary" localSheetId="2">'[2]INCOME STATEMENT'!#REF!</definedName>
    <definedName name="OtherRev_Summary">'[3]INCOME STATEMENT'!#REF!</definedName>
    <definedName name="Otro" localSheetId="12">#REF!</definedName>
    <definedName name="Otro" localSheetId="2">#REF!</definedName>
    <definedName name="Otro">#REF!</definedName>
    <definedName name="ougy" localSheetId="8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ougy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pjçlk" localSheetId="8" hidden="1">{"'PXR_6500'!$A$1:$I$124"}</definedName>
    <definedName name="pjçlk" hidden="1">{"'PXR_6500'!$A$1:$I$124"}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ppp" localSheetId="1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localSheetId="1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1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1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xlnm.Print_Area" localSheetId="12">Anual!$A$6:$R$107</definedName>
    <definedName name="_xlnm.Print_Area" localSheetId="6">'Balance Sheet'!$A$1:$K$84</definedName>
    <definedName name="_xlnm.Print_Area" localSheetId="10">'Cash Flow'!$A$1:$N$65</definedName>
    <definedName name="_xlnm.Print_Area" localSheetId="5">'Income Statement'!$B$1:$J$82</definedName>
    <definedName name="_xlnm.Print_Area" localSheetId="2">Output!$B$8:$O$125</definedName>
    <definedName name="_xlnm.Print_Area">#REF!</definedName>
    <definedName name="PRIVATE" localSheetId="12">'[5]#REF'!$F$48:$N$87</definedName>
    <definedName name="PRIVATE" localSheetId="2">'[2]#REF'!$F$48:$N$87</definedName>
    <definedName name="PRIVATE">'[3]#REF'!$F$48:$N$87</definedName>
    <definedName name="Produção">#REF!</definedName>
    <definedName name="Produção_Evol" localSheetId="12">#REF!</definedName>
    <definedName name="Produção_Evol">#REF!</definedName>
    <definedName name="Prog_Invest" localSheetId="12">#REF!</definedName>
    <definedName name="Prog_Invest">#REF!</definedName>
    <definedName name="prout" hidden="1">{"comp1",#N/A,FALSE,"COMPS";"footnotes",#N/A,FALSE,"COMPS"}</definedName>
    <definedName name="PS">#REF!</definedName>
    <definedName name="PS_1" localSheetId="12">'[5]#REF'!$A$1:$X$45</definedName>
    <definedName name="PS_1" localSheetId="2">'[2]#REF'!$A$1:$X$45</definedName>
    <definedName name="PS_1">'[3]#REF'!$A$1:$X$45</definedName>
    <definedName name="pubform" localSheetId="12">'[5]#REF'!$B$1:$Q$93</definedName>
    <definedName name="pubform" localSheetId="2">'[2]#REF'!$B$1:$Q$93</definedName>
    <definedName name="pubform">'[3]#REF'!$B$1:$Q$93</definedName>
    <definedName name="PUBLIC" localSheetId="12">'[5]#REF'!$F$53:$N$114</definedName>
    <definedName name="PUBLIC" localSheetId="2">'[2]#REF'!$F$53:$N$114</definedName>
    <definedName name="PUBLIC">'[3]#REF'!$F$53:$N$114</definedName>
    <definedName name="PUBMKT" localSheetId="12">'[5]#REF'!$A$53:$K$114</definedName>
    <definedName name="PUBMKT" localSheetId="2">'[2]#REF'!$A$53:$K$114</definedName>
    <definedName name="PUBMKT">'[3]#REF'!$A$53:$K$114</definedName>
    <definedName name="PVTMKT" localSheetId="12">'[5]#REF'!$A$48:$K$92</definedName>
    <definedName name="PVTMKT" localSheetId="2">'[2]#REF'!$A$48:$K$92</definedName>
    <definedName name="PVTMKT">'[3]#REF'!$A$48:$K$92</definedName>
    <definedName name="q">#REF!</definedName>
    <definedName name="qqq" localSheetId="1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localSheetId="1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1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1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Acquiror">'[17]Reverse Assumptions'!$C$6</definedName>
    <definedName name="RAcquiror_FX">'[17]Reverse Assumptions'!$C$10</definedName>
    <definedName name="Reais">#REF!</definedName>
    <definedName name="Receita_ate_mes" localSheetId="12">#REF!</definedName>
    <definedName name="Receita_ate_mes">#REF!</definedName>
    <definedName name="Receita_no_mes" localSheetId="12">#REF!</definedName>
    <definedName name="Receita_no_mes">#REF!</definedName>
    <definedName name="RefDir" localSheetId="12">'[5]#REF'!$C$13</definedName>
    <definedName name="RefDir" localSheetId="2">'[2]#REF'!$C$13</definedName>
    <definedName name="RefDir">'[3]#REF'!$C$13</definedName>
    <definedName name="RESULTADO">#REF!</definedName>
    <definedName name="RESULTS">#REF!</definedName>
    <definedName name="RESUMEN">#REF!</definedName>
    <definedName name="resumo">[7]desagregado!$F$4:$J$77</definedName>
    <definedName name="rrr" localSheetId="1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localSheetId="1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1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1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Target">'[17]Reverse Assumptions'!$E$6</definedName>
    <definedName name="Rtarget_FX">'[17]Reverse Assumptions'!$E$10</definedName>
    <definedName name="rty" hidden="1">{#N/A,#N/A,TRUE,"Pro Forma";#N/A,#N/A,TRUE,"PF_Bal";#N/A,#N/A,TRUE,"PF_INC";#N/A,#N/A,TRUE,"CBE";#N/A,#N/A,TRUE,"SWK"}</definedName>
    <definedName name="s" hidden="1">{#N/A,#N/A,FALSE,"output";#N/A,#N/A,FALSE,"contrib";#N/A,#N/A,FALSE,"profile";#N/A,#N/A,FALSE,"comps"}</definedName>
    <definedName name="SAC_Total_Altas">#REF!</definedName>
    <definedName name="SAC_Unitario" localSheetId="12">#REF!</definedName>
    <definedName name="SAC_Unitario">#REF!</definedName>
    <definedName name="Scenario" localSheetId="12">'[5]#REF'!$C$6</definedName>
    <definedName name="Scenario" localSheetId="2">'[2]#REF'!$C$6</definedName>
    <definedName name="Scenario">'[3]#REF'!$C$6</definedName>
    <definedName name="sdf" hidden="1">{#N/A,#N/A,FALSE,"Calc";#N/A,#N/A,FALSE,"Sensitivity";#N/A,#N/A,FALSE,"LT Earn.Dil.";#N/A,#N/A,FALSE,"Dil. AVP"}</definedName>
    <definedName name="sdgdfghfhgfjhgfjhjjjg" hidden="1">{"general",#N/A,FALSE,"Assumptions"}</definedName>
    <definedName name="sdsvfsd" localSheetId="8" hidden="1">{"'RELATÓRIO'!$A$1:$E$20","'RELATÓRIO'!$A$22:$D$34","'INTERNET'!$A$31:$G$58","'INTERNET'!$A$1:$G$28","'SÉRIE HISTÓRICA'!$A$167:$H$212","'SÉRIE HISTÓRICA'!$A$56:$H$101"}</definedName>
    <definedName name="sdsvfsd" hidden="1">{"'RELATÓRIO'!$A$1:$E$20","'RELATÓRIO'!$A$22:$D$34","'INTERNET'!$A$31:$G$58","'INTERNET'!$A$1:$G$28","'SÉRIE HISTÓRICA'!$A$167:$H$212","'SÉRIE HISTÓRICA'!$A$56:$H$101"}</definedName>
    <definedName name="se" hidden="1">{"consolidated",#N/A,FALSE,"Sheet1";"cms",#N/A,FALSE,"Sheet1";"fse",#N/A,FALSE,"Sheet1"}</definedName>
    <definedName name="SeatAnalysis_Fleet" localSheetId="12">'[5]INCOME STATEMENT'!#REF!</definedName>
    <definedName name="SeatAnalysis_Fleet" localSheetId="2">'[2]INCOME STATEMENT'!#REF!</definedName>
    <definedName name="SeatAnalysis_Fleet">'[3]INCOME STATEMENT'!#REF!</definedName>
    <definedName name="SeatAnalysis_OpLease" localSheetId="12">'[5]INCOME STATEMENT'!#REF!</definedName>
    <definedName name="SeatAnalysis_OpLease" localSheetId="2">'[2]INCOME STATEMENT'!#REF!</definedName>
    <definedName name="SeatAnalysis_OpLease">'[3]INCOME STATEMENT'!#REF!</definedName>
    <definedName name="SEN96IB_Page" localSheetId="12">'[5]#REF'!$A$1:$Q$155</definedName>
    <definedName name="SEN96IB_Page" localSheetId="2">'[2]#REF'!$A$1:$Q$155</definedName>
    <definedName name="SEN96IB_Page">'[3]#REF'!$A$1:$Q$155</definedName>
    <definedName name="sencount" hidden="1">1</definedName>
    <definedName name="Sens_Datos_Pre" localSheetId="12">#REF!</definedName>
    <definedName name="Sens_Datos_Pre" localSheetId="2">#REF!</definedName>
    <definedName name="Sens_Datos_Pre">#REF!</definedName>
    <definedName name="Sens_MOU_Pre" localSheetId="12">#REF!</definedName>
    <definedName name="Sens_MOU_Pre" localSheetId="2">#REF!</definedName>
    <definedName name="Sens_MOU_Pre">#REF!</definedName>
    <definedName name="Sens_MouE_Emp" localSheetId="12">#REF!</definedName>
    <definedName name="Sens_MouE_Emp" localSheetId="2">#REF!</definedName>
    <definedName name="Sens_MouE_Emp">#REF!</definedName>
    <definedName name="Sens_MouE_Pre" localSheetId="12">#REF!</definedName>
    <definedName name="Sens_MouE_Pre" localSheetId="2">#REF!</definedName>
    <definedName name="Sens_MouE_Pre">#REF!</definedName>
    <definedName name="Sens_MouE_Pym" localSheetId="12">#REF!</definedName>
    <definedName name="Sens_MouE_Pym" localSheetId="2">#REF!</definedName>
    <definedName name="Sens_MouE_Pym">#REF!</definedName>
    <definedName name="Sens_MouE_Res" localSheetId="12">#REF!</definedName>
    <definedName name="Sens_MouE_Res" localSheetId="2">#REF!</definedName>
    <definedName name="Sens_MouE_Res">#REF!</definedName>
    <definedName name="Sens_MouS_Emp" localSheetId="12">#REF!</definedName>
    <definedName name="Sens_MouS_Emp" localSheetId="2">#REF!</definedName>
    <definedName name="Sens_MouS_Emp">#REF!</definedName>
    <definedName name="Sens_MouS_Pre" localSheetId="12">#REF!</definedName>
    <definedName name="Sens_MouS_Pre" localSheetId="2">#REF!</definedName>
    <definedName name="Sens_MouS_Pre">#REF!</definedName>
    <definedName name="Sens_MouS_Pym" localSheetId="12">#REF!</definedName>
    <definedName name="Sens_MouS_Pym" localSheetId="2">#REF!</definedName>
    <definedName name="Sens_MouS_Pym">#REF!</definedName>
    <definedName name="Sens_MouS_Res" localSheetId="12">#REF!</definedName>
    <definedName name="Sens_MouS_Res" localSheetId="2">#REF!</definedName>
    <definedName name="Sens_MouS_Res">#REF!</definedName>
    <definedName name="Sens_SMS_Pre" localSheetId="12">#REF!</definedName>
    <definedName name="Sens_SMS_Pre" localSheetId="2">#REF!</definedName>
    <definedName name="Sens_SMS_Pre">#REF!</definedName>
    <definedName name="SERVIC" localSheetId="12">'[5]Telecom Assumptions:MobileIB'!$A$2:$N$1020</definedName>
    <definedName name="SERVIC" localSheetId="2">'[2]Telecom Assumptions:MobileIB'!$A$2:$N$1020</definedName>
    <definedName name="SERVIC">'[3]Telecom Assumptions:MobileIB'!$A$2:$N$1020</definedName>
    <definedName name="StPoint" localSheetId="12">'[5]#REF'!$A$1</definedName>
    <definedName name="StPoint" localSheetId="2">'[2]#REF'!$A$1</definedName>
    <definedName name="StPoint">'[3]#REF'!$A$1</definedName>
    <definedName name="t" localSheetId="12" hidden="1">{#N/A,#N/A,FALSE,"Relatórios";"Vendas e Custos",#N/A,FALSE,"Vendas e Custos";"Premissas",#N/A,FALSE,"Premissas";"Projeções",#N/A,FALSE,"Projeções";"Dolar",#N/A,FALSE,"Dolar";"Original",#N/A,FALSE,"Original e UFIR"}</definedName>
    <definedName name="t" localSheetId="11">{#N/A,#N/A,FALSE,"Relatórios";"Vendas e Custos",#N/A,FALSE,"Vendas e Custos";"Premissas",#N/A,FALSE,"Premissas";"Projeções",#N/A,FALSE,"Projeções";"Dolar",#N/A,FALSE,"Dolar";"Original",#N/A,FALSE,"Original e UFIR"}</definedName>
    <definedName name="t" localSheetId="2">{#N/A,#N/A,FALSE,"Relatórios";"Vendas e Custos",#N/A,FALSE,"Vendas e Custos";"Premissas",#N/A,FALSE,"Premissas";"Projeções",#N/A,FALSE,"Projeções";"Dolar",#N/A,FALSE,"Dolar";"Original",#N/A,FALSE,"Original e UFIR"}</definedName>
    <definedName name="t" localSheetId="8">{#N/A,#N/A,FALSE,"Relatórios";"Vendas e Custos",#N/A,FALSE,"Vendas e Custos";"Premissas",#N/A,FALSE,"Premissas";"Projeções",#N/A,FALSE,"Projeções";"Dolar",#N/A,FALSE,"Dolar";"Original",#N/A,FALSE,"Original e UFIR"}</definedName>
    <definedName name="t">{#N/A,#N/A,FALSE,"Relatórios";"Vendas e Custos",#N/A,FALSE,"Vendas e Custos";"Premissas",#N/A,FALSE,"Premissas";"Projeções",#N/A,FALSE,"Projeções";"Dolar",#N/A,FALSE,"Dolar";"Original",#N/A,FALSE,"Original e UFIR"}</definedName>
    <definedName name="TABELA">#REF!</definedName>
    <definedName name="TabelReeks" localSheetId="12">'[5]#REF'!$C$5:$M$42</definedName>
    <definedName name="TabelReeks" localSheetId="2">'[2]#REF'!$C$5:$M$42</definedName>
    <definedName name="TabelReeks">'[3]#REF'!$C$5:$M$42</definedName>
    <definedName name="Target">#REF!</definedName>
    <definedName name="Target_GSM" localSheetId="12">[13]Market!#REF!</definedName>
    <definedName name="Target_GSM" localSheetId="2">[14]Market!#REF!</definedName>
    <definedName name="Target_GSM">[15]Market!#REF!</definedName>
    <definedName name="Target_TDMA" localSheetId="12">[13]Market!#REF!</definedName>
    <definedName name="Target_TDMA" localSheetId="2">[14]Market!#REF!</definedName>
    <definedName name="Target_TDMA">[15]Market!#REF!</definedName>
    <definedName name="Tarifa">[8]Dados!#REF!</definedName>
    <definedName name="TDMA_Average" localSheetId="12">[13]Market!#REF!</definedName>
    <definedName name="TDMA_Average" localSheetId="2">[14]Market!#REF!</definedName>
    <definedName name="TDMA_Average">[15]Market!#REF!</definedName>
    <definedName name="TDMA_average_diff" localSheetId="12">[13]Market!#REF!</definedName>
    <definedName name="TDMA_average_diff" localSheetId="2">[14]Market!#REF!</definedName>
    <definedName name="TDMA_average_diff">[15]Market!#REF!</definedName>
    <definedName name="TECNOFIBRAS" localSheetId="12" hidden="1">{"'PXR_6500'!$A$1:$I$124"}</definedName>
    <definedName name="TECNOFIBRAS" localSheetId="11" hidden="1">{"'PXR_6500'!$A$1:$I$124"}</definedName>
    <definedName name="TECNOFIBRAS" localSheetId="2" hidden="1">{"'PXR_6500'!$A$1:$I$124"}</definedName>
    <definedName name="TECNOFIBRAS" localSheetId="8" hidden="1">{"'PXR_6500'!$A$1:$I$124"}</definedName>
    <definedName name="TECNOFIBRAS" hidden="1">{"'PXR_6500'!$A$1:$I$124"}</definedName>
    <definedName name="TECNOFIBRAS2" localSheetId="12" hidden="1">{"'PXR_6500'!$A$1:$I$124"}</definedName>
    <definedName name="TECNOFIBRAS2" localSheetId="11" hidden="1">{"'PXR_6500'!$A$1:$I$124"}</definedName>
    <definedName name="TECNOFIBRAS2" localSheetId="2" hidden="1">{"'PXR_6500'!$A$1:$I$124"}</definedName>
    <definedName name="TECNOFIBRAS2" localSheetId="8" hidden="1">{"'PXR_6500'!$A$1:$I$124"}</definedName>
    <definedName name="TECNOFIBRAS2" hidden="1">{"'PXR_6500'!$A$1:$I$124"}</definedName>
    <definedName name="TESTE" localSheetId="12" hidden="1">{"CONSOLIDADO",#N/A,FALSE,"COMENTARIOS"}</definedName>
    <definedName name="TESTE" localSheetId="11" hidden="1">{"CONSOLIDADO",#N/A,FALSE,"COMENTARIOS"}</definedName>
    <definedName name="TESTE" localSheetId="2" hidden="1">{"CONSOLIDADO",#N/A,FALSE,"COMENTARIOS"}</definedName>
    <definedName name="TESTE" localSheetId="8" hidden="1">{"CONSOLIDADO",#N/A,FALSE,"COMENTARIOS"}</definedName>
    <definedName name="TESTE" hidden="1">{"CONSOLIDADO",#N/A,FALSE,"COMENTARIOS"}</definedName>
    <definedName name="Title" localSheetId="12">'[18]P&amp;L Cash Flow'!#REF!</definedName>
    <definedName name="Title" localSheetId="2">'[19]P&amp;L Cash Flow'!#REF!</definedName>
    <definedName name="Title">'[20]P&amp;L Cash Flow'!#REF!</definedName>
    <definedName name="tjlp">#REF!</definedName>
    <definedName name="TOTAL" localSheetId="12">[5]Telcel:Supplier!$B$57:$AD$410</definedName>
    <definedName name="TOTAL" localSheetId="2">[2]Telcel:Supplier!$B$57:$AD$410</definedName>
    <definedName name="TOTAL">[3]Telcel:Supplier!$B$57:$AD$410</definedName>
    <definedName name="TOTORDEMBLC_UNIC">#REF!</definedName>
    <definedName name="Trial_Cashflow" localSheetId="12">'[5]INCOME STATEMENT'!#REF!</definedName>
    <definedName name="Trial_Cashflow" localSheetId="2">'[2]INCOME STATEMENT'!#REF!</definedName>
    <definedName name="Trial_Cashflow">'[3]INCOME STATEMENT'!#REF!</definedName>
    <definedName name="U" localSheetId="12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U" localSheetId="11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U" localSheetId="2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U" localSheetId="8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U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UFIR">#REF!</definedName>
    <definedName name="uo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uo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uog" localSheetId="8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uog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USD">'[21]Control Panel'!$I$1</definedName>
    <definedName name="Val_date">[9]Assumptions!$C$15</definedName>
    <definedName name="value_date" localSheetId="12">#REF!</definedName>
    <definedName name="value_date">#REF!</definedName>
    <definedName name="Vendas_Quant" localSheetId="12">#REF!</definedName>
    <definedName name="Vendas_Quant">#REF!</definedName>
    <definedName name="Vendas_Quant_Evol" localSheetId="12">#REF!</definedName>
    <definedName name="Vendas_Quant_Evol">#REF!</definedName>
    <definedName name="VF_Arg" localSheetId="12">#REF!</definedName>
    <definedName name="VF_Arg">#REF!</definedName>
    <definedName name="VF_Ch" localSheetId="12">#REF!</definedName>
    <definedName name="VF_Ch">#REF!</definedName>
    <definedName name="VR">#REF!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dministracion." localSheetId="12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11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2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8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NALISIS._.SENSIBILIDAD." localSheetId="12" hidden="1">{#N/A,#N/A,FALSE,"BALANCE";#N/A,#N/A,FALSE,"CUENTA DE PYG";#N/A,#N/A,FALSE,"RATIOS"}</definedName>
    <definedName name="wrn.ANALISIS._.SENSIBILIDAD." localSheetId="11" hidden="1">{#N/A,#N/A,FALSE,"BALANCE";#N/A,#N/A,FALSE,"CUENTA DE PYG";#N/A,#N/A,FALSE,"RATIOS"}</definedName>
    <definedName name="wrn.ANALISIS._.SENSIBILIDAD." localSheetId="2" hidden="1">{#N/A,#N/A,FALSE,"BALANCE";#N/A,#N/A,FALSE,"CUENTA DE PYG";#N/A,#N/A,FALSE,"RATIOS"}</definedName>
    <definedName name="wrn.ANALISIS._.SENSIBILIDAD." localSheetId="8" hidden="1">{#N/A,#N/A,FALSE,"BALANCE";#N/A,#N/A,FALSE,"CUENTA DE PYG";#N/A,#N/A,FALSE,"RATIOS"}</definedName>
    <definedName name="wrn.ANALISIS._.SENSIBILIDAD." hidden="1">{#N/A,#N/A,FALSE,"BALANCE";#N/A,#N/A,FALSE,"CUENTA DE PYG";#N/A,#N/A,FALSE,"RATIOS"}</definedName>
    <definedName name="wrn.assumptions." hidden="1">{"casespecific",#N/A,FALSE,"Assumptions"}</definedName>
    <definedName name="wrn.away." hidden="1">{"away stand alones",#N/A,FALSE,"Target"}</definedName>
    <definedName name="wrn.brian." hidden="1">{#N/A,#N/A,FALSE,"output";#N/A,#N/A,FALSE,"contrib";#N/A,#N/A,FALSE,"profile";#N/A,#N/A,FALSE,"comps"}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s." hidden="1">{"comps",#N/A,FALSE,"comps";"notes",#N/A,FALSE,"comps"}</definedName>
    <definedName name="wrn.cooper." hidden="1">{#N/A,#N/A,TRUE,"Pro Forma";#N/A,#N/A,TRUE,"PF_Bal";#N/A,#N/A,TRUE,"PF_INC";#N/A,#N/A,TRUE,"CBE";#N/A,#N/A,TRUE,"SWK"}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quity._.comps." hidden="1">{"equity comps",#N/A,FALSE,"CS Comps";"equity comps",#N/A,FALSE,"PS Comps";"equity comps",#N/A,FALSE,"GIC_Comps";"equity comps",#N/A,FALSE,"GIC2_Comps"}</definedName>
    <definedName name="wrn.forecast." localSheetId="12" hidden="1">{#N/A,#N/A,FALSE,"model"}</definedName>
    <definedName name="wrn.forecast." localSheetId="11" hidden="1">{#N/A,#N/A,FALSE,"model"}</definedName>
    <definedName name="wrn.forecast." localSheetId="2" hidden="1">{#N/A,#N/A,FALSE,"model"}</definedName>
    <definedName name="wrn.forecast." localSheetId="8" hidden="1">{#N/A,#N/A,FALSE,"model"}</definedName>
    <definedName name="wrn.forecast." hidden="1">{#N/A,#N/A,FALSE,"model"}</definedName>
    <definedName name="wrn.forecast2" localSheetId="12" hidden="1">{#N/A,#N/A,FALSE,"model"}</definedName>
    <definedName name="wrn.forecast2" localSheetId="11" hidden="1">{#N/A,#N/A,FALSE,"model"}</definedName>
    <definedName name="wrn.forecast2" localSheetId="2" hidden="1">{#N/A,#N/A,FALSE,"model"}</definedName>
    <definedName name="wrn.forecast2" localSheetId="8" hidden="1">{#N/A,#N/A,FALSE,"model"}</definedName>
    <definedName name="wrn.forecast2" hidden="1">{#N/A,#N/A,FALSE,"model"}</definedName>
    <definedName name="wrn.forecastassumptions." localSheetId="12" hidden="1">{#N/A,#N/A,FALSE,"model"}</definedName>
    <definedName name="wrn.forecastassumptions." localSheetId="11" hidden="1">{#N/A,#N/A,FALSE,"model"}</definedName>
    <definedName name="wrn.forecastassumptions." localSheetId="2" hidden="1">{#N/A,#N/A,FALSE,"model"}</definedName>
    <definedName name="wrn.forecastassumptions." localSheetId="8" hidden="1">{#N/A,#N/A,FALSE,"model"}</definedName>
    <definedName name="wrn.forecastassumptions." hidden="1">{#N/A,#N/A,FALSE,"model"}</definedName>
    <definedName name="wrn.forecastassumptions2" localSheetId="12" hidden="1">{#N/A,#N/A,FALSE,"model"}</definedName>
    <definedName name="wrn.forecastassumptions2" localSheetId="11" hidden="1">{#N/A,#N/A,FALSE,"model"}</definedName>
    <definedName name="wrn.forecastassumptions2" localSheetId="2" hidden="1">{#N/A,#N/A,FALSE,"model"}</definedName>
    <definedName name="wrn.forecastassumptions2" localSheetId="8" hidden="1">{#N/A,#N/A,FALSE,"model"}</definedName>
    <definedName name="wrn.forecastassumptions2" hidden="1">{#N/A,#N/A,FALSE,"model"}</definedName>
    <definedName name="wrn.forecastROIC." localSheetId="12" hidden="1">{#N/A,#N/A,FALSE,"model"}</definedName>
    <definedName name="wrn.forecastROIC." localSheetId="11" hidden="1">{#N/A,#N/A,FALSE,"model"}</definedName>
    <definedName name="wrn.forecastROIC." localSheetId="2" hidden="1">{#N/A,#N/A,FALSE,"model"}</definedName>
    <definedName name="wrn.forecastROIC." localSheetId="8" hidden="1">{#N/A,#N/A,FALSE,"model"}</definedName>
    <definedName name="wrn.forecastROIC." hidden="1">{#N/A,#N/A,FALSE,"model"}</definedName>
    <definedName name="wrn.forecastROIC2" localSheetId="12" hidden="1">{#N/A,#N/A,FALSE,"model"}</definedName>
    <definedName name="wrn.forecastROIC2" localSheetId="11" hidden="1">{#N/A,#N/A,FALSE,"model"}</definedName>
    <definedName name="wrn.forecastROIC2" localSheetId="2" hidden="1">{#N/A,#N/A,FALSE,"model"}</definedName>
    <definedName name="wrn.forecastROIC2" localSheetId="8" hidden="1">{#N/A,#N/A,FALSE,"model"}</definedName>
    <definedName name="wrn.forecastROIC2" hidden="1">{#N/A,#N/A,FALSE,"model"}</definedName>
    <definedName name="wrn.Geral." localSheetId="12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11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8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hidden="1">{#N/A,#N/A,FALSE,"Relatórios";"Vendas e Custos",#N/A,FALSE,"Vendas e Custos";"Premissas",#N/A,FALSE,"Premissas";"Projeções",#N/A,FALSE,"Projeções";"Dolar",#N/A,FALSE,"Dolar";"Original",#N/A,FALSE,"Original e UFIR"}</definedName>
    <definedName name="wrn.history." localSheetId="12" hidden="1">{#N/A,#N/A,FALSE,"model"}</definedName>
    <definedName name="wrn.history." localSheetId="11" hidden="1">{#N/A,#N/A,FALSE,"model"}</definedName>
    <definedName name="wrn.history." localSheetId="2" hidden="1">{#N/A,#N/A,FALSE,"model"}</definedName>
    <definedName name="wrn.history." localSheetId="8" hidden="1">{#N/A,#N/A,FALSE,"model"}</definedName>
    <definedName name="wrn.history." hidden="1">{#N/A,#N/A,FALSE,"model"}</definedName>
    <definedName name="wrn.history2" localSheetId="12" hidden="1">{#N/A,#N/A,FALSE,"model"}</definedName>
    <definedName name="wrn.history2" localSheetId="11" hidden="1">{#N/A,#N/A,FALSE,"model"}</definedName>
    <definedName name="wrn.history2" localSheetId="2" hidden="1">{#N/A,#N/A,FALSE,"model"}</definedName>
    <definedName name="wrn.history2" localSheetId="8" hidden="1">{#N/A,#N/A,FALSE,"model"}</definedName>
    <definedName name="wrn.history2" hidden="1">{#N/A,#N/A,FALSE,"model"}</definedName>
    <definedName name="wrn.histROIC." localSheetId="12" hidden="1">{#N/A,#N/A,FALSE,"model"}</definedName>
    <definedName name="wrn.histROIC." localSheetId="11" hidden="1">{#N/A,#N/A,FALSE,"model"}</definedName>
    <definedName name="wrn.histROIC." localSheetId="2" hidden="1">{#N/A,#N/A,FALSE,"model"}</definedName>
    <definedName name="wrn.histROIC." localSheetId="8" hidden="1">{#N/A,#N/A,FALSE,"model"}</definedName>
    <definedName name="wrn.histROIC." hidden="1">{#N/A,#N/A,FALSE,"model"}</definedName>
    <definedName name="wrn.histROIC2" localSheetId="12" hidden="1">{#N/A,#N/A,FALSE,"model"}</definedName>
    <definedName name="wrn.histROIC2" localSheetId="11" hidden="1">{#N/A,#N/A,FALSE,"model"}</definedName>
    <definedName name="wrn.histROIC2" localSheetId="2" hidden="1">{#N/A,#N/A,FALSE,"model"}</definedName>
    <definedName name="wrn.histROIC2" localSheetId="8" hidden="1">{#N/A,#N/A,FALSE,"model"}</definedName>
    <definedName name="wrn.histROIC2" hidden="1">{#N/A,#N/A,FALSE,"model"}</definedName>
    <definedName name="wrn.Informe._.Mensual." localSheetId="12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11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2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8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localSheetId="12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11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2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8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memo." hidden="1">{#N/A,#N/A,TRUE,"financial";#N/A,#N/A,TRUE,"plants"}</definedName>
    <definedName name="wrn.Memoria97." localSheetId="1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1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8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localSheetId="12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11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2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8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RELATÓRIO._.CONTÁBIL." localSheetId="12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11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2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8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sensitivity._.analyses." hidden="1">{"general",#N/A,FALSE,"Assumptions"}</definedName>
    <definedName name="wrn.stand_alone." hidden="1">{#N/A,#N/A,FALSE,"CBE";#N/A,#N/A,FALSE,"SWK"}</definedName>
    <definedName name="wrn.TODO." localSheetId="12" hidden="1">{#N/A,#N/A,FALSE,"RESUMEN";#N/A,#N/A,FALSE,"PARQ_C";#N/A,#N/A,FALSE,"PARQ_P";#N/A,#N/A,FALSE,"MIN_S_C";#N/A,#N/A,FALSE,"MIN_S_P";#N/A,#N/A,FALSE,"MIN_E_M_M";#N/A,#N/A,FALSE,"MIN_E_FIJA";#N/A,#N/A,FALSE,"SUPUESTOS"}</definedName>
    <definedName name="wrn.TODO." localSheetId="11" hidden="1">{#N/A,#N/A,FALSE,"RESUMEN";#N/A,#N/A,FALSE,"PARQ_C";#N/A,#N/A,FALSE,"PARQ_P";#N/A,#N/A,FALSE,"MIN_S_C";#N/A,#N/A,FALSE,"MIN_S_P";#N/A,#N/A,FALSE,"MIN_E_M_M";#N/A,#N/A,FALSE,"MIN_E_FIJA";#N/A,#N/A,FALSE,"SUPUESTOS"}</definedName>
    <definedName name="wrn.TODO." localSheetId="2" hidden="1">{#N/A,#N/A,FALSE,"RESUMEN";#N/A,#N/A,FALSE,"PARQ_C";#N/A,#N/A,FALSE,"PARQ_P";#N/A,#N/A,FALSE,"MIN_S_C";#N/A,#N/A,FALSE,"MIN_S_P";#N/A,#N/A,FALSE,"MIN_E_M_M";#N/A,#N/A,FALSE,"MIN_E_FIJA";#N/A,#N/A,FALSE,"SUPUESTOS"}</definedName>
    <definedName name="wrn.TODO." localSheetId="8" hidden="1">{#N/A,#N/A,FALSE,"RESUMEN";#N/A,#N/A,FALSE,"PARQ_C";#N/A,#N/A,FALSE,"PARQ_P";#N/A,#N/A,FALSE,"MIN_S_C";#N/A,#N/A,FALSE,"MIN_S_P";#N/A,#N/A,FALSE,"MIN_E_M_M";#N/A,#N/A,FALSE,"MIN_E_FIJA";#N/A,#N/A,FALSE,"SUPUESTOS"}</definedName>
    <definedName name="wrn.TODO." hidden="1">{#N/A,#N/A,FALSE,"RESUMEN";#N/A,#N/A,FALSE,"PARQ_C";#N/A,#N/A,FALSE,"PARQ_P";#N/A,#N/A,FALSE,"MIN_S_C";#N/A,#N/A,FALSE,"MIN_S_P";#N/A,#N/A,FALSE,"MIN_E_M_M";#N/A,#N/A,FALSE,"MIN_E_FIJA";#N/A,#N/A,FALSE,"SUPUESTOS"}</definedName>
    <definedName name="wrn.TOTAL." localSheetId="12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localSheetId="11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localSheetId="2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localSheetId="8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up." hidden="1">{"up stand alones",#N/A,FALSE,"Acquiror"}</definedName>
    <definedName name="wrn.Wacc." hidden="1">{"Area1",#N/A,FALSE,"OREWACC";"Area2",#N/A,FALSE,"OREWACC"}</definedName>
    <definedName name="wrn1.history" localSheetId="12" hidden="1">{#N/A,#N/A,FALSE,"model"}</definedName>
    <definedName name="wrn1.history" localSheetId="11" hidden="1">{#N/A,#N/A,FALSE,"model"}</definedName>
    <definedName name="wrn1.history" localSheetId="2" hidden="1">{#N/A,#N/A,FALSE,"model"}</definedName>
    <definedName name="wrn1.history" localSheetId="8" hidden="1">{#N/A,#N/A,FALSE,"model"}</definedName>
    <definedName name="wrn1.history" hidden="1">{#N/A,#N/A,FALSE,"model"}</definedName>
    <definedName name="WRN2.Document" hidden="1">{"consolidated",#N/A,FALSE,"Sheet1";"cms",#N/A,FALSE,"Sheet1";"fse",#N/A,FALSE,"Sheet1"}</definedName>
    <definedName name="wrn3.histroic" localSheetId="12" hidden="1">{#N/A,#N/A,FALSE,"model"}</definedName>
    <definedName name="wrn3.histroic" localSheetId="11" hidden="1">{#N/A,#N/A,FALSE,"model"}</definedName>
    <definedName name="wrn3.histroic" localSheetId="2" hidden="1">{#N/A,#N/A,FALSE,"model"}</definedName>
    <definedName name="wrn3.histroic" localSheetId="8" hidden="1">{#N/A,#N/A,FALSE,"model"}</definedName>
    <definedName name="wrn3.histroic" hidden="1">{#N/A,#N/A,FALSE,"model"}</definedName>
    <definedName name="x" localSheetId="12">'[5]Telecom Assumptions:MobileIB'!$A$2:$N$1020</definedName>
    <definedName name="x" localSheetId="2">'[2]Telecom Assumptions:MobileIB'!$A$2:$N$1020</definedName>
    <definedName name="x">'[3]Telecom Assumptions:MobileIB'!$A$2:$N$1020</definedName>
    <definedName name="xx" localSheetId="12">#REF!</definedName>
    <definedName name="xx" localSheetId="2">#REF!</definedName>
    <definedName name="xx">#REF!</definedName>
    <definedName name="Y" localSheetId="12" hidden="1">{"CONSOLIDADO",#N/A,FALSE,"COMENTARIOS"}</definedName>
    <definedName name="y" localSheetId="11">{"CONSOLIDADO",#N/A,FALSE,"COMENTARIOS"}</definedName>
    <definedName name="y" localSheetId="2">{"CONSOLIDADO",#N/A,FALSE,"COMENTARIOS"}</definedName>
    <definedName name="y" localSheetId="8">{"CONSOLIDADO",#N/A,FALSE,"COMENTARIOS"}</definedName>
    <definedName name="y">{"CONSOLIDADO",#N/A,FALSE,"COMENTARIOS"}</definedName>
    <definedName name="ygu" localSheetId="8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ygu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器材TAB" localSheetId="12">'[5]#REF'!$A$2:$C$17</definedName>
    <definedName name="器材TAB" localSheetId="2">'[2]#REF'!$A$2:$C$17</definedName>
    <definedName name="器材TAB">'[3]#REF'!$A$2:$C$17</definedName>
    <definedName name="棚廠TAB" localSheetId="12">'[5]#REF'!$A$5:$G$165</definedName>
    <definedName name="棚廠TAB" localSheetId="2">'[2]#REF'!$A$5:$G$165</definedName>
    <definedName name="棚廠TAB">'[3]#REF'!$A$5:$G$165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22" l="1"/>
  <c r="I113" i="22" s="1"/>
  <c r="I149" i="22" s="1"/>
  <c r="J43" i="22"/>
  <c r="J113" i="22" s="1"/>
  <c r="J149" i="22" s="1"/>
  <c r="K43" i="22"/>
  <c r="K113" i="22" s="1"/>
  <c r="L43" i="22"/>
  <c r="L113" i="22" s="1"/>
  <c r="M43" i="22"/>
  <c r="M113" i="22" s="1"/>
  <c r="N43" i="22"/>
  <c r="N113" i="22" s="1"/>
  <c r="O43" i="22"/>
  <c r="O113" i="22" s="1"/>
  <c r="O149" i="22" s="1"/>
  <c r="P43" i="22"/>
  <c r="P113" i="22" s="1"/>
  <c r="Q43" i="22"/>
  <c r="Q113" i="22" s="1"/>
  <c r="R43" i="22"/>
  <c r="R113" i="22" s="1"/>
  <c r="R149" i="22" s="1"/>
  <c r="S43" i="22"/>
  <c r="S113" i="22" s="1"/>
  <c r="T43" i="22"/>
  <c r="U43" i="22"/>
  <c r="V43" i="22"/>
  <c r="W43" i="22"/>
  <c r="X43" i="22"/>
  <c r="H43" i="22"/>
  <c r="H113" i="22" s="1"/>
  <c r="K144" i="22"/>
  <c r="F143" i="22"/>
  <c r="P149" i="22" l="1"/>
  <c r="P131" i="22"/>
  <c r="Q149" i="22"/>
  <c r="Q131" i="22"/>
  <c r="S149" i="22"/>
  <c r="S131" i="22"/>
  <c r="K149" i="22"/>
  <c r="K131" i="22"/>
  <c r="H149" i="22"/>
  <c r="H131" i="22"/>
  <c r="N149" i="22"/>
  <c r="N131" i="22"/>
  <c r="M149" i="22"/>
  <c r="M131" i="22"/>
  <c r="L149" i="22"/>
  <c r="L131" i="22"/>
  <c r="R131" i="22"/>
  <c r="I131" i="22"/>
  <c r="J131" i="22"/>
  <c r="O131" i="22"/>
  <c r="I56" i="22"/>
  <c r="J56" i="22"/>
  <c r="K56" i="22"/>
  <c r="L56" i="22"/>
  <c r="M56" i="22"/>
  <c r="N56" i="22"/>
  <c r="O56" i="22"/>
  <c r="P56" i="22"/>
  <c r="Q56" i="22"/>
  <c r="R56" i="22"/>
  <c r="S56" i="22"/>
  <c r="T56" i="22"/>
  <c r="U56" i="22"/>
  <c r="V56" i="22"/>
  <c r="W56" i="22"/>
  <c r="X56" i="22"/>
  <c r="Y56" i="22"/>
  <c r="Z56" i="22"/>
  <c r="AA56" i="22"/>
  <c r="AB56" i="22"/>
  <c r="H56" i="22"/>
  <c r="AT11" i="16" l="1"/>
  <c r="AU11" i="16" s="1"/>
  <c r="AV11" i="16" s="1"/>
  <c r="AW11" i="16" s="1"/>
  <c r="AX11" i="16" s="1"/>
  <c r="AY11" i="16" s="1"/>
  <c r="AZ11" i="16" s="1"/>
  <c r="H47" i="16" l="1"/>
  <c r="G47" i="16"/>
  <c r="I34" i="8"/>
  <c r="H34" i="8"/>
  <c r="J41" i="8"/>
  <c r="K41" i="8" s="1"/>
  <c r="H65" i="16"/>
  <c r="G65" i="16"/>
  <c r="H64" i="16"/>
  <c r="G64" i="16"/>
  <c r="H63" i="16"/>
  <c r="G63" i="16"/>
  <c r="B64" i="16"/>
  <c r="B65" i="16"/>
  <c r="B63" i="16"/>
  <c r="H59" i="16"/>
  <c r="G59" i="16"/>
  <c r="B60" i="16"/>
  <c r="B59" i="16"/>
  <c r="B57" i="16"/>
  <c r="H56" i="16"/>
  <c r="G56" i="16"/>
  <c r="B56" i="16"/>
  <c r="H50" i="16"/>
  <c r="H51" i="16"/>
  <c r="H53" i="16"/>
  <c r="H54" i="16"/>
  <c r="H55" i="16"/>
  <c r="G51" i="16"/>
  <c r="G53" i="16"/>
  <c r="G54" i="16"/>
  <c r="G55" i="16"/>
  <c r="G50" i="16"/>
  <c r="R54" i="16"/>
  <c r="S54" i="16"/>
  <c r="T54" i="16"/>
  <c r="U54" i="16"/>
  <c r="V54" i="16"/>
  <c r="W54" i="16"/>
  <c r="X54" i="16"/>
  <c r="Y54" i="16"/>
  <c r="Z54" i="16"/>
  <c r="AA54" i="16"/>
  <c r="AB54" i="16"/>
  <c r="B54" i="16"/>
  <c r="B55" i="16"/>
  <c r="B51" i="16"/>
  <c r="B52" i="16"/>
  <c r="B53" i="16"/>
  <c r="B50" i="16"/>
  <c r="H44" i="16"/>
  <c r="H45" i="16"/>
  <c r="H46" i="16"/>
  <c r="G46" i="16"/>
  <c r="G45" i="16"/>
  <c r="G44" i="16"/>
  <c r="B46" i="16"/>
  <c r="B45" i="16"/>
  <c r="B44" i="16"/>
  <c r="G40" i="16"/>
  <c r="H40" i="16"/>
  <c r="G41" i="16"/>
  <c r="H41" i="16"/>
  <c r="G42" i="16"/>
  <c r="H42" i="16"/>
  <c r="H39" i="16"/>
  <c r="G39" i="16"/>
  <c r="B42" i="16"/>
  <c r="B40" i="16"/>
  <c r="B41" i="16"/>
  <c r="B39" i="16"/>
  <c r="G35" i="16"/>
  <c r="H35" i="16"/>
  <c r="G36" i="16"/>
  <c r="H36" i="16"/>
  <c r="G37" i="16"/>
  <c r="H37" i="16"/>
  <c r="H33" i="16"/>
  <c r="G33" i="16"/>
  <c r="B34" i="16"/>
  <c r="B35" i="16"/>
  <c r="B36" i="16"/>
  <c r="B37" i="16"/>
  <c r="B33" i="16"/>
  <c r="B32" i="16"/>
  <c r="H16" i="8"/>
  <c r="G34" i="16" s="1"/>
  <c r="I16" i="8"/>
  <c r="H34" i="16" s="1"/>
  <c r="I13" i="8"/>
  <c r="H32" i="16" s="1"/>
  <c r="H13" i="8"/>
  <c r="G32" i="16" s="1"/>
  <c r="K110" i="22"/>
  <c r="R53" i="6"/>
  <c r="S53" i="6"/>
  <c r="T53" i="6"/>
  <c r="U53" i="6"/>
  <c r="V53" i="6"/>
  <c r="W53" i="6"/>
  <c r="X53" i="6"/>
  <c r="Y53" i="6"/>
  <c r="Z53" i="6"/>
  <c r="H53" i="6"/>
  <c r="H49" i="8"/>
  <c r="G52" i="16" s="1"/>
  <c r="I49" i="8"/>
  <c r="H52" i="16" s="1"/>
  <c r="B53" i="6"/>
  <c r="N46" i="6"/>
  <c r="O46" i="6"/>
  <c r="P46" i="6"/>
  <c r="Q46" i="6"/>
  <c r="R46" i="6"/>
  <c r="S46" i="6"/>
  <c r="A9" i="52"/>
  <c r="B7" i="52"/>
  <c r="K51" i="8" s="1"/>
  <c r="J53" i="6" s="1"/>
  <c r="A7" i="52"/>
  <c r="J51" i="8" s="1"/>
  <c r="I53" i="6" s="1"/>
  <c r="C5" i="52"/>
  <c r="D5" i="52" s="1"/>
  <c r="B3" i="52"/>
  <c r="C3" i="52" s="1"/>
  <c r="D3" i="52" s="1"/>
  <c r="E3" i="52" s="1"/>
  <c r="F3" i="52" s="1"/>
  <c r="I67" i="8"/>
  <c r="H67" i="8"/>
  <c r="L41" i="8" l="1"/>
  <c r="J47" i="16"/>
  <c r="I47" i="16"/>
  <c r="D7" i="52"/>
  <c r="M51" i="8" s="1"/>
  <c r="L53" i="6" s="1"/>
  <c r="E5" i="52"/>
  <c r="C7" i="52"/>
  <c r="L51" i="8" s="1"/>
  <c r="K53" i="6" s="1"/>
  <c r="A10" i="52"/>
  <c r="J69" i="8" s="1"/>
  <c r="J54" i="16"/>
  <c r="I54" i="16"/>
  <c r="Y43" i="22"/>
  <c r="Z43" i="22"/>
  <c r="AA43" i="22"/>
  <c r="AB43" i="22"/>
  <c r="L126" i="22"/>
  <c r="M126" i="22" s="1"/>
  <c r="N126" i="22" s="1"/>
  <c r="K126" i="22"/>
  <c r="F125" i="22"/>
  <c r="I125" i="22" s="1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I11" i="2"/>
  <c r="H24" i="12"/>
  <c r="G24" i="12"/>
  <c r="B24" i="12"/>
  <c r="B10" i="52" l="1"/>
  <c r="L54" i="16"/>
  <c r="M41" i="8"/>
  <c r="K47" i="16"/>
  <c r="K54" i="16"/>
  <c r="F5" i="52"/>
  <c r="F7" i="52" s="1"/>
  <c r="E7" i="52"/>
  <c r="N51" i="8" s="1"/>
  <c r="L110" i="22"/>
  <c r="M110" i="22" s="1"/>
  <c r="N110" i="22" s="1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I12" i="2"/>
  <c r="J110" i="22"/>
  <c r="I110" i="22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H32" i="6"/>
  <c r="G18" i="12"/>
  <c r="H18" i="12"/>
  <c r="B18" i="12"/>
  <c r="B42" i="12" s="1"/>
  <c r="B61" i="12" s="1"/>
  <c r="B76" i="12" s="1"/>
  <c r="B91" i="12" s="1"/>
  <c r="G16" i="12"/>
  <c r="H16" i="12"/>
  <c r="G17" i="12"/>
  <c r="H17" i="12"/>
  <c r="B16" i="12"/>
  <c r="B17" i="12"/>
  <c r="H56" i="8"/>
  <c r="G57" i="16" s="1"/>
  <c r="I56" i="8"/>
  <c r="H57" i="16" s="1"/>
  <c r="H63" i="7"/>
  <c r="I63" i="7"/>
  <c r="I74" i="7"/>
  <c r="I73" i="7"/>
  <c r="H76" i="7"/>
  <c r="H73" i="7"/>
  <c r="H74" i="7"/>
  <c r="B24" i="50"/>
  <c r="B28" i="50" s="1"/>
  <c r="G48" i="2" s="1"/>
  <c r="C24" i="50"/>
  <c r="C28" i="50" s="1"/>
  <c r="H48" i="2" s="1"/>
  <c r="C18" i="50"/>
  <c r="H38" i="2" s="1"/>
  <c r="B18" i="50"/>
  <c r="G38" i="2" s="1"/>
  <c r="D4" i="50"/>
  <c r="E4" i="50" s="1"/>
  <c r="F4" i="50" s="1"/>
  <c r="G4" i="50" s="1"/>
  <c r="H4" i="50" s="1"/>
  <c r="I4" i="50" s="1"/>
  <c r="J4" i="50" s="1"/>
  <c r="C9" i="50"/>
  <c r="H10" i="2" s="1"/>
  <c r="B9" i="50"/>
  <c r="G10" i="2" s="1"/>
  <c r="C10" i="52" l="1"/>
  <c r="K69" i="8"/>
  <c r="H46" i="8"/>
  <c r="G49" i="16" s="1"/>
  <c r="I46" i="8"/>
  <c r="H49" i="16" s="1"/>
  <c r="N41" i="8"/>
  <c r="L47" i="16"/>
  <c r="O51" i="8"/>
  <c r="G7" i="52"/>
  <c r="M53" i="6"/>
  <c r="M54" i="16"/>
  <c r="B25" i="6"/>
  <c r="L69" i="8" l="1"/>
  <c r="D10" i="52"/>
  <c r="O41" i="8"/>
  <c r="M47" i="16"/>
  <c r="N53" i="6"/>
  <c r="N54" i="16"/>
  <c r="P51" i="8"/>
  <c r="H7" i="52"/>
  <c r="M69" i="8"/>
  <c r="E10" i="52"/>
  <c r="G111" i="22"/>
  <c r="P41" i="8" l="1"/>
  <c r="N47" i="16"/>
  <c r="O53" i="6"/>
  <c r="O54" i="16"/>
  <c r="Q51" i="8"/>
  <c r="I7" i="52"/>
  <c r="N69" i="8"/>
  <c r="F10" i="52"/>
  <c r="D131" i="22"/>
  <c r="Q41" i="8" l="1"/>
  <c r="O47" i="16"/>
  <c r="P53" i="6"/>
  <c r="P54" i="16"/>
  <c r="R51" i="8"/>
  <c r="J7" i="52"/>
  <c r="K7" i="52" s="1"/>
  <c r="L7" i="52" s="1"/>
  <c r="G10" i="52"/>
  <c r="O69" i="8"/>
  <c r="I127" i="22"/>
  <c r="H39" i="22"/>
  <c r="R41" i="8" l="1"/>
  <c r="P47" i="16"/>
  <c r="Q53" i="6"/>
  <c r="Q54" i="16"/>
  <c r="H10" i="52"/>
  <c r="P69" i="8"/>
  <c r="AD31" i="16"/>
  <c r="H66" i="22"/>
  <c r="AD12" i="2"/>
  <c r="S41" i="8" l="1"/>
  <c r="Q47" i="16"/>
  <c r="Q69" i="8"/>
  <c r="I10" i="52"/>
  <c r="H110" i="22"/>
  <c r="T41" i="8" l="1"/>
  <c r="R47" i="16"/>
  <c r="R69" i="8"/>
  <c r="J10" i="52"/>
  <c r="I54" i="15"/>
  <c r="J54" i="15" s="1"/>
  <c r="K54" i="15" s="1"/>
  <c r="L54" i="15" s="1"/>
  <c r="M54" i="15" s="1"/>
  <c r="O54" i="15" s="1"/>
  <c r="P54" i="15" s="1"/>
  <c r="Q54" i="15" s="1"/>
  <c r="R54" i="15" s="1"/>
  <c r="S54" i="15" s="1"/>
  <c r="T54" i="15" s="1"/>
  <c r="U54" i="15" s="1"/>
  <c r="V54" i="15" s="1"/>
  <c r="W54" i="15" s="1"/>
  <c r="X54" i="15" s="1"/>
  <c r="Y54" i="15" s="1"/>
  <c r="Z54" i="15" s="1"/>
  <c r="AA54" i="15" s="1"/>
  <c r="AB54" i="15" s="1"/>
  <c r="H48" i="7"/>
  <c r="I48" i="7"/>
  <c r="J67" i="8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J68" i="8"/>
  <c r="U41" i="8" l="1"/>
  <c r="S47" i="16"/>
  <c r="S69" i="8"/>
  <c r="K10" i="52"/>
  <c r="B27" i="12"/>
  <c r="B68" i="12" s="1"/>
  <c r="J73" i="8"/>
  <c r="V41" i="8" l="1"/>
  <c r="T47" i="16"/>
  <c r="T69" i="8"/>
  <c r="L10" i="52"/>
  <c r="B52" i="12"/>
  <c r="B32" i="6"/>
  <c r="B83" i="12"/>
  <c r="B98" i="12"/>
  <c r="W41" i="8" l="1"/>
  <c r="U47" i="16"/>
  <c r="H26" i="12"/>
  <c r="G26" i="12"/>
  <c r="B26" i="12"/>
  <c r="B51" i="12" s="1"/>
  <c r="B67" i="12" s="1"/>
  <c r="B82" i="12" s="1"/>
  <c r="B97" i="12" s="1"/>
  <c r="B25" i="12"/>
  <c r="B50" i="12" s="1"/>
  <c r="B66" i="12" s="1"/>
  <c r="H23" i="12"/>
  <c r="I66" i="8"/>
  <c r="I15" i="16"/>
  <c r="G43" i="22"/>
  <c r="G41" i="22"/>
  <c r="G39" i="22"/>
  <c r="X41" i="8" l="1"/>
  <c r="V47" i="16"/>
  <c r="I63" i="8"/>
  <c r="H58" i="16" s="1"/>
  <c r="H60" i="16"/>
  <c r="B31" i="6"/>
  <c r="B2" i="11"/>
  <c r="B103" i="11" s="1"/>
  <c r="C3" i="11"/>
  <c r="Y41" i="8" l="1"/>
  <c r="W47" i="16"/>
  <c r="K44" i="11"/>
  <c r="J44" i="11"/>
  <c r="L44" i="11"/>
  <c r="N44" i="11"/>
  <c r="P44" i="11"/>
  <c r="R44" i="11"/>
  <c r="T44" i="11"/>
  <c r="O44" i="11"/>
  <c r="S44" i="11"/>
  <c r="M44" i="11"/>
  <c r="Q44" i="11"/>
  <c r="H41" i="2"/>
  <c r="Z41" i="8" l="1"/>
  <c r="X47" i="16"/>
  <c r="G61" i="2"/>
  <c r="H61" i="2" s="1"/>
  <c r="I61" i="2" s="1"/>
  <c r="AA41" i="8" l="1"/>
  <c r="Y47" i="16"/>
  <c r="C3" i="2"/>
  <c r="J28" i="2" l="1"/>
  <c r="AB41" i="8"/>
  <c r="Z47" i="16"/>
  <c r="I10" i="2"/>
  <c r="I28" i="2"/>
  <c r="I65" i="22"/>
  <c r="J32" i="8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C41" i="8" l="1"/>
  <c r="AA47" i="16"/>
  <c r="J10" i="2"/>
  <c r="K10" i="2" s="1"/>
  <c r="H72" i="7"/>
  <c r="G52" i="2"/>
  <c r="H52" i="2"/>
  <c r="J35" i="8"/>
  <c r="K35" i="8" s="1"/>
  <c r="G12" i="11"/>
  <c r="I117" i="22"/>
  <c r="J117" i="22"/>
  <c r="K117" i="22"/>
  <c r="L117" i="22"/>
  <c r="M117" i="22"/>
  <c r="N117" i="22"/>
  <c r="O117" i="22"/>
  <c r="P117" i="22"/>
  <c r="Q117" i="22"/>
  <c r="R117" i="22"/>
  <c r="S117" i="22"/>
  <c r="T113" i="22"/>
  <c r="U113" i="22"/>
  <c r="V113" i="22"/>
  <c r="W113" i="22"/>
  <c r="X113" i="22"/>
  <c r="Y113" i="22"/>
  <c r="Z113" i="22"/>
  <c r="AA113" i="22"/>
  <c r="AB113" i="22"/>
  <c r="H117" i="22"/>
  <c r="I114" i="22"/>
  <c r="G64" i="22"/>
  <c r="X117" i="22" l="1"/>
  <c r="X131" i="22"/>
  <c r="X149" i="22"/>
  <c r="V117" i="22"/>
  <c r="V131" i="22"/>
  <c r="V149" i="22"/>
  <c r="U117" i="22"/>
  <c r="U131" i="22"/>
  <c r="U149" i="22"/>
  <c r="AA117" i="22"/>
  <c r="AA149" i="22"/>
  <c r="W117" i="22"/>
  <c r="W131" i="22"/>
  <c r="W149" i="22"/>
  <c r="Z117" i="22"/>
  <c r="Z149" i="22"/>
  <c r="AB117" i="22"/>
  <c r="AB149" i="22"/>
  <c r="T117" i="22"/>
  <c r="T149" i="22"/>
  <c r="T131" i="22"/>
  <c r="Y117" i="22"/>
  <c r="Y149" i="22"/>
  <c r="AD41" i="8"/>
  <c r="AB47" i="16"/>
  <c r="I115" i="22"/>
  <c r="H111" i="22" l="1"/>
  <c r="I66" i="22" s="1"/>
  <c r="I111" i="22" l="1"/>
  <c r="J112" i="22" s="1"/>
  <c r="I130" i="22" l="1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Z130" i="22"/>
  <c r="AA130" i="22"/>
  <c r="AB130" i="22"/>
  <c r="H130" i="22"/>
  <c r="I137" i="22"/>
  <c r="K76" i="11"/>
  <c r="J76" i="11"/>
  <c r="I76" i="11"/>
  <c r="I134" i="22" l="1"/>
  <c r="F65" i="11"/>
  <c r="H65" i="11" l="1"/>
  <c r="I65" i="11" s="1"/>
  <c r="J65" i="11" s="1"/>
  <c r="K65" i="11" s="1"/>
  <c r="L65" i="11" s="1"/>
  <c r="M65" i="11" s="1"/>
  <c r="N65" i="11" s="1"/>
  <c r="O65" i="11" s="1"/>
  <c r="P65" i="11" s="1"/>
  <c r="Q65" i="11" s="1"/>
  <c r="R65" i="11" s="1"/>
  <c r="S65" i="11" s="1"/>
  <c r="G34" i="2"/>
  <c r="G64" i="2" s="1"/>
  <c r="J134" i="22"/>
  <c r="T134" i="22"/>
  <c r="U134" i="22"/>
  <c r="V134" i="22"/>
  <c r="W134" i="22"/>
  <c r="X134" i="22"/>
  <c r="Y131" i="22"/>
  <c r="Y134" i="22" s="1"/>
  <c r="Z131" i="22"/>
  <c r="Z134" i="22" s="1"/>
  <c r="AA131" i="22"/>
  <c r="AA134" i="22" s="1"/>
  <c r="AB131" i="22"/>
  <c r="AB134" i="22" s="1"/>
  <c r="K134" i="22"/>
  <c r="L134" i="22"/>
  <c r="M134" i="22"/>
  <c r="N134" i="22"/>
  <c r="O134" i="22"/>
  <c r="P134" i="22"/>
  <c r="Q134" i="22"/>
  <c r="R134" i="22"/>
  <c r="S134" i="22"/>
  <c r="H134" i="22"/>
  <c r="H58" i="6"/>
  <c r="H7" i="2"/>
  <c r="I68" i="22"/>
  <c r="P110" i="22"/>
  <c r="Q110" i="22" s="1"/>
  <c r="R110" i="22" s="1"/>
  <c r="S110" i="22" s="1"/>
  <c r="T110" i="22" s="1"/>
  <c r="U110" i="22" s="1"/>
  <c r="V110" i="22" s="1"/>
  <c r="W110" i="22" s="1"/>
  <c r="X110" i="22" s="1"/>
  <c r="Y110" i="22" s="1"/>
  <c r="Z110" i="22" s="1"/>
  <c r="AA110" i="22" s="1"/>
  <c r="AB110" i="22" s="1"/>
  <c r="S118" i="11"/>
  <c r="S131" i="11" s="1"/>
  <c r="T118" i="11"/>
  <c r="T131" i="11" s="1"/>
  <c r="U118" i="11"/>
  <c r="U131" i="11" s="1"/>
  <c r="V118" i="11"/>
  <c r="V131" i="11" s="1"/>
  <c r="W118" i="11"/>
  <c r="W131" i="11" s="1"/>
  <c r="X118" i="11"/>
  <c r="X131" i="11" s="1"/>
  <c r="Y118" i="11"/>
  <c r="Y131" i="11" s="1"/>
  <c r="Z118" i="11"/>
  <c r="Z131" i="11" s="1"/>
  <c r="AA118" i="11"/>
  <c r="AA131" i="11" s="1"/>
  <c r="AB118" i="11"/>
  <c r="AB131" i="11" s="1"/>
  <c r="S119" i="11"/>
  <c r="S132" i="11" s="1"/>
  <c r="T119" i="11"/>
  <c r="T132" i="11" s="1"/>
  <c r="U119" i="11"/>
  <c r="U132" i="11" s="1"/>
  <c r="V119" i="11"/>
  <c r="V132" i="11" s="1"/>
  <c r="W119" i="11"/>
  <c r="W132" i="11" s="1"/>
  <c r="X119" i="11"/>
  <c r="X132" i="11" s="1"/>
  <c r="Y119" i="11"/>
  <c r="Y132" i="11" s="1"/>
  <c r="Z119" i="11"/>
  <c r="Z132" i="11" s="1"/>
  <c r="AA119" i="11"/>
  <c r="AA132" i="11" s="1"/>
  <c r="AB119" i="11"/>
  <c r="AB132" i="11" s="1"/>
  <c r="S120" i="11"/>
  <c r="S133" i="11" s="1"/>
  <c r="T120" i="11"/>
  <c r="T133" i="11" s="1"/>
  <c r="U120" i="11"/>
  <c r="U133" i="11" s="1"/>
  <c r="V120" i="11"/>
  <c r="V133" i="11" s="1"/>
  <c r="W120" i="11"/>
  <c r="W133" i="11" s="1"/>
  <c r="X120" i="11"/>
  <c r="X133" i="11" s="1"/>
  <c r="Y120" i="11"/>
  <c r="Y133" i="11" s="1"/>
  <c r="Z120" i="11"/>
  <c r="Z133" i="11" s="1"/>
  <c r="AA120" i="11"/>
  <c r="AA133" i="11" s="1"/>
  <c r="AB120" i="11"/>
  <c r="AB133" i="11" s="1"/>
  <c r="S121" i="11"/>
  <c r="S134" i="11" s="1"/>
  <c r="T121" i="11"/>
  <c r="T134" i="11" s="1"/>
  <c r="U121" i="11"/>
  <c r="U134" i="11" s="1"/>
  <c r="V121" i="11"/>
  <c r="V134" i="11" s="1"/>
  <c r="W121" i="11"/>
  <c r="W134" i="11" s="1"/>
  <c r="X121" i="11"/>
  <c r="X134" i="11" s="1"/>
  <c r="Y121" i="11"/>
  <c r="Y134" i="11" s="1"/>
  <c r="Z121" i="11"/>
  <c r="Z134" i="11" s="1"/>
  <c r="AA121" i="11"/>
  <c r="AA134" i="11" s="1"/>
  <c r="AB121" i="11"/>
  <c r="AB134" i="11" s="1"/>
  <c r="S122" i="11"/>
  <c r="S135" i="11" s="1"/>
  <c r="T122" i="11"/>
  <c r="T135" i="11" s="1"/>
  <c r="U122" i="11"/>
  <c r="U135" i="11" s="1"/>
  <c r="V122" i="11"/>
  <c r="V135" i="11" s="1"/>
  <c r="W122" i="11"/>
  <c r="W135" i="11" s="1"/>
  <c r="X122" i="11"/>
  <c r="X135" i="11" s="1"/>
  <c r="Y122" i="11"/>
  <c r="Y135" i="11" s="1"/>
  <c r="Z122" i="11"/>
  <c r="Z135" i="11" s="1"/>
  <c r="AA122" i="11"/>
  <c r="AA135" i="11" s="1"/>
  <c r="AB122" i="11"/>
  <c r="AB135" i="11" s="1"/>
  <c r="S123" i="11"/>
  <c r="S136" i="11" s="1"/>
  <c r="T123" i="11"/>
  <c r="T136" i="11" s="1"/>
  <c r="U123" i="11"/>
  <c r="U136" i="11" s="1"/>
  <c r="V123" i="11"/>
  <c r="V136" i="11" s="1"/>
  <c r="W123" i="11"/>
  <c r="W136" i="11" s="1"/>
  <c r="X123" i="11"/>
  <c r="X136" i="11" s="1"/>
  <c r="Y123" i="11"/>
  <c r="Y136" i="11" s="1"/>
  <c r="Z123" i="11"/>
  <c r="Z136" i="11" s="1"/>
  <c r="AA123" i="11"/>
  <c r="AA136" i="11" s="1"/>
  <c r="AB123" i="11"/>
  <c r="AB136" i="11" s="1"/>
  <c r="S124" i="11"/>
  <c r="S137" i="11" s="1"/>
  <c r="T124" i="11"/>
  <c r="T137" i="11" s="1"/>
  <c r="U124" i="11"/>
  <c r="U137" i="11" s="1"/>
  <c r="V124" i="11"/>
  <c r="V137" i="11" s="1"/>
  <c r="W124" i="11"/>
  <c r="W137" i="11" s="1"/>
  <c r="X124" i="11"/>
  <c r="X137" i="11" s="1"/>
  <c r="Y124" i="11"/>
  <c r="Y137" i="11" s="1"/>
  <c r="Z124" i="11"/>
  <c r="Z137" i="11" s="1"/>
  <c r="AA124" i="11"/>
  <c r="AA137" i="11" s="1"/>
  <c r="AB124" i="11"/>
  <c r="AB137" i="11" s="1"/>
  <c r="S125" i="11"/>
  <c r="S138" i="11" s="1"/>
  <c r="T125" i="11"/>
  <c r="T138" i="11" s="1"/>
  <c r="U125" i="11"/>
  <c r="U138" i="11" s="1"/>
  <c r="V125" i="11"/>
  <c r="V138" i="11" s="1"/>
  <c r="W125" i="11"/>
  <c r="W138" i="11" s="1"/>
  <c r="X125" i="11"/>
  <c r="X138" i="11" s="1"/>
  <c r="Y125" i="11"/>
  <c r="Y138" i="11" s="1"/>
  <c r="Z125" i="11"/>
  <c r="Z138" i="11" s="1"/>
  <c r="AA125" i="11"/>
  <c r="AA138" i="11" s="1"/>
  <c r="AB125" i="11"/>
  <c r="AB138" i="11" s="1"/>
  <c r="S126" i="11"/>
  <c r="S139" i="11" s="1"/>
  <c r="T126" i="11"/>
  <c r="T139" i="11" s="1"/>
  <c r="U126" i="11"/>
  <c r="U139" i="11" s="1"/>
  <c r="V126" i="11"/>
  <c r="V139" i="11" s="1"/>
  <c r="W126" i="11"/>
  <c r="W139" i="11" s="1"/>
  <c r="X126" i="11"/>
  <c r="X139" i="11" s="1"/>
  <c r="Y126" i="11"/>
  <c r="Y139" i="11" s="1"/>
  <c r="Z126" i="11"/>
  <c r="Z139" i="11" s="1"/>
  <c r="AA126" i="11"/>
  <c r="AA139" i="11" s="1"/>
  <c r="AB126" i="11"/>
  <c r="AB139" i="11" s="1"/>
  <c r="S127" i="11"/>
  <c r="S140" i="11" s="1"/>
  <c r="T127" i="11"/>
  <c r="T140" i="11" s="1"/>
  <c r="U127" i="11"/>
  <c r="U140" i="11" s="1"/>
  <c r="V127" i="11"/>
  <c r="V140" i="11" s="1"/>
  <c r="W127" i="11"/>
  <c r="W140" i="11" s="1"/>
  <c r="X127" i="11"/>
  <c r="X140" i="11" s="1"/>
  <c r="Y127" i="11"/>
  <c r="Y140" i="11" s="1"/>
  <c r="Z127" i="11"/>
  <c r="Z140" i="11" s="1"/>
  <c r="AA127" i="11"/>
  <c r="AA140" i="11" s="1"/>
  <c r="AB127" i="11"/>
  <c r="AB140" i="11" s="1"/>
  <c r="H114" i="22"/>
  <c r="G58" i="2" l="1"/>
  <c r="H115" i="22"/>
  <c r="J114" i="22"/>
  <c r="K114" i="22"/>
  <c r="L114" i="22"/>
  <c r="M114" i="22"/>
  <c r="N114" i="22"/>
  <c r="O114" i="22"/>
  <c r="P114" i="22"/>
  <c r="Q114" i="22"/>
  <c r="R114" i="22"/>
  <c r="S114" i="22"/>
  <c r="T114" i="22"/>
  <c r="U114" i="22"/>
  <c r="V114" i="22"/>
  <c r="W114" i="22"/>
  <c r="X114" i="22"/>
  <c r="Y114" i="22"/>
  <c r="Z114" i="22"/>
  <c r="AA114" i="22"/>
  <c r="AB114" i="22"/>
  <c r="AB115" i="22" s="1"/>
  <c r="H9" i="16"/>
  <c r="I9" i="16" s="1"/>
  <c r="J9" i="16" s="1"/>
  <c r="K9" i="16" s="1"/>
  <c r="L9" i="16" s="1"/>
  <c r="M9" i="16" s="1"/>
  <c r="N9" i="16" s="1"/>
  <c r="O9" i="16" s="1"/>
  <c r="P9" i="16" s="1"/>
  <c r="Q9" i="16" s="1"/>
  <c r="R9" i="16" s="1"/>
  <c r="S9" i="16" s="1"/>
  <c r="T9" i="16" s="1"/>
  <c r="U9" i="16" s="1"/>
  <c r="V9" i="16" s="1"/>
  <c r="W9" i="16" s="1"/>
  <c r="X9" i="16" s="1"/>
  <c r="Y9" i="16" s="1"/>
  <c r="Z9" i="16" s="1"/>
  <c r="AA9" i="16" s="1"/>
  <c r="AB9" i="16" s="1"/>
  <c r="I46" i="2"/>
  <c r="J46" i="2" s="1"/>
  <c r="K46" i="2" s="1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G41" i="2"/>
  <c r="H19" i="7"/>
  <c r="D34" i="2"/>
  <c r="D64" i="2" s="1"/>
  <c r="E34" i="2"/>
  <c r="F34" i="2"/>
  <c r="H27" i="7"/>
  <c r="I27" i="7"/>
  <c r="H89" i="16"/>
  <c r="H88" i="16"/>
  <c r="AA115" i="22" l="1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281" i="22"/>
  <c r="G25" i="12"/>
  <c r="H25" i="12"/>
  <c r="J70" i="8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U69" i="8"/>
  <c r="V69" i="8" s="1"/>
  <c r="W69" i="8" s="1"/>
  <c r="X69" i="8" s="1"/>
  <c r="Y69" i="8" s="1"/>
  <c r="Z69" i="8" s="1"/>
  <c r="AA69" i="8" s="1"/>
  <c r="AB69" i="8" s="1"/>
  <c r="AC69" i="8" s="1"/>
  <c r="AD69" i="8" s="1"/>
  <c r="H66" i="8"/>
  <c r="G60" i="16" s="1"/>
  <c r="J79" i="8"/>
  <c r="B23" i="12"/>
  <c r="K68" i="8"/>
  <c r="L68" i="8" s="1"/>
  <c r="M68" i="8" s="1"/>
  <c r="N68" i="8" s="1"/>
  <c r="O68" i="8" s="1"/>
  <c r="J75" i="8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I76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I57" i="7"/>
  <c r="I54" i="7"/>
  <c r="K79" i="8" l="1"/>
  <c r="I64" i="16"/>
  <c r="AC53" i="7"/>
  <c r="AA53" i="7"/>
  <c r="Y53" i="7"/>
  <c r="W53" i="7"/>
  <c r="U53" i="7"/>
  <c r="S53" i="7"/>
  <c r="Q53" i="7"/>
  <c r="I53" i="7"/>
  <c r="AD53" i="7"/>
  <c r="AB53" i="7"/>
  <c r="Z53" i="7"/>
  <c r="X53" i="7"/>
  <c r="V53" i="7"/>
  <c r="T53" i="7"/>
  <c r="R53" i="7"/>
  <c r="P53" i="7"/>
  <c r="P68" i="8"/>
  <c r="I344" i="22"/>
  <c r="J344" i="22" s="1"/>
  <c r="K344" i="22" s="1"/>
  <c r="L344" i="22" s="1"/>
  <c r="F283" i="22"/>
  <c r="F159" i="22"/>
  <c r="L79" i="8" l="1"/>
  <c r="J64" i="16"/>
  <c r="M344" i="22"/>
  <c r="L345" i="22"/>
  <c r="Q68" i="8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H143" i="22"/>
  <c r="M79" i="8" l="1"/>
  <c r="K64" i="16"/>
  <c r="N344" i="22"/>
  <c r="M345" i="22"/>
  <c r="N79" i="8" l="1"/>
  <c r="L64" i="16"/>
  <c r="O344" i="22"/>
  <c r="N345" i="22"/>
  <c r="O79" i="8" l="1"/>
  <c r="M64" i="16"/>
  <c r="P344" i="22"/>
  <c r="O345" i="22"/>
  <c r="P79" i="8" l="1"/>
  <c r="N64" i="16"/>
  <c r="Q344" i="22"/>
  <c r="P345" i="22"/>
  <c r="Q79" i="8" l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O64" i="16"/>
  <c r="R344" i="22"/>
  <c r="Q345" i="22"/>
  <c r="S344" i="22" l="1"/>
  <c r="R345" i="22"/>
  <c r="O85" i="16"/>
  <c r="P85" i="16"/>
  <c r="Q85" i="16"/>
  <c r="R85" i="16"/>
  <c r="S85" i="16"/>
  <c r="T85" i="16"/>
  <c r="U85" i="16"/>
  <c r="V85" i="16"/>
  <c r="W85" i="16"/>
  <c r="X85" i="16"/>
  <c r="Y85" i="16"/>
  <c r="Z85" i="16"/>
  <c r="AA85" i="16"/>
  <c r="AB85" i="16"/>
  <c r="G85" i="16"/>
  <c r="H85" i="16"/>
  <c r="T344" i="22" l="1"/>
  <c r="S345" i="22"/>
  <c r="L10" i="2"/>
  <c r="M10" i="2" l="1"/>
  <c r="U344" i="22"/>
  <c r="T345" i="22"/>
  <c r="H26" i="7"/>
  <c r="I26" i="7"/>
  <c r="I19" i="7"/>
  <c r="I18" i="7"/>
  <c r="D41" i="2"/>
  <c r="G28" i="2"/>
  <c r="H28" i="2"/>
  <c r="H34" i="2"/>
  <c r="F28" i="2"/>
  <c r="E28" i="2"/>
  <c r="D28" i="2"/>
  <c r="J15" i="16"/>
  <c r="K15" i="16"/>
  <c r="L15" i="16"/>
  <c r="M15" i="16"/>
  <c r="N15" i="16"/>
  <c r="O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H64" i="2" l="1"/>
  <c r="H42" i="2"/>
  <c r="N10" i="2"/>
  <c r="O10" i="2" s="1"/>
  <c r="I64" i="11"/>
  <c r="V344" i="22"/>
  <c r="U345" i="22"/>
  <c r="H58" i="2"/>
  <c r="P15" i="16"/>
  <c r="P10" i="2" l="1"/>
  <c r="W344" i="22"/>
  <c r="V345" i="22"/>
  <c r="G89" i="16"/>
  <c r="J30" i="15"/>
  <c r="C3" i="12"/>
  <c r="AD51" i="12" l="1"/>
  <c r="X344" i="22"/>
  <c r="W345" i="22"/>
  <c r="J61" i="2"/>
  <c r="K61" i="2" s="1"/>
  <c r="L61" i="2" s="1"/>
  <c r="M61" i="2" s="1"/>
  <c r="N61" i="2" s="1"/>
  <c r="O61" i="2" s="1"/>
  <c r="P61" i="2" s="1"/>
  <c r="Q61" i="2" s="1"/>
  <c r="R61" i="2" s="1"/>
  <c r="S61" i="2" s="1"/>
  <c r="T61" i="2" s="1"/>
  <c r="U61" i="2" s="1"/>
  <c r="V61" i="2" s="1"/>
  <c r="W61" i="2" s="1"/>
  <c r="X61" i="2" s="1"/>
  <c r="Y61" i="2" s="1"/>
  <c r="Z61" i="2" s="1"/>
  <c r="AA61" i="2" s="1"/>
  <c r="AB61" i="2" s="1"/>
  <c r="AC61" i="2" s="1"/>
  <c r="F61" i="2"/>
  <c r="E61" i="2"/>
  <c r="D61" i="2"/>
  <c r="P31" i="15"/>
  <c r="R46" i="7" s="1"/>
  <c r="P15" i="6" s="1"/>
  <c r="Q31" i="15"/>
  <c r="S46" i="7" s="1"/>
  <c r="Q15" i="6" s="1"/>
  <c r="R31" i="15"/>
  <c r="T46" i="7" s="1"/>
  <c r="R15" i="6" s="1"/>
  <c r="S31" i="15"/>
  <c r="U46" i="7" s="1"/>
  <c r="S15" i="6" s="1"/>
  <c r="T31" i="15"/>
  <c r="V46" i="7" s="1"/>
  <c r="T15" i="6" s="1"/>
  <c r="U31" i="15"/>
  <c r="W46" i="7" s="1"/>
  <c r="U15" i="6" s="1"/>
  <c r="V31" i="15"/>
  <c r="X46" i="7" s="1"/>
  <c r="V15" i="6" s="1"/>
  <c r="W31" i="15"/>
  <c r="Y46" i="7" s="1"/>
  <c r="W15" i="6" s="1"/>
  <c r="X31" i="15"/>
  <c r="Z46" i="7" s="1"/>
  <c r="X15" i="6" s="1"/>
  <c r="Y31" i="15"/>
  <c r="AA46" i="7" s="1"/>
  <c r="Y15" i="6" s="1"/>
  <c r="Z31" i="15"/>
  <c r="AB46" i="7" s="1"/>
  <c r="Z15" i="6" s="1"/>
  <c r="AA31" i="15"/>
  <c r="AC46" i="7" s="1"/>
  <c r="AA15" i="6" s="1"/>
  <c r="AB31" i="15"/>
  <c r="AD46" i="7" s="1"/>
  <c r="AB15" i="6" s="1"/>
  <c r="H31" i="15"/>
  <c r="I31" i="15"/>
  <c r="H97" i="11"/>
  <c r="H32" i="15" l="1"/>
  <c r="I29" i="15" s="1"/>
  <c r="I32" i="15" s="1"/>
  <c r="I60" i="2"/>
  <c r="Y344" i="22"/>
  <c r="X345" i="22"/>
  <c r="K46" i="7"/>
  <c r="I15" i="6" s="1"/>
  <c r="J46" i="7"/>
  <c r="H15" i="6" s="1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J60" i="2"/>
  <c r="Z344" i="22" l="1"/>
  <c r="Y345" i="22"/>
  <c r="J29" i="15"/>
  <c r="J31" i="15"/>
  <c r="K30" i="15"/>
  <c r="J32" i="15" l="1"/>
  <c r="K29" i="15" s="1"/>
  <c r="AA344" i="22"/>
  <c r="Z345" i="22"/>
  <c r="L46" i="7"/>
  <c r="J15" i="6" s="1"/>
  <c r="K60" i="2"/>
  <c r="K31" i="15"/>
  <c r="L30" i="15"/>
  <c r="K32" i="15" l="1"/>
  <c r="L29" i="15" s="1"/>
  <c r="AB344" i="22"/>
  <c r="AB345" i="22" s="1"/>
  <c r="AA345" i="22"/>
  <c r="M46" i="7"/>
  <c r="K15" i="6" s="1"/>
  <c r="L60" i="2"/>
  <c r="L31" i="15"/>
  <c r="M30" i="15"/>
  <c r="L32" i="15" l="1"/>
  <c r="M29" i="15" s="1"/>
  <c r="N46" i="7"/>
  <c r="L15" i="6" s="1"/>
  <c r="M60" i="2"/>
  <c r="M31" i="15"/>
  <c r="N30" i="15"/>
  <c r="O30" i="15" s="1"/>
  <c r="M32" i="15" l="1"/>
  <c r="N29" i="15" s="1"/>
  <c r="Q28" i="2"/>
  <c r="O46" i="7"/>
  <c r="M15" i="6" s="1"/>
  <c r="N60" i="2"/>
  <c r="N31" i="15"/>
  <c r="O31" i="15"/>
  <c r="N32" i="15" l="1"/>
  <c r="O29" i="15" s="1"/>
  <c r="O32" i="15" s="1"/>
  <c r="R28" i="2"/>
  <c r="P46" i="7"/>
  <c r="N15" i="6" s="1"/>
  <c r="O60" i="2"/>
  <c r="Q46" i="7"/>
  <c r="O15" i="6" s="1"/>
  <c r="P60" i="2"/>
  <c r="S28" i="2" l="1"/>
  <c r="P29" i="15"/>
  <c r="P32" i="15" s="1"/>
  <c r="T28" i="2" l="1"/>
  <c r="Q29" i="15"/>
  <c r="Q32" i="15" s="1"/>
  <c r="U28" i="2" l="1"/>
  <c r="R29" i="15"/>
  <c r="R32" i="15" s="1"/>
  <c r="V28" i="2" l="1"/>
  <c r="S29" i="15"/>
  <c r="S32" i="15" s="1"/>
  <c r="W28" i="2" l="1"/>
  <c r="T29" i="15"/>
  <c r="T32" i="15" s="1"/>
  <c r="X28" i="2" l="1"/>
  <c r="U29" i="15"/>
  <c r="U32" i="15" s="1"/>
  <c r="Y28" i="2" l="1"/>
  <c r="V29" i="15"/>
  <c r="V32" i="15" s="1"/>
  <c r="Z28" i="2" l="1"/>
  <c r="W29" i="15"/>
  <c r="W32" i="15" s="1"/>
  <c r="AA28" i="2" l="1"/>
  <c r="X29" i="15"/>
  <c r="X32" i="15" s="1"/>
  <c r="AC28" i="2" l="1"/>
  <c r="AB28" i="2"/>
  <c r="Y29" i="15"/>
  <c r="Y32" i="15" s="1"/>
  <c r="Z29" i="15" l="1"/>
  <c r="Z32" i="15" s="1"/>
  <c r="AA29" i="15" l="1"/>
  <c r="AA32" i="15" s="1"/>
  <c r="AB29" i="15" l="1"/>
  <c r="AB32" i="15" s="1"/>
  <c r="J60" i="8" l="1"/>
  <c r="K60" i="8" s="1"/>
  <c r="L60" i="8" s="1"/>
  <c r="M60" i="8" s="1"/>
  <c r="J31" i="8"/>
  <c r="J23" i="8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K31" i="8" l="1"/>
  <c r="I42" i="16"/>
  <c r="N60" i="8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H18" i="7"/>
  <c r="H17" i="7" s="1"/>
  <c r="I17" i="7"/>
  <c r="H72" i="16" s="1"/>
  <c r="L31" i="8" l="1"/>
  <c r="J42" i="16"/>
  <c r="G31" i="12"/>
  <c r="G39" i="2"/>
  <c r="G42" i="2"/>
  <c r="M31" i="8" l="1"/>
  <c r="K42" i="16"/>
  <c r="G42" i="12"/>
  <c r="G52" i="12"/>
  <c r="G51" i="12"/>
  <c r="G50" i="12"/>
  <c r="I43" i="2"/>
  <c r="I44" i="2" s="1"/>
  <c r="G41" i="12"/>
  <c r="F67" i="22"/>
  <c r="F68" i="22"/>
  <c r="F69" i="22"/>
  <c r="F70" i="22"/>
  <c r="F71" i="22"/>
  <c r="F72" i="22"/>
  <c r="F73" i="22"/>
  <c r="N31" i="8" l="1"/>
  <c r="L42" i="16"/>
  <c r="K43" i="2"/>
  <c r="J43" i="2"/>
  <c r="J30" i="8"/>
  <c r="I41" i="16" s="1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H44" i="7"/>
  <c r="I44" i="7"/>
  <c r="O31" i="8" l="1"/>
  <c r="M42" i="16"/>
  <c r="L43" i="2"/>
  <c r="K30" i="8"/>
  <c r="J41" i="16" s="1"/>
  <c r="H345" i="22"/>
  <c r="H346" i="22" s="1"/>
  <c r="I343" i="22" s="1"/>
  <c r="I345" i="22"/>
  <c r="J345" i="22"/>
  <c r="K345" i="22"/>
  <c r="P31" i="8" l="1"/>
  <c r="N42" i="16"/>
  <c r="M43" i="2"/>
  <c r="O43" i="2"/>
  <c r="N43" i="2"/>
  <c r="L30" i="8"/>
  <c r="K41" i="16" s="1"/>
  <c r="I346" i="22"/>
  <c r="J343" i="22" s="1"/>
  <c r="J346" i="22" s="1"/>
  <c r="K343" i="22" s="1"/>
  <c r="K346" i="22" s="1"/>
  <c r="L343" i="22" s="1"/>
  <c r="L346" i="22" s="1"/>
  <c r="M343" i="22" s="1"/>
  <c r="M346" i="22" s="1"/>
  <c r="N343" i="22" s="1"/>
  <c r="N346" i="22" s="1"/>
  <c r="O343" i="22" s="1"/>
  <c r="O346" i="22" s="1"/>
  <c r="P343" i="22" s="1"/>
  <c r="P346" i="22" s="1"/>
  <c r="Q343" i="22" s="1"/>
  <c r="Q346" i="22" s="1"/>
  <c r="R343" i="22" s="1"/>
  <c r="R346" i="22" s="1"/>
  <c r="S343" i="22" s="1"/>
  <c r="S346" i="22" s="1"/>
  <c r="T343" i="22" s="1"/>
  <c r="T346" i="22" s="1"/>
  <c r="U343" i="22" s="1"/>
  <c r="U346" i="22" s="1"/>
  <c r="V343" i="22" s="1"/>
  <c r="V346" i="22" s="1"/>
  <c r="W343" i="22" s="1"/>
  <c r="W346" i="22" s="1"/>
  <c r="X343" i="22" s="1"/>
  <c r="X346" i="22" s="1"/>
  <c r="Y343" i="22" s="1"/>
  <c r="Y346" i="22" s="1"/>
  <c r="Z343" i="22" s="1"/>
  <c r="Z346" i="22" s="1"/>
  <c r="AA343" i="22" s="1"/>
  <c r="AA346" i="22" s="1"/>
  <c r="AB343" i="22" s="1"/>
  <c r="AB346" i="22" s="1"/>
  <c r="Q31" i="8" l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O42" i="16"/>
  <c r="Q42" i="2"/>
  <c r="R42" i="2" s="1"/>
  <c r="M30" i="8"/>
  <c r="L41" i="16" s="1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U118" i="16"/>
  <c r="V118" i="16"/>
  <c r="W118" i="16"/>
  <c r="X118" i="16"/>
  <c r="Y118" i="16"/>
  <c r="Z118" i="16"/>
  <c r="AA118" i="16"/>
  <c r="AB118" i="16"/>
  <c r="I116" i="16"/>
  <c r="I112" i="16"/>
  <c r="J112" i="16"/>
  <c r="K112" i="16"/>
  <c r="I111" i="16"/>
  <c r="K111" i="16"/>
  <c r="L111" i="16"/>
  <c r="M111" i="16"/>
  <c r="N111" i="16"/>
  <c r="O111" i="16"/>
  <c r="P111" i="16"/>
  <c r="Q111" i="16"/>
  <c r="R111" i="16"/>
  <c r="S111" i="16"/>
  <c r="T111" i="16"/>
  <c r="U111" i="16"/>
  <c r="V111" i="16"/>
  <c r="W111" i="16"/>
  <c r="X111" i="16"/>
  <c r="Y111" i="16"/>
  <c r="Z111" i="16"/>
  <c r="AA111" i="16"/>
  <c r="AB111" i="16"/>
  <c r="I110" i="16"/>
  <c r="J110" i="16"/>
  <c r="K110" i="16"/>
  <c r="L110" i="16"/>
  <c r="M110" i="16"/>
  <c r="N110" i="16"/>
  <c r="O110" i="16"/>
  <c r="P110" i="16"/>
  <c r="Q110" i="16"/>
  <c r="R110" i="16"/>
  <c r="S110" i="16"/>
  <c r="T110" i="16"/>
  <c r="U110" i="16"/>
  <c r="V110" i="16"/>
  <c r="W110" i="16"/>
  <c r="X110" i="16"/>
  <c r="Y110" i="16"/>
  <c r="Z110" i="16"/>
  <c r="AA110" i="16"/>
  <c r="AB110" i="16"/>
  <c r="I106" i="16"/>
  <c r="J106" i="16"/>
  <c r="K106" i="16"/>
  <c r="L106" i="16"/>
  <c r="M106" i="16"/>
  <c r="N106" i="16"/>
  <c r="O106" i="16"/>
  <c r="P106" i="16"/>
  <c r="Q106" i="16"/>
  <c r="R106" i="16"/>
  <c r="S106" i="16"/>
  <c r="T106" i="16"/>
  <c r="U106" i="16"/>
  <c r="V106" i="16"/>
  <c r="W106" i="16"/>
  <c r="X106" i="16"/>
  <c r="Y106" i="16"/>
  <c r="Z106" i="16"/>
  <c r="AA106" i="16"/>
  <c r="AB106" i="16"/>
  <c r="I105" i="16"/>
  <c r="J105" i="16"/>
  <c r="K105" i="16"/>
  <c r="L105" i="16"/>
  <c r="M105" i="16"/>
  <c r="N105" i="16"/>
  <c r="O105" i="16"/>
  <c r="P105" i="16"/>
  <c r="Q105" i="16"/>
  <c r="R105" i="16"/>
  <c r="S105" i="16"/>
  <c r="T105" i="16"/>
  <c r="U105" i="16"/>
  <c r="V105" i="16"/>
  <c r="W105" i="16"/>
  <c r="X105" i="16"/>
  <c r="Y105" i="16"/>
  <c r="Z105" i="16"/>
  <c r="AA105" i="16"/>
  <c r="AB105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Y104" i="16"/>
  <c r="Z104" i="16"/>
  <c r="AA104" i="16"/>
  <c r="AB104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W101" i="16"/>
  <c r="X101" i="16"/>
  <c r="Y101" i="16"/>
  <c r="Z101" i="16"/>
  <c r="AA101" i="16"/>
  <c r="AB101" i="16"/>
  <c r="H125" i="16"/>
  <c r="H124" i="16"/>
  <c r="H123" i="16"/>
  <c r="H122" i="16"/>
  <c r="H120" i="16"/>
  <c r="H118" i="16"/>
  <c r="H113" i="16"/>
  <c r="H112" i="16"/>
  <c r="H111" i="16"/>
  <c r="H110" i="16"/>
  <c r="H109" i="16"/>
  <c r="H108" i="16"/>
  <c r="H105" i="16"/>
  <c r="H104" i="16"/>
  <c r="H103" i="16"/>
  <c r="H102" i="16"/>
  <c r="H101" i="16"/>
  <c r="H119" i="16"/>
  <c r="H116" i="16"/>
  <c r="H115" i="16"/>
  <c r="H107" i="16"/>
  <c r="H100" i="16"/>
  <c r="E41" i="2"/>
  <c r="F41" i="2"/>
  <c r="P43" i="2" l="1"/>
  <c r="P44" i="2" s="1"/>
  <c r="R43" i="2"/>
  <c r="Q43" i="2"/>
  <c r="Q44" i="2" s="1"/>
  <c r="S42" i="2"/>
  <c r="N30" i="8"/>
  <c r="M41" i="16" s="1"/>
  <c r="N55" i="7"/>
  <c r="O55" i="7"/>
  <c r="N78" i="7"/>
  <c r="O78" i="7"/>
  <c r="W54" i="6"/>
  <c r="X54" i="6"/>
  <c r="Y54" i="6"/>
  <c r="Z54" i="6"/>
  <c r="AA54" i="6"/>
  <c r="AB54" i="6"/>
  <c r="J78" i="8"/>
  <c r="H45" i="6"/>
  <c r="I115" i="16" s="1"/>
  <c r="AP13" i="16"/>
  <c r="AB327" i="22"/>
  <c r="E72" i="7"/>
  <c r="F72" i="7"/>
  <c r="G72" i="7"/>
  <c r="I72" i="7"/>
  <c r="F63" i="7"/>
  <c r="G63" i="7"/>
  <c r="H91" i="16"/>
  <c r="G91" i="16"/>
  <c r="G88" i="16"/>
  <c r="H82" i="16"/>
  <c r="G82" i="16"/>
  <c r="K78" i="8" l="1"/>
  <c r="J63" i="16" s="1"/>
  <c r="I63" i="16"/>
  <c r="S43" i="2"/>
  <c r="S44" i="2" s="1"/>
  <c r="T42" i="2"/>
  <c r="U42" i="2" s="1"/>
  <c r="R44" i="2"/>
  <c r="O30" i="8"/>
  <c r="N41" i="16" s="1"/>
  <c r="N85" i="16"/>
  <c r="O54" i="7"/>
  <c r="O53" i="7" s="1"/>
  <c r="M84" i="16" s="1"/>
  <c r="M85" i="16"/>
  <c r="N54" i="7"/>
  <c r="N53" i="7" s="1"/>
  <c r="L84" i="16" s="1"/>
  <c r="H92" i="11"/>
  <c r="I92" i="11" s="1"/>
  <c r="K55" i="7"/>
  <c r="J55" i="7"/>
  <c r="K73" i="8"/>
  <c r="H20" i="16"/>
  <c r="G20" i="16"/>
  <c r="G117" i="16" s="1"/>
  <c r="H19" i="16"/>
  <c r="G19" i="16"/>
  <c r="H18" i="16"/>
  <c r="G18" i="16"/>
  <c r="AB46" i="6"/>
  <c r="AA46" i="6"/>
  <c r="AB116" i="16" s="1"/>
  <c r="Z46" i="6"/>
  <c r="AA116" i="16" s="1"/>
  <c r="Y46" i="6"/>
  <c r="Z116" i="16" s="1"/>
  <c r="X46" i="6"/>
  <c r="Y116" i="16" s="1"/>
  <c r="W46" i="6"/>
  <c r="X116" i="16" s="1"/>
  <c r="V46" i="6"/>
  <c r="W116" i="16" s="1"/>
  <c r="U46" i="6"/>
  <c r="V116" i="16" s="1"/>
  <c r="T46" i="6"/>
  <c r="U116" i="16" s="1"/>
  <c r="T116" i="16"/>
  <c r="S116" i="16"/>
  <c r="R116" i="16"/>
  <c r="Q116" i="16"/>
  <c r="P116" i="16"/>
  <c r="O116" i="16"/>
  <c r="O117" i="20"/>
  <c r="P117" i="20" s="1"/>
  <c r="Q117" i="20" s="1"/>
  <c r="R117" i="20" s="1"/>
  <c r="O118" i="20"/>
  <c r="P118" i="20" s="1"/>
  <c r="Q118" i="20" s="1"/>
  <c r="R118" i="20" s="1"/>
  <c r="O119" i="20"/>
  <c r="P119" i="20" s="1"/>
  <c r="Q119" i="20" s="1"/>
  <c r="R119" i="20" s="1"/>
  <c r="O120" i="20"/>
  <c r="P120" i="20" s="1"/>
  <c r="Q120" i="20" s="1"/>
  <c r="R120" i="20" s="1"/>
  <c r="O121" i="20"/>
  <c r="P121" i="20" s="1"/>
  <c r="Q121" i="20" s="1"/>
  <c r="R121" i="20" s="1"/>
  <c r="O122" i="20"/>
  <c r="P122" i="20" s="1"/>
  <c r="Q122" i="20" s="1"/>
  <c r="R122" i="20" s="1"/>
  <c r="O123" i="20"/>
  <c r="P123" i="20" s="1"/>
  <c r="Q123" i="20" s="1"/>
  <c r="R123" i="20" s="1"/>
  <c r="O124" i="20"/>
  <c r="P124" i="20" s="1"/>
  <c r="Q124" i="20" s="1"/>
  <c r="R124" i="20" s="1"/>
  <c r="O125" i="20"/>
  <c r="P125" i="20" s="1"/>
  <c r="Q125" i="20" s="1"/>
  <c r="R125" i="20" s="1"/>
  <c r="O126" i="20"/>
  <c r="P126" i="20" s="1"/>
  <c r="Q126" i="20" s="1"/>
  <c r="R126" i="20" s="1"/>
  <c r="O127" i="20"/>
  <c r="P127" i="20" s="1"/>
  <c r="Q127" i="20" s="1"/>
  <c r="R127" i="20" s="1"/>
  <c r="O116" i="20"/>
  <c r="P116" i="20" s="1"/>
  <c r="Q116" i="20" s="1"/>
  <c r="R116" i="20" s="1"/>
  <c r="P114" i="20"/>
  <c r="Q114" i="20"/>
  <c r="R114" i="20"/>
  <c r="O114" i="20"/>
  <c r="D65" i="2"/>
  <c r="G45" i="22"/>
  <c r="J57" i="8"/>
  <c r="J59" i="8"/>
  <c r="K59" i="8" s="1"/>
  <c r="L59" i="8" s="1"/>
  <c r="M59" i="8" s="1"/>
  <c r="J58" i="8"/>
  <c r="K58" i="8" s="1"/>
  <c r="L58" i="8" s="1"/>
  <c r="M58" i="8" s="1"/>
  <c r="J22" i="8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F24" i="12"/>
  <c r="G49" i="12"/>
  <c r="D24" i="12"/>
  <c r="D25" i="12"/>
  <c r="E24" i="12"/>
  <c r="F16" i="12"/>
  <c r="E16" i="12"/>
  <c r="B81" i="12"/>
  <c r="B96" i="12" s="1"/>
  <c r="B49" i="12"/>
  <c r="B65" i="12" s="1"/>
  <c r="B80" i="12" s="1"/>
  <c r="B95" i="12" s="1"/>
  <c r="J29" i="8"/>
  <c r="I40" i="16" s="1"/>
  <c r="B40" i="12"/>
  <c r="B59" i="12" s="1"/>
  <c r="B74" i="12" s="1"/>
  <c r="B89" i="12" s="1"/>
  <c r="AB33" i="22"/>
  <c r="AB34" i="22"/>
  <c r="S196" i="22"/>
  <c r="S198" i="22" s="1"/>
  <c r="N58" i="22"/>
  <c r="O58" i="22"/>
  <c r="P58" i="22"/>
  <c r="Q58" i="22"/>
  <c r="R58" i="22"/>
  <c r="S58" i="22"/>
  <c r="T58" i="22"/>
  <c r="U58" i="22"/>
  <c r="V58" i="22"/>
  <c r="W58" i="22"/>
  <c r="X58" i="22"/>
  <c r="Y58" i="22"/>
  <c r="Z58" i="22"/>
  <c r="AA58" i="22"/>
  <c r="AB58" i="22"/>
  <c r="J40" i="8"/>
  <c r="G24" i="11"/>
  <c r="J28" i="8"/>
  <c r="I39" i="16" s="1"/>
  <c r="I118" i="11"/>
  <c r="I131" i="11" s="1"/>
  <c r="J118" i="11"/>
  <c r="J131" i="11" s="1"/>
  <c r="K118" i="11"/>
  <c r="K131" i="11" s="1"/>
  <c r="L118" i="11"/>
  <c r="L131" i="11" s="1"/>
  <c r="M118" i="11"/>
  <c r="M131" i="11" s="1"/>
  <c r="N118" i="11"/>
  <c r="N131" i="11" s="1"/>
  <c r="O118" i="11"/>
  <c r="O131" i="11" s="1"/>
  <c r="P118" i="11"/>
  <c r="P131" i="11" s="1"/>
  <c r="Q118" i="11"/>
  <c r="Q131" i="11" s="1"/>
  <c r="R118" i="11"/>
  <c r="R131" i="11" s="1"/>
  <c r="I119" i="11"/>
  <c r="I132" i="11" s="1"/>
  <c r="J119" i="11"/>
  <c r="J132" i="11" s="1"/>
  <c r="K119" i="11"/>
  <c r="K132" i="11" s="1"/>
  <c r="L119" i="11"/>
  <c r="L132" i="11" s="1"/>
  <c r="M119" i="11"/>
  <c r="M132" i="11" s="1"/>
  <c r="N119" i="11"/>
  <c r="N132" i="11" s="1"/>
  <c r="O119" i="11"/>
  <c r="O132" i="11" s="1"/>
  <c r="P119" i="11"/>
  <c r="P132" i="11" s="1"/>
  <c r="Q119" i="11"/>
  <c r="Q132" i="11" s="1"/>
  <c r="R119" i="11"/>
  <c r="R132" i="11" s="1"/>
  <c r="I120" i="11"/>
  <c r="I133" i="11" s="1"/>
  <c r="J120" i="11"/>
  <c r="J133" i="11" s="1"/>
  <c r="K120" i="11"/>
  <c r="K133" i="11" s="1"/>
  <c r="L120" i="11"/>
  <c r="L133" i="11" s="1"/>
  <c r="M120" i="11"/>
  <c r="M133" i="11" s="1"/>
  <c r="N120" i="11"/>
  <c r="N133" i="11" s="1"/>
  <c r="O120" i="11"/>
  <c r="O133" i="11" s="1"/>
  <c r="P120" i="11"/>
  <c r="P133" i="11" s="1"/>
  <c r="Q120" i="11"/>
  <c r="Q133" i="11" s="1"/>
  <c r="R120" i="11"/>
  <c r="R133" i="11" s="1"/>
  <c r="I121" i="11"/>
  <c r="I134" i="11" s="1"/>
  <c r="J121" i="11"/>
  <c r="J134" i="11" s="1"/>
  <c r="K121" i="11"/>
  <c r="K134" i="11" s="1"/>
  <c r="L121" i="11"/>
  <c r="L134" i="11" s="1"/>
  <c r="M121" i="11"/>
  <c r="M134" i="11" s="1"/>
  <c r="N121" i="11"/>
  <c r="N134" i="11" s="1"/>
  <c r="O121" i="11"/>
  <c r="O134" i="11" s="1"/>
  <c r="P121" i="11"/>
  <c r="P134" i="11" s="1"/>
  <c r="Q121" i="11"/>
  <c r="Q134" i="11" s="1"/>
  <c r="R121" i="11"/>
  <c r="R134" i="11" s="1"/>
  <c r="I122" i="11"/>
  <c r="I135" i="11" s="1"/>
  <c r="J122" i="11"/>
  <c r="J135" i="11" s="1"/>
  <c r="K122" i="11"/>
  <c r="K135" i="11" s="1"/>
  <c r="L122" i="11"/>
  <c r="L135" i="11" s="1"/>
  <c r="M122" i="11"/>
  <c r="M135" i="11" s="1"/>
  <c r="N122" i="11"/>
  <c r="N135" i="11" s="1"/>
  <c r="O122" i="11"/>
  <c r="O135" i="11" s="1"/>
  <c r="P122" i="11"/>
  <c r="P135" i="11" s="1"/>
  <c r="Q122" i="11"/>
  <c r="Q135" i="11" s="1"/>
  <c r="R122" i="11"/>
  <c r="R135" i="11" s="1"/>
  <c r="I123" i="11"/>
  <c r="I136" i="11" s="1"/>
  <c r="J123" i="11"/>
  <c r="J136" i="11" s="1"/>
  <c r="K123" i="11"/>
  <c r="K136" i="11" s="1"/>
  <c r="L123" i="11"/>
  <c r="L136" i="11" s="1"/>
  <c r="M123" i="11"/>
  <c r="M136" i="11" s="1"/>
  <c r="N123" i="11"/>
  <c r="N136" i="11" s="1"/>
  <c r="O123" i="11"/>
  <c r="O136" i="11" s="1"/>
  <c r="P123" i="11"/>
  <c r="P136" i="11" s="1"/>
  <c r="Q123" i="11"/>
  <c r="Q136" i="11" s="1"/>
  <c r="R123" i="11"/>
  <c r="R136" i="11" s="1"/>
  <c r="I124" i="11"/>
  <c r="I137" i="11" s="1"/>
  <c r="J124" i="11"/>
  <c r="J137" i="11" s="1"/>
  <c r="K124" i="11"/>
  <c r="K137" i="11" s="1"/>
  <c r="L124" i="11"/>
  <c r="L137" i="11" s="1"/>
  <c r="M124" i="11"/>
  <c r="M137" i="11" s="1"/>
  <c r="N124" i="11"/>
  <c r="N137" i="11" s="1"/>
  <c r="O124" i="11"/>
  <c r="O137" i="11" s="1"/>
  <c r="P124" i="11"/>
  <c r="P137" i="11" s="1"/>
  <c r="Q124" i="11"/>
  <c r="Q137" i="11" s="1"/>
  <c r="R124" i="11"/>
  <c r="R137" i="11" s="1"/>
  <c r="I125" i="11"/>
  <c r="I138" i="11" s="1"/>
  <c r="J125" i="11"/>
  <c r="J138" i="11" s="1"/>
  <c r="K125" i="11"/>
  <c r="K138" i="11" s="1"/>
  <c r="L125" i="11"/>
  <c r="L138" i="11" s="1"/>
  <c r="M125" i="11"/>
  <c r="M138" i="11" s="1"/>
  <c r="N125" i="11"/>
  <c r="N138" i="11" s="1"/>
  <c r="O125" i="11"/>
  <c r="O138" i="11" s="1"/>
  <c r="P125" i="11"/>
  <c r="P138" i="11" s="1"/>
  <c r="Q125" i="11"/>
  <c r="Q138" i="11" s="1"/>
  <c r="R125" i="11"/>
  <c r="R138" i="11" s="1"/>
  <c r="I126" i="11"/>
  <c r="I139" i="11" s="1"/>
  <c r="J126" i="11"/>
  <c r="J139" i="11" s="1"/>
  <c r="K126" i="11"/>
  <c r="K139" i="11" s="1"/>
  <c r="L126" i="11"/>
  <c r="L139" i="11" s="1"/>
  <c r="M126" i="11"/>
  <c r="M139" i="11" s="1"/>
  <c r="N126" i="11"/>
  <c r="N139" i="11" s="1"/>
  <c r="O126" i="11"/>
  <c r="O139" i="11" s="1"/>
  <c r="P126" i="11"/>
  <c r="P139" i="11" s="1"/>
  <c r="Q126" i="11"/>
  <c r="Q139" i="11" s="1"/>
  <c r="R126" i="11"/>
  <c r="R139" i="11" s="1"/>
  <c r="I127" i="11"/>
  <c r="I140" i="11" s="1"/>
  <c r="J127" i="11"/>
  <c r="J140" i="11" s="1"/>
  <c r="K127" i="11"/>
  <c r="K140" i="11" s="1"/>
  <c r="L127" i="11"/>
  <c r="L140" i="11" s="1"/>
  <c r="M127" i="11"/>
  <c r="M140" i="11" s="1"/>
  <c r="N127" i="11"/>
  <c r="N140" i="11" s="1"/>
  <c r="O127" i="11"/>
  <c r="O140" i="11" s="1"/>
  <c r="P127" i="11"/>
  <c r="P140" i="11" s="1"/>
  <c r="Q127" i="11"/>
  <c r="Q140" i="11" s="1"/>
  <c r="R127" i="11"/>
  <c r="R140" i="11" s="1"/>
  <c r="H118" i="11"/>
  <c r="H131" i="11" s="1"/>
  <c r="H119" i="11"/>
  <c r="H132" i="11" s="1"/>
  <c r="H120" i="11"/>
  <c r="H133" i="11" s="1"/>
  <c r="H121" i="11"/>
  <c r="H134" i="11" s="1"/>
  <c r="H122" i="11"/>
  <c r="H135" i="11" s="1"/>
  <c r="H123" i="11"/>
  <c r="H136" i="11" s="1"/>
  <c r="H124" i="11"/>
  <c r="H137" i="11" s="1"/>
  <c r="H125" i="11"/>
  <c r="H138" i="11" s="1"/>
  <c r="H126" i="11"/>
  <c r="H139" i="11" s="1"/>
  <c r="H127" i="11"/>
  <c r="H140" i="11" s="1"/>
  <c r="G72" i="16"/>
  <c r="G17" i="7"/>
  <c r="F17" i="7"/>
  <c r="D24" i="2"/>
  <c r="E24" i="2"/>
  <c r="F24" i="2"/>
  <c r="G24" i="2"/>
  <c r="I10" i="7"/>
  <c r="H71" i="16" s="1"/>
  <c r="E10" i="7"/>
  <c r="E24" i="7" s="1"/>
  <c r="F10" i="7"/>
  <c r="G10" i="7"/>
  <c r="H10" i="7"/>
  <c r="G71" i="16" s="1"/>
  <c r="F25" i="12"/>
  <c r="E25" i="12"/>
  <c r="I34" i="22"/>
  <c r="H34" i="22"/>
  <c r="I33" i="22"/>
  <c r="I211" i="22" s="1"/>
  <c r="G7" i="2"/>
  <c r="H7" i="8" s="1"/>
  <c r="H51" i="11"/>
  <c r="H79" i="11" s="1"/>
  <c r="H52" i="11"/>
  <c r="H80" i="11" s="1"/>
  <c r="H53" i="11"/>
  <c r="H81" i="11" s="1"/>
  <c r="H54" i="11"/>
  <c r="H82" i="11" s="1"/>
  <c r="H55" i="11"/>
  <c r="H83" i="11" s="1"/>
  <c r="H56" i="11"/>
  <c r="H84" i="11" s="1"/>
  <c r="H57" i="11"/>
  <c r="H85" i="11" s="1"/>
  <c r="H58" i="11"/>
  <c r="H86" i="11" s="1"/>
  <c r="H59" i="11"/>
  <c r="H87" i="11" s="1"/>
  <c r="H60" i="11"/>
  <c r="H88" i="11" s="1"/>
  <c r="H61" i="11"/>
  <c r="H89" i="11" s="1"/>
  <c r="H40" i="11"/>
  <c r="N38" i="11"/>
  <c r="N39" i="11"/>
  <c r="N40" i="11"/>
  <c r="N41" i="11"/>
  <c r="N42" i="11"/>
  <c r="N43" i="11"/>
  <c r="O57" i="11" s="1"/>
  <c r="O85" i="11" s="1"/>
  <c r="O58" i="11"/>
  <c r="O86" i="11" s="1"/>
  <c r="N45" i="11"/>
  <c r="O59" i="11" s="1"/>
  <c r="O87" i="11" s="1"/>
  <c r="N46" i="11"/>
  <c r="O60" i="11" s="1"/>
  <c r="O88" i="11" s="1"/>
  <c r="N47" i="11"/>
  <c r="O61" i="11" s="1"/>
  <c r="O89" i="11" s="1"/>
  <c r="I37" i="15"/>
  <c r="J37" i="15" s="1"/>
  <c r="K37" i="15" s="1"/>
  <c r="L37" i="15" s="1"/>
  <c r="M37" i="15" s="1"/>
  <c r="N37" i="15" s="1"/>
  <c r="O37" i="15" s="1"/>
  <c r="P37" i="15" s="1"/>
  <c r="Q37" i="15" s="1"/>
  <c r="AP39" i="16"/>
  <c r="AP42" i="16"/>
  <c r="AP43" i="16"/>
  <c r="AP34" i="16"/>
  <c r="AP35" i="16"/>
  <c r="AP33" i="16"/>
  <c r="H191" i="22"/>
  <c r="H201" i="22" s="1"/>
  <c r="H219" i="22"/>
  <c r="H209" i="22"/>
  <c r="H237" i="22"/>
  <c r="H227" i="22"/>
  <c r="H255" i="22"/>
  <c r="H245" i="22"/>
  <c r="F263" i="22"/>
  <c r="H263" i="22" s="1"/>
  <c r="H169" i="22"/>
  <c r="H159" i="22"/>
  <c r="H185" i="22"/>
  <c r="H175" i="22"/>
  <c r="H161" i="22"/>
  <c r="H177" i="22"/>
  <c r="I119" i="22"/>
  <c r="I120" i="22" s="1"/>
  <c r="I161" i="22"/>
  <c r="I177" i="22"/>
  <c r="J119" i="22"/>
  <c r="J68" i="22"/>
  <c r="K68" i="22" s="1"/>
  <c r="J161" i="22"/>
  <c r="J177" i="22"/>
  <c r="K119" i="22"/>
  <c r="K69" i="22"/>
  <c r="L69" i="22" s="1"/>
  <c r="K70" i="22"/>
  <c r="L70" i="22" s="1"/>
  <c r="K161" i="22"/>
  <c r="K177" i="22"/>
  <c r="L119" i="22"/>
  <c r="L71" i="22"/>
  <c r="L161" i="22"/>
  <c r="L177" i="22"/>
  <c r="M119" i="22"/>
  <c r="M72" i="22"/>
  <c r="M161" i="22"/>
  <c r="M177" i="22"/>
  <c r="N119" i="22"/>
  <c r="N73" i="22"/>
  <c r="N161" i="22"/>
  <c r="N177" i="22"/>
  <c r="O119" i="22"/>
  <c r="O38" i="11"/>
  <c r="O39" i="11"/>
  <c r="O40" i="11"/>
  <c r="O41" i="11"/>
  <c r="O42" i="11"/>
  <c r="O43" i="11"/>
  <c r="P57" i="11" s="1"/>
  <c r="P85" i="11" s="1"/>
  <c r="P58" i="11"/>
  <c r="P86" i="11" s="1"/>
  <c r="O45" i="11"/>
  <c r="P59" i="11" s="1"/>
  <c r="P87" i="11" s="1"/>
  <c r="O46" i="11"/>
  <c r="P60" i="11" s="1"/>
  <c r="P88" i="11" s="1"/>
  <c r="O47" i="11"/>
  <c r="P61" i="11" s="1"/>
  <c r="P89" i="11" s="1"/>
  <c r="O74" i="22"/>
  <c r="O161" i="22"/>
  <c r="O177" i="22"/>
  <c r="P119" i="22"/>
  <c r="P38" i="11"/>
  <c r="P39" i="11"/>
  <c r="P40" i="11"/>
  <c r="P41" i="11"/>
  <c r="P42" i="11"/>
  <c r="P43" i="11"/>
  <c r="Q58" i="11"/>
  <c r="Q86" i="11" s="1"/>
  <c r="P45" i="11"/>
  <c r="Q59" i="11" s="1"/>
  <c r="Q87" i="11" s="1"/>
  <c r="P46" i="11"/>
  <c r="Q60" i="11" s="1"/>
  <c r="Q88" i="11" s="1"/>
  <c r="P47" i="11"/>
  <c r="Q61" i="11" s="1"/>
  <c r="Q89" i="11" s="1"/>
  <c r="P74" i="22"/>
  <c r="P75" i="22"/>
  <c r="Q75" i="22" s="1"/>
  <c r="R75" i="22" s="1"/>
  <c r="S75" i="22" s="1"/>
  <c r="P161" i="22"/>
  <c r="P177" i="22"/>
  <c r="Q119" i="22"/>
  <c r="Q57" i="11"/>
  <c r="Q85" i="11" s="1"/>
  <c r="Q38" i="11"/>
  <c r="Q39" i="11"/>
  <c r="Q40" i="11"/>
  <c r="Q41" i="11"/>
  <c r="Q42" i="11"/>
  <c r="Q43" i="11"/>
  <c r="R57" i="11" s="1"/>
  <c r="R85" i="11" s="1"/>
  <c r="R58" i="11"/>
  <c r="R86" i="11" s="1"/>
  <c r="Q45" i="11"/>
  <c r="R59" i="11" s="1"/>
  <c r="R87" i="11" s="1"/>
  <c r="Q46" i="11"/>
  <c r="R60" i="11" s="1"/>
  <c r="R88" i="11" s="1"/>
  <c r="Q47" i="11"/>
  <c r="R61" i="11" s="1"/>
  <c r="R89" i="11" s="1"/>
  <c r="Q76" i="22"/>
  <c r="R76" i="22" s="1"/>
  <c r="S76" i="22" s="1"/>
  <c r="T76" i="22" s="1"/>
  <c r="Q161" i="22"/>
  <c r="Q177" i="22"/>
  <c r="R119" i="22"/>
  <c r="R38" i="11"/>
  <c r="R39" i="11"/>
  <c r="R40" i="11"/>
  <c r="R41" i="11"/>
  <c r="R42" i="11"/>
  <c r="R43" i="11"/>
  <c r="S57" i="11" s="1"/>
  <c r="S85" i="11" s="1"/>
  <c r="S58" i="11"/>
  <c r="S86" i="11" s="1"/>
  <c r="R45" i="11"/>
  <c r="S59" i="11" s="1"/>
  <c r="S87" i="11" s="1"/>
  <c r="R46" i="11"/>
  <c r="S60" i="11" s="1"/>
  <c r="S88" i="11" s="1"/>
  <c r="R47" i="11"/>
  <c r="S61" i="11" s="1"/>
  <c r="S89" i="11" s="1"/>
  <c r="R77" i="22"/>
  <c r="S77" i="22" s="1"/>
  <c r="T77" i="22" s="1"/>
  <c r="U77" i="22" s="1"/>
  <c r="R161" i="22"/>
  <c r="R177" i="22"/>
  <c r="S119" i="22"/>
  <c r="S38" i="11"/>
  <c r="S39" i="11"/>
  <c r="S40" i="11"/>
  <c r="S41" i="11"/>
  <c r="S42" i="11"/>
  <c r="S43" i="11"/>
  <c r="T57" i="11" s="1"/>
  <c r="T85" i="11" s="1"/>
  <c r="T58" i="11"/>
  <c r="T86" i="11" s="1"/>
  <c r="S45" i="11"/>
  <c r="T59" i="11" s="1"/>
  <c r="T87" i="11" s="1"/>
  <c r="S46" i="11"/>
  <c r="T60" i="11" s="1"/>
  <c r="T88" i="11" s="1"/>
  <c r="S47" i="11"/>
  <c r="T61" i="11" s="1"/>
  <c r="T89" i="11" s="1"/>
  <c r="S78" i="22"/>
  <c r="T78" i="22" s="1"/>
  <c r="S161" i="22"/>
  <c r="S177" i="22"/>
  <c r="T119" i="22"/>
  <c r="T38" i="11"/>
  <c r="T39" i="11"/>
  <c r="T40" i="11"/>
  <c r="T41" i="11"/>
  <c r="T42" i="11"/>
  <c r="T43" i="11"/>
  <c r="U57" i="11" s="1"/>
  <c r="U85" i="11" s="1"/>
  <c r="U58" i="11"/>
  <c r="U86" i="11" s="1"/>
  <c r="T45" i="11"/>
  <c r="U59" i="11" s="1"/>
  <c r="U87" i="11" s="1"/>
  <c r="T46" i="11"/>
  <c r="U60" i="11" s="1"/>
  <c r="U88" i="11" s="1"/>
  <c r="T47" i="11"/>
  <c r="U61" i="11" s="1"/>
  <c r="U89" i="11" s="1"/>
  <c r="T79" i="22"/>
  <c r="U79" i="22" s="1"/>
  <c r="T161" i="22"/>
  <c r="T177" i="22"/>
  <c r="U119" i="22"/>
  <c r="U38" i="11"/>
  <c r="U39" i="11"/>
  <c r="U40" i="11"/>
  <c r="U41" i="11"/>
  <c r="U42" i="11"/>
  <c r="U43" i="11"/>
  <c r="V57" i="11" s="1"/>
  <c r="V85" i="11" s="1"/>
  <c r="U44" i="11"/>
  <c r="V58" i="11" s="1"/>
  <c r="V86" i="11" s="1"/>
  <c r="U45" i="11"/>
  <c r="V59" i="11" s="1"/>
  <c r="V87" i="11" s="1"/>
  <c r="U46" i="11"/>
  <c r="V60" i="11" s="1"/>
  <c r="V88" i="11" s="1"/>
  <c r="U47" i="11"/>
  <c r="V61" i="11" s="1"/>
  <c r="V89" i="11" s="1"/>
  <c r="U80" i="22"/>
  <c r="V80" i="22" s="1"/>
  <c r="W80" i="22" s="1"/>
  <c r="U161" i="22"/>
  <c r="U177" i="22"/>
  <c r="V119" i="22"/>
  <c r="V38" i="11"/>
  <c r="V39" i="11"/>
  <c r="V40" i="11"/>
  <c r="V41" i="11"/>
  <c r="V42" i="11"/>
  <c r="V43" i="11"/>
  <c r="W57" i="11" s="1"/>
  <c r="W85" i="11" s="1"/>
  <c r="V44" i="11"/>
  <c r="W58" i="11" s="1"/>
  <c r="W86" i="11" s="1"/>
  <c r="V45" i="11"/>
  <c r="W59" i="11" s="1"/>
  <c r="W87" i="11" s="1"/>
  <c r="V46" i="11"/>
  <c r="W60" i="11" s="1"/>
  <c r="W88" i="11" s="1"/>
  <c r="V47" i="11"/>
  <c r="W61" i="11" s="1"/>
  <c r="W89" i="11" s="1"/>
  <c r="V81" i="22"/>
  <c r="W81" i="22" s="1"/>
  <c r="V161" i="22"/>
  <c r="V177" i="22"/>
  <c r="W119" i="22"/>
  <c r="W38" i="11"/>
  <c r="W39" i="11"/>
  <c r="W40" i="11"/>
  <c r="W41" i="11"/>
  <c r="W42" i="11"/>
  <c r="W43" i="11"/>
  <c r="X57" i="11" s="1"/>
  <c r="X85" i="11" s="1"/>
  <c r="W44" i="11"/>
  <c r="X58" i="11" s="1"/>
  <c r="X86" i="11" s="1"/>
  <c r="W45" i="11"/>
  <c r="X59" i="11" s="1"/>
  <c r="X87" i="11" s="1"/>
  <c r="W46" i="11"/>
  <c r="X60" i="11" s="1"/>
  <c r="X88" i="11" s="1"/>
  <c r="W47" i="11"/>
  <c r="X61" i="11" s="1"/>
  <c r="X89" i="11" s="1"/>
  <c r="W82" i="22"/>
  <c r="W161" i="22"/>
  <c r="W177" i="22"/>
  <c r="X119" i="22"/>
  <c r="X38" i="11"/>
  <c r="X39" i="11"/>
  <c r="X40" i="11"/>
  <c r="X41" i="11"/>
  <c r="X42" i="11"/>
  <c r="X43" i="11"/>
  <c r="Y57" i="11" s="1"/>
  <c r="Y85" i="11" s="1"/>
  <c r="X44" i="11"/>
  <c r="Y58" i="11" s="1"/>
  <c r="Y86" i="11" s="1"/>
  <c r="X45" i="11"/>
  <c r="Y59" i="11" s="1"/>
  <c r="Y87" i="11" s="1"/>
  <c r="X46" i="11"/>
  <c r="Y60" i="11" s="1"/>
  <c r="Y88" i="11" s="1"/>
  <c r="X47" i="11"/>
  <c r="Y61" i="11" s="1"/>
  <c r="Y89" i="11" s="1"/>
  <c r="X83" i="22"/>
  <c r="X161" i="22"/>
  <c r="X177" i="22"/>
  <c r="Y119" i="22"/>
  <c r="Y38" i="11"/>
  <c r="Y39" i="11"/>
  <c r="Y40" i="11"/>
  <c r="Y41" i="11"/>
  <c r="Y42" i="11"/>
  <c r="Y43" i="11"/>
  <c r="Z57" i="11" s="1"/>
  <c r="Z85" i="11" s="1"/>
  <c r="Y44" i="11"/>
  <c r="Z58" i="11" s="1"/>
  <c r="Z86" i="11" s="1"/>
  <c r="Y45" i="11"/>
  <c r="Z59" i="11" s="1"/>
  <c r="Z87" i="11" s="1"/>
  <c r="Y46" i="11"/>
  <c r="Z60" i="11" s="1"/>
  <c r="Z88" i="11" s="1"/>
  <c r="Y47" i="11"/>
  <c r="Z61" i="11" s="1"/>
  <c r="Z89" i="11" s="1"/>
  <c r="Y84" i="22"/>
  <c r="Y161" i="22"/>
  <c r="Y177" i="22"/>
  <c r="Z119" i="22"/>
  <c r="Z38" i="11"/>
  <c r="Z39" i="11"/>
  <c r="Z40" i="11"/>
  <c r="Z41" i="11"/>
  <c r="Z42" i="11"/>
  <c r="Z43" i="11"/>
  <c r="AA57" i="11" s="1"/>
  <c r="AA85" i="11" s="1"/>
  <c r="Z44" i="11"/>
  <c r="AA58" i="11" s="1"/>
  <c r="AA86" i="11" s="1"/>
  <c r="Z45" i="11"/>
  <c r="AA59" i="11" s="1"/>
  <c r="AA87" i="11" s="1"/>
  <c r="Z46" i="11"/>
  <c r="AA60" i="11" s="1"/>
  <c r="AA88" i="11" s="1"/>
  <c r="Z47" i="11"/>
  <c r="AA61" i="11" s="1"/>
  <c r="AA89" i="11" s="1"/>
  <c r="Z84" i="22"/>
  <c r="Z85" i="22"/>
  <c r="AA85" i="22" s="1"/>
  <c r="AB85" i="22" s="1"/>
  <c r="Z161" i="22"/>
  <c r="Z177" i="22"/>
  <c r="AA119" i="22"/>
  <c r="AA38" i="11"/>
  <c r="AA39" i="11"/>
  <c r="AA40" i="11"/>
  <c r="AA41" i="11"/>
  <c r="AA42" i="11"/>
  <c r="AA43" i="11"/>
  <c r="AB57" i="11" s="1"/>
  <c r="AB85" i="11" s="1"/>
  <c r="AA44" i="11"/>
  <c r="AB58" i="11" s="1"/>
  <c r="AB86" i="11" s="1"/>
  <c r="AA45" i="11"/>
  <c r="AB59" i="11" s="1"/>
  <c r="AB87" i="11" s="1"/>
  <c r="AA46" i="11"/>
  <c r="AB60" i="11" s="1"/>
  <c r="AB88" i="11" s="1"/>
  <c r="AA47" i="11"/>
  <c r="AB61" i="11" s="1"/>
  <c r="AB89" i="11" s="1"/>
  <c r="AA86" i="22"/>
  <c r="AB86" i="22" s="1"/>
  <c r="AA161" i="22"/>
  <c r="AA177" i="22"/>
  <c r="AB119" i="22"/>
  <c r="AB38" i="11"/>
  <c r="AB39" i="11"/>
  <c r="AB40" i="11"/>
  <c r="AB41" i="11"/>
  <c r="AB42" i="11"/>
  <c r="AB43" i="11"/>
  <c r="AB44" i="11"/>
  <c r="AB45" i="11"/>
  <c r="AB46" i="11"/>
  <c r="AB47" i="11"/>
  <c r="AB87" i="22"/>
  <c r="AB161" i="22"/>
  <c r="AB177" i="22"/>
  <c r="AD20" i="16"/>
  <c r="AD27" i="16" s="1"/>
  <c r="B11" i="25"/>
  <c r="AD19" i="16"/>
  <c r="AD26" i="16" s="1"/>
  <c r="AF18" i="16"/>
  <c r="AG18" i="16"/>
  <c r="AH18" i="16"/>
  <c r="AI18" i="16"/>
  <c r="AJ18" i="16"/>
  <c r="AK18" i="16"/>
  <c r="AE18" i="16"/>
  <c r="AP30" i="16"/>
  <c r="AP29" i="16"/>
  <c r="AP28" i="16"/>
  <c r="AP25" i="16"/>
  <c r="AP23" i="16"/>
  <c r="AP19" i="16"/>
  <c r="H38" i="11"/>
  <c r="H39" i="11"/>
  <c r="H43" i="11"/>
  <c r="I57" i="11" s="1"/>
  <c r="I85" i="11" s="1"/>
  <c r="H44" i="11"/>
  <c r="I58" i="11" s="1"/>
  <c r="I86" i="11" s="1"/>
  <c r="H45" i="11"/>
  <c r="I59" i="11" s="1"/>
  <c r="I87" i="11" s="1"/>
  <c r="H46" i="11"/>
  <c r="I60" i="11" s="1"/>
  <c r="I88" i="11" s="1"/>
  <c r="H47" i="11"/>
  <c r="I61" i="11" s="1"/>
  <c r="I89" i="11" s="1"/>
  <c r="I38" i="11"/>
  <c r="I39" i="11"/>
  <c r="I40" i="11"/>
  <c r="I41" i="11"/>
  <c r="I42" i="11"/>
  <c r="I43" i="11"/>
  <c r="J57" i="11" s="1"/>
  <c r="J85" i="11" s="1"/>
  <c r="I44" i="11"/>
  <c r="J58" i="11" s="1"/>
  <c r="J86" i="11" s="1"/>
  <c r="I45" i="11"/>
  <c r="J59" i="11" s="1"/>
  <c r="J87" i="11" s="1"/>
  <c r="I46" i="11"/>
  <c r="J60" i="11" s="1"/>
  <c r="J88" i="11" s="1"/>
  <c r="I47" i="11"/>
  <c r="J61" i="11" s="1"/>
  <c r="J89" i="11" s="1"/>
  <c r="J38" i="11"/>
  <c r="J39" i="11"/>
  <c r="J40" i="11"/>
  <c r="J41" i="11"/>
  <c r="J42" i="11"/>
  <c r="J43" i="11"/>
  <c r="K57" i="11" s="1"/>
  <c r="K85" i="11" s="1"/>
  <c r="K58" i="11"/>
  <c r="K86" i="11" s="1"/>
  <c r="J45" i="11"/>
  <c r="K59" i="11" s="1"/>
  <c r="K87" i="11" s="1"/>
  <c r="J46" i="11"/>
  <c r="K60" i="11" s="1"/>
  <c r="K88" i="11" s="1"/>
  <c r="J47" i="11"/>
  <c r="K61" i="11" s="1"/>
  <c r="K89" i="11" s="1"/>
  <c r="K38" i="11"/>
  <c r="K39" i="11"/>
  <c r="K40" i="11"/>
  <c r="K41" i="11"/>
  <c r="K42" i="11"/>
  <c r="K43" i="11"/>
  <c r="L57" i="11" s="1"/>
  <c r="L85" i="11" s="1"/>
  <c r="L58" i="11"/>
  <c r="L86" i="11" s="1"/>
  <c r="K45" i="11"/>
  <c r="L59" i="11" s="1"/>
  <c r="L87" i="11" s="1"/>
  <c r="K46" i="11"/>
  <c r="L60" i="11" s="1"/>
  <c r="L88" i="11" s="1"/>
  <c r="K47" i="11"/>
  <c r="L61" i="11" s="1"/>
  <c r="L89" i="11" s="1"/>
  <c r="L38" i="11"/>
  <c r="L39" i="11"/>
  <c r="L40" i="11"/>
  <c r="L41" i="11"/>
  <c r="L42" i="11"/>
  <c r="L43" i="11"/>
  <c r="M57" i="11" s="1"/>
  <c r="M85" i="11" s="1"/>
  <c r="M58" i="11"/>
  <c r="M86" i="11" s="1"/>
  <c r="L45" i="11"/>
  <c r="M59" i="11" s="1"/>
  <c r="M87" i="11" s="1"/>
  <c r="L46" i="11"/>
  <c r="M60" i="11" s="1"/>
  <c r="M88" i="11" s="1"/>
  <c r="L47" i="11"/>
  <c r="M61" i="11" s="1"/>
  <c r="M89" i="11" s="1"/>
  <c r="M38" i="11"/>
  <c r="M39" i="11"/>
  <c r="M40" i="11"/>
  <c r="M41" i="11"/>
  <c r="M42" i="11"/>
  <c r="M43" i="11"/>
  <c r="N57" i="11" s="1"/>
  <c r="N85" i="11" s="1"/>
  <c r="N58" i="11"/>
  <c r="N86" i="11" s="1"/>
  <c r="M45" i="11"/>
  <c r="N59" i="11" s="1"/>
  <c r="N87" i="11" s="1"/>
  <c r="M46" i="11"/>
  <c r="N60" i="11" s="1"/>
  <c r="N88" i="11" s="1"/>
  <c r="M47" i="11"/>
  <c r="N61" i="11" s="1"/>
  <c r="N89" i="11" s="1"/>
  <c r="G7" i="11"/>
  <c r="G7" i="22" s="1"/>
  <c r="H196" i="22"/>
  <c r="H198" i="22" s="1"/>
  <c r="H199" i="22"/>
  <c r="H217" i="22" s="1"/>
  <c r="H235" i="22" s="1"/>
  <c r="H253" i="22" s="1"/>
  <c r="H271" i="22" s="1"/>
  <c r="H214" i="22"/>
  <c r="H216" i="22" s="1"/>
  <c r="H232" i="22"/>
  <c r="H234" i="22" s="1"/>
  <c r="H250" i="22"/>
  <c r="H252" i="22" s="1"/>
  <c r="H268" i="22"/>
  <c r="H270" i="22" s="1"/>
  <c r="F36" i="15"/>
  <c r="H14" i="12"/>
  <c r="H15" i="12"/>
  <c r="H21" i="12"/>
  <c r="H22" i="12"/>
  <c r="I196" i="22"/>
  <c r="I198" i="22" s="1"/>
  <c r="I199" i="22"/>
  <c r="I217" i="22" s="1"/>
  <c r="I235" i="22" s="1"/>
  <c r="I253" i="22" s="1"/>
  <c r="I271" i="22" s="1"/>
  <c r="I214" i="22"/>
  <c r="I216" i="22" s="1"/>
  <c r="I232" i="22"/>
  <c r="I234" i="22" s="1"/>
  <c r="I250" i="22"/>
  <c r="I252" i="22" s="1"/>
  <c r="I268" i="22"/>
  <c r="I270" i="22" s="1"/>
  <c r="J196" i="22"/>
  <c r="J198" i="22" s="1"/>
  <c r="J199" i="22"/>
  <c r="J217" i="22" s="1"/>
  <c r="J235" i="22" s="1"/>
  <c r="J253" i="22" s="1"/>
  <c r="J271" i="22" s="1"/>
  <c r="J214" i="22"/>
  <c r="J216" i="22" s="1"/>
  <c r="J232" i="22"/>
  <c r="J234" i="22" s="1"/>
  <c r="J250" i="22"/>
  <c r="J252" i="22" s="1"/>
  <c r="J268" i="22"/>
  <c r="J270" i="22" s="1"/>
  <c r="K196" i="22"/>
  <c r="K198" i="22" s="1"/>
  <c r="K199" i="22"/>
  <c r="K217" i="22" s="1"/>
  <c r="K235" i="22" s="1"/>
  <c r="K253" i="22" s="1"/>
  <c r="K271" i="22" s="1"/>
  <c r="K214" i="22"/>
  <c r="K216" i="22" s="1"/>
  <c r="K232" i="22"/>
  <c r="K234" i="22" s="1"/>
  <c r="K250" i="22"/>
  <c r="K252" i="22" s="1"/>
  <c r="K268" i="22"/>
  <c r="K270" i="22" s="1"/>
  <c r="L196" i="22"/>
  <c r="L198" i="22" s="1"/>
  <c r="L199" i="22"/>
  <c r="L217" i="22" s="1"/>
  <c r="L235" i="22" s="1"/>
  <c r="L253" i="22" s="1"/>
  <c r="L271" i="22" s="1"/>
  <c r="L214" i="22"/>
  <c r="L216" i="22" s="1"/>
  <c r="L232" i="22"/>
  <c r="L234" i="22" s="1"/>
  <c r="L250" i="22"/>
  <c r="L252" i="22" s="1"/>
  <c r="L268" i="22"/>
  <c r="L270" i="22" s="1"/>
  <c r="M196" i="22"/>
  <c r="M198" i="22" s="1"/>
  <c r="M214" i="22"/>
  <c r="M216" i="22" s="1"/>
  <c r="M232" i="22"/>
  <c r="M234" i="22" s="1"/>
  <c r="M250" i="22"/>
  <c r="M252" i="22" s="1"/>
  <c r="M268" i="22"/>
  <c r="M270" i="22" s="1"/>
  <c r="N196" i="22"/>
  <c r="N198" i="22" s="1"/>
  <c r="N214" i="22"/>
  <c r="N216" i="22" s="1"/>
  <c r="N232" i="22"/>
  <c r="N234" i="22" s="1"/>
  <c r="N250" i="22"/>
  <c r="N252" i="22" s="1"/>
  <c r="N268" i="22"/>
  <c r="N270" i="22" s="1"/>
  <c r="O196" i="22"/>
  <c r="O198" i="22" s="1"/>
  <c r="O214" i="22"/>
  <c r="O216" i="22" s="1"/>
  <c r="O232" i="22"/>
  <c r="O234" i="22" s="1"/>
  <c r="O250" i="22"/>
  <c r="O252" i="22" s="1"/>
  <c r="O268" i="22"/>
  <c r="O270" i="22" s="1"/>
  <c r="P196" i="22"/>
  <c r="P198" i="22" s="1"/>
  <c r="P214" i="22"/>
  <c r="P216" i="22" s="1"/>
  <c r="P232" i="22"/>
  <c r="P234" i="22" s="1"/>
  <c r="P250" i="22"/>
  <c r="P252" i="22" s="1"/>
  <c r="P268" i="22"/>
  <c r="P270" i="22" s="1"/>
  <c r="Q196" i="22"/>
  <c r="Q198" i="22" s="1"/>
  <c r="Q214" i="22"/>
  <c r="Q216" i="22" s="1"/>
  <c r="Q232" i="22"/>
  <c r="Q234" i="22" s="1"/>
  <c r="Q250" i="22"/>
  <c r="Q252" i="22" s="1"/>
  <c r="Q268" i="22"/>
  <c r="Q270" i="22" s="1"/>
  <c r="R196" i="22"/>
  <c r="R198" i="22" s="1"/>
  <c r="R214" i="22"/>
  <c r="R216" i="22" s="1"/>
  <c r="R232" i="22"/>
  <c r="R234" i="22" s="1"/>
  <c r="R250" i="22"/>
  <c r="R252" i="22" s="1"/>
  <c r="R268" i="22"/>
  <c r="R270" i="22" s="1"/>
  <c r="S214" i="22"/>
  <c r="S216" i="22" s="1"/>
  <c r="S232" i="22"/>
  <c r="S234" i="22" s="1"/>
  <c r="S250" i="22"/>
  <c r="S252" i="22" s="1"/>
  <c r="S268" i="22"/>
  <c r="S270" i="22" s="1"/>
  <c r="T214" i="22"/>
  <c r="T216" i="22" s="1"/>
  <c r="T232" i="22"/>
  <c r="T234" i="22" s="1"/>
  <c r="T250" i="22"/>
  <c r="T252" i="22" s="1"/>
  <c r="T268" i="22"/>
  <c r="T270" i="22" s="1"/>
  <c r="H151" i="22"/>
  <c r="H165" i="22"/>
  <c r="H167" i="22" s="1"/>
  <c r="H181" i="22"/>
  <c r="H183" i="22" s="1"/>
  <c r="H333" i="22"/>
  <c r="H335" i="22" s="1"/>
  <c r="I151" i="22"/>
  <c r="I165" i="22"/>
  <c r="I167" i="22" s="1"/>
  <c r="I181" i="22"/>
  <c r="I183" i="22" s="1"/>
  <c r="I333" i="22"/>
  <c r="I335" i="22" s="1"/>
  <c r="J151" i="22"/>
  <c r="J165" i="22"/>
  <c r="J167" i="22" s="1"/>
  <c r="J181" i="22"/>
  <c r="J183" i="22" s="1"/>
  <c r="J333" i="22"/>
  <c r="J335" i="22" s="1"/>
  <c r="K151" i="22"/>
  <c r="K165" i="22"/>
  <c r="K167" i="22" s="1"/>
  <c r="K181" i="22"/>
  <c r="K183" i="22" s="1"/>
  <c r="K333" i="22"/>
  <c r="K335" i="22" s="1"/>
  <c r="L151" i="22"/>
  <c r="L165" i="22"/>
  <c r="L167" i="22" s="1"/>
  <c r="L181" i="22"/>
  <c r="L183" i="22" s="1"/>
  <c r="L333" i="22"/>
  <c r="L335" i="22" s="1"/>
  <c r="M151" i="22"/>
  <c r="M165" i="22"/>
  <c r="M167" i="22" s="1"/>
  <c r="M181" i="22"/>
  <c r="M183" i="22" s="1"/>
  <c r="M333" i="22"/>
  <c r="M335" i="22" s="1"/>
  <c r="B9" i="25"/>
  <c r="L4" i="16"/>
  <c r="N151" i="22"/>
  <c r="N165" i="22"/>
  <c r="N167" i="22" s="1"/>
  <c r="N181" i="22"/>
  <c r="N183" i="22" s="1"/>
  <c r="N333" i="22"/>
  <c r="N335" i="22" s="1"/>
  <c r="O151" i="22"/>
  <c r="O165" i="22"/>
  <c r="O167" i="22" s="1"/>
  <c r="O181" i="22"/>
  <c r="O183" i="22" s="1"/>
  <c r="O333" i="22"/>
  <c r="O335" i="22" s="1"/>
  <c r="P151" i="22"/>
  <c r="P165" i="22"/>
  <c r="P167" i="22" s="1"/>
  <c r="P181" i="22"/>
  <c r="P183" i="22" s="1"/>
  <c r="P333" i="22"/>
  <c r="P335" i="22" s="1"/>
  <c r="Q151" i="22"/>
  <c r="Q165" i="22"/>
  <c r="Q167" i="22" s="1"/>
  <c r="Q181" i="22"/>
  <c r="Q183" i="22" s="1"/>
  <c r="Q333" i="22"/>
  <c r="Q335" i="22" s="1"/>
  <c r="R151" i="22"/>
  <c r="R165" i="22"/>
  <c r="R167" i="22" s="1"/>
  <c r="R181" i="22"/>
  <c r="R183" i="22" s="1"/>
  <c r="R333" i="22"/>
  <c r="R335" i="22" s="1"/>
  <c r="S151" i="22"/>
  <c r="S165" i="22"/>
  <c r="S167" i="22" s="1"/>
  <c r="S181" i="22"/>
  <c r="S183" i="22" s="1"/>
  <c r="S333" i="22"/>
  <c r="S335" i="22" s="1"/>
  <c r="T151" i="22"/>
  <c r="T165" i="22"/>
  <c r="T167" i="22" s="1"/>
  <c r="T181" i="22"/>
  <c r="T183" i="22" s="1"/>
  <c r="T333" i="22"/>
  <c r="T335" i="22" s="1"/>
  <c r="U151" i="22"/>
  <c r="U165" i="22"/>
  <c r="U167" i="22" s="1"/>
  <c r="U181" i="22"/>
  <c r="U183" i="22" s="1"/>
  <c r="U333" i="22"/>
  <c r="U335" i="22" s="1"/>
  <c r="V151" i="22"/>
  <c r="V165" i="22"/>
  <c r="V167" i="22" s="1"/>
  <c r="V181" i="22"/>
  <c r="V183" i="22" s="1"/>
  <c r="V333" i="22"/>
  <c r="V335" i="22" s="1"/>
  <c r="W151" i="22"/>
  <c r="W165" i="22"/>
  <c r="W167" i="22" s="1"/>
  <c r="W181" i="22"/>
  <c r="W183" i="22" s="1"/>
  <c r="W333" i="22"/>
  <c r="W335" i="22" s="1"/>
  <c r="X151" i="22"/>
  <c r="X165" i="22"/>
  <c r="X167" i="22" s="1"/>
  <c r="X181" i="22"/>
  <c r="X183" i="22" s="1"/>
  <c r="X333" i="22"/>
  <c r="X335" i="22" s="1"/>
  <c r="Y151" i="22"/>
  <c r="Y165" i="22"/>
  <c r="Y167" i="22" s="1"/>
  <c r="Y181" i="22"/>
  <c r="Y183" i="22" s="1"/>
  <c r="Y333" i="22"/>
  <c r="Y335" i="22" s="1"/>
  <c r="Z151" i="22"/>
  <c r="Z165" i="22"/>
  <c r="Z167" i="22" s="1"/>
  <c r="Z181" i="22"/>
  <c r="Z183" i="22" s="1"/>
  <c r="Z333" i="22"/>
  <c r="Z335" i="22" s="1"/>
  <c r="AA151" i="22"/>
  <c r="AA165" i="22"/>
  <c r="AA167" i="22" s="1"/>
  <c r="AA181" i="22"/>
  <c r="AA183" i="22" s="1"/>
  <c r="AA333" i="22"/>
  <c r="AA335" i="22" s="1"/>
  <c r="AB151" i="22"/>
  <c r="AB165" i="22"/>
  <c r="AB167" i="22" s="1"/>
  <c r="AB181" i="22"/>
  <c r="AB183" i="22" s="1"/>
  <c r="AB333" i="22"/>
  <c r="AB335" i="22" s="1"/>
  <c r="A343" i="22"/>
  <c r="A344" i="22" s="1"/>
  <c r="E26" i="7"/>
  <c r="E35" i="7"/>
  <c r="F26" i="7"/>
  <c r="F35" i="7"/>
  <c r="G26" i="7"/>
  <c r="G35" i="7"/>
  <c r="G74" i="16"/>
  <c r="H74" i="16"/>
  <c r="G7" i="6"/>
  <c r="H7" i="12"/>
  <c r="E77" i="8"/>
  <c r="F77" i="8"/>
  <c r="G77" i="8"/>
  <c r="E34" i="8"/>
  <c r="F34" i="8"/>
  <c r="G34" i="8"/>
  <c r="G43" i="16"/>
  <c r="E27" i="8"/>
  <c r="F27" i="8"/>
  <c r="G27" i="8"/>
  <c r="H27" i="8"/>
  <c r="G38" i="16" s="1"/>
  <c r="H63" i="8"/>
  <c r="G58" i="16" s="1"/>
  <c r="H77" i="8"/>
  <c r="G62" i="16" s="1"/>
  <c r="D58" i="2"/>
  <c r="E58" i="2"/>
  <c r="F58" i="2"/>
  <c r="I27" i="8"/>
  <c r="H38" i="16" s="1"/>
  <c r="I77" i="8"/>
  <c r="I124" i="16"/>
  <c r="H43" i="16"/>
  <c r="J36" i="8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H13" i="12"/>
  <c r="G125" i="16"/>
  <c r="G124" i="16"/>
  <c r="G123" i="16"/>
  <c r="G122" i="16"/>
  <c r="G120" i="16"/>
  <c r="G119" i="16"/>
  <c r="G118" i="16"/>
  <c r="G116" i="16"/>
  <c r="G115" i="16"/>
  <c r="G113" i="16"/>
  <c r="G112" i="16"/>
  <c r="G111" i="16"/>
  <c r="G110" i="16"/>
  <c r="G109" i="16"/>
  <c r="G108" i="16"/>
  <c r="H30" i="16"/>
  <c r="H70" i="16" s="1"/>
  <c r="H99" i="16" s="1"/>
  <c r="I30" i="16"/>
  <c r="I70" i="16" s="1"/>
  <c r="I99" i="16" s="1"/>
  <c r="J30" i="16"/>
  <c r="J70" i="16" s="1"/>
  <c r="J99" i="16" s="1"/>
  <c r="K30" i="16"/>
  <c r="K70" i="16" s="1"/>
  <c r="K99" i="16" s="1"/>
  <c r="L30" i="16"/>
  <c r="L70" i="16" s="1"/>
  <c r="L99" i="16" s="1"/>
  <c r="M30" i="16"/>
  <c r="M70" i="16" s="1"/>
  <c r="M99" i="16" s="1"/>
  <c r="N30" i="16"/>
  <c r="N70" i="16" s="1"/>
  <c r="N99" i="16" s="1"/>
  <c r="O30" i="16"/>
  <c r="O70" i="16" s="1"/>
  <c r="O99" i="16" s="1"/>
  <c r="P30" i="16"/>
  <c r="P70" i="16" s="1"/>
  <c r="P99" i="16" s="1"/>
  <c r="Q30" i="16"/>
  <c r="Q70" i="16" s="1"/>
  <c r="Q99" i="16" s="1"/>
  <c r="R30" i="16"/>
  <c r="R70" i="16" s="1"/>
  <c r="R99" i="16" s="1"/>
  <c r="S30" i="16"/>
  <c r="S70" i="16" s="1"/>
  <c r="S99" i="16" s="1"/>
  <c r="T30" i="16"/>
  <c r="T70" i="16" s="1"/>
  <c r="T99" i="16" s="1"/>
  <c r="U30" i="16"/>
  <c r="U70" i="16" s="1"/>
  <c r="U99" i="16" s="1"/>
  <c r="V30" i="16"/>
  <c r="V70" i="16" s="1"/>
  <c r="V99" i="16" s="1"/>
  <c r="W30" i="16"/>
  <c r="W70" i="16" s="1"/>
  <c r="W99" i="16" s="1"/>
  <c r="X30" i="16"/>
  <c r="X70" i="16" s="1"/>
  <c r="X99" i="16" s="1"/>
  <c r="Y30" i="16"/>
  <c r="Y70" i="16" s="1"/>
  <c r="Y99" i="16" s="1"/>
  <c r="Z30" i="16"/>
  <c r="Z70" i="16" s="1"/>
  <c r="Z99" i="16" s="1"/>
  <c r="AA30" i="16"/>
  <c r="AA70" i="16" s="1"/>
  <c r="AA99" i="16" s="1"/>
  <c r="AB30" i="16"/>
  <c r="AB70" i="16" s="1"/>
  <c r="AB99" i="16" s="1"/>
  <c r="H106" i="16"/>
  <c r="G104" i="16"/>
  <c r="G105" i="16"/>
  <c r="G106" i="16"/>
  <c r="G107" i="16"/>
  <c r="G103" i="16"/>
  <c r="G102" i="16"/>
  <c r="G101" i="16"/>
  <c r="G100" i="16"/>
  <c r="G30" i="16"/>
  <c r="G70" i="16" s="1"/>
  <c r="G99" i="16" s="1"/>
  <c r="H83" i="16"/>
  <c r="I83" i="16"/>
  <c r="J83" i="16"/>
  <c r="K83" i="16"/>
  <c r="L83" i="16"/>
  <c r="M83" i="16"/>
  <c r="N83" i="16"/>
  <c r="O83" i="16"/>
  <c r="P83" i="16"/>
  <c r="Q83" i="16"/>
  <c r="R83" i="16"/>
  <c r="S83" i="16"/>
  <c r="T83" i="16"/>
  <c r="U83" i="16"/>
  <c r="V83" i="16"/>
  <c r="W83" i="16"/>
  <c r="X83" i="16"/>
  <c r="Y83" i="16"/>
  <c r="Z83" i="16"/>
  <c r="AA83" i="16"/>
  <c r="AB83" i="16"/>
  <c r="N84" i="16"/>
  <c r="O84" i="16"/>
  <c r="P84" i="16"/>
  <c r="Q84" i="16"/>
  <c r="R84" i="16"/>
  <c r="S84" i="16"/>
  <c r="T84" i="16"/>
  <c r="U84" i="16"/>
  <c r="V84" i="16"/>
  <c r="W84" i="16"/>
  <c r="X84" i="16"/>
  <c r="Y84" i="16"/>
  <c r="Z84" i="16"/>
  <c r="AA84" i="16"/>
  <c r="AB84" i="16"/>
  <c r="H92" i="16"/>
  <c r="I92" i="16"/>
  <c r="J92" i="16"/>
  <c r="K92" i="16"/>
  <c r="L92" i="16"/>
  <c r="M92" i="16"/>
  <c r="N92" i="16"/>
  <c r="O92" i="16"/>
  <c r="P92" i="16"/>
  <c r="Q92" i="16"/>
  <c r="R92" i="16"/>
  <c r="S92" i="16"/>
  <c r="T92" i="16"/>
  <c r="U92" i="16"/>
  <c r="V92" i="16"/>
  <c r="W92" i="16"/>
  <c r="X92" i="16"/>
  <c r="Y92" i="16"/>
  <c r="Z92" i="16"/>
  <c r="AA92" i="16"/>
  <c r="AB92" i="16"/>
  <c r="G93" i="16"/>
  <c r="G92" i="16"/>
  <c r="G84" i="16"/>
  <c r="G83" i="16"/>
  <c r="B14" i="12"/>
  <c r="B38" i="12" s="1"/>
  <c r="B57" i="12" s="1"/>
  <c r="B72" i="12" s="1"/>
  <c r="B87" i="12" s="1"/>
  <c r="B15" i="12"/>
  <c r="B39" i="12" s="1"/>
  <c r="B58" i="12" s="1"/>
  <c r="B73" i="12" s="1"/>
  <c r="B88" i="12" s="1"/>
  <c r="B41" i="12"/>
  <c r="B22" i="12"/>
  <c r="B47" i="12" s="1"/>
  <c r="B63" i="12" s="1"/>
  <c r="B78" i="12" s="1"/>
  <c r="B93" i="12" s="1"/>
  <c r="B48" i="12"/>
  <c r="B64" i="12" s="1"/>
  <c r="B79" i="12" s="1"/>
  <c r="B94" i="12" s="1"/>
  <c r="B21" i="12"/>
  <c r="B46" i="12" s="1"/>
  <c r="B62" i="12" s="1"/>
  <c r="B77" i="12" s="1"/>
  <c r="B92" i="12" s="1"/>
  <c r="B24" i="6"/>
  <c r="B13" i="12"/>
  <c r="B37" i="12" s="1"/>
  <c r="B56" i="12" s="1"/>
  <c r="B71" i="12" s="1"/>
  <c r="B86" i="12" s="1"/>
  <c r="D16" i="12"/>
  <c r="K76" i="7"/>
  <c r="I93" i="16" s="1"/>
  <c r="L76" i="7"/>
  <c r="J93" i="16" s="1"/>
  <c r="M76" i="7"/>
  <c r="K93" i="16" s="1"/>
  <c r="N76" i="7"/>
  <c r="L93" i="16" s="1"/>
  <c r="O76" i="7"/>
  <c r="M93" i="16" s="1"/>
  <c r="P76" i="7"/>
  <c r="N93" i="16" s="1"/>
  <c r="Q76" i="7"/>
  <c r="O93" i="16" s="1"/>
  <c r="R76" i="7"/>
  <c r="P93" i="16" s="1"/>
  <c r="S76" i="7"/>
  <c r="Q93" i="16" s="1"/>
  <c r="T76" i="7"/>
  <c r="R93" i="16" s="1"/>
  <c r="U76" i="7"/>
  <c r="S93" i="16" s="1"/>
  <c r="V76" i="7"/>
  <c r="T93" i="16" s="1"/>
  <c r="W76" i="7"/>
  <c r="U93" i="16" s="1"/>
  <c r="X76" i="7"/>
  <c r="V93" i="16" s="1"/>
  <c r="Y76" i="7"/>
  <c r="W93" i="16" s="1"/>
  <c r="Z76" i="7"/>
  <c r="X93" i="16" s="1"/>
  <c r="AA76" i="7"/>
  <c r="Y93" i="16" s="1"/>
  <c r="AB76" i="7"/>
  <c r="Z93" i="16" s="1"/>
  <c r="AC76" i="7"/>
  <c r="AA93" i="16" s="1"/>
  <c r="AD76" i="7"/>
  <c r="AB93" i="16" s="1"/>
  <c r="J76" i="7"/>
  <c r="H93" i="16" s="1"/>
  <c r="H24" i="2"/>
  <c r="A7" i="22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A100" i="22" s="1"/>
  <c r="A101" i="22" s="1"/>
  <c r="A102" i="22" s="1"/>
  <c r="A103" i="22" s="1"/>
  <c r="A104" i="22" s="1"/>
  <c r="A105" i="22" s="1"/>
  <c r="A106" i="22" s="1"/>
  <c r="A107" i="22" s="1"/>
  <c r="A108" i="22" s="1"/>
  <c r="A109" i="22" s="1"/>
  <c r="A110" i="22" s="1"/>
  <c r="A111" i="22" s="1"/>
  <c r="A113" i="22" s="1"/>
  <c r="A114" i="22" s="1"/>
  <c r="A117" i="22" s="1"/>
  <c r="A118" i="22" s="1"/>
  <c r="A119" i="22" s="1"/>
  <c r="A120" i="22" s="1"/>
  <c r="A121" i="22" s="1"/>
  <c r="A122" i="22" s="1"/>
  <c r="A123" i="22" s="1"/>
  <c r="A124" i="22" s="1"/>
  <c r="A125" i="22" s="1"/>
  <c r="A126" i="22" s="1"/>
  <c r="A127" i="22" s="1"/>
  <c r="A128" i="22" s="1"/>
  <c r="A129" i="22" s="1"/>
  <c r="A130" i="22" s="1"/>
  <c r="A131" i="22" s="1"/>
  <c r="A132" i="22" s="1"/>
  <c r="I332" i="22"/>
  <c r="J332" i="22"/>
  <c r="K332" i="22"/>
  <c r="L332" i="22"/>
  <c r="M332" i="22"/>
  <c r="N332" i="22"/>
  <c r="O332" i="22"/>
  <c r="P332" i="22"/>
  <c r="Q332" i="22"/>
  <c r="R332" i="22"/>
  <c r="S332" i="22"/>
  <c r="T332" i="22"/>
  <c r="U332" i="22"/>
  <c r="V332" i="22"/>
  <c r="W332" i="22"/>
  <c r="X332" i="22"/>
  <c r="Y332" i="22"/>
  <c r="Z332" i="22"/>
  <c r="AA332" i="22"/>
  <c r="AB332" i="22"/>
  <c r="H332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K281" i="22"/>
  <c r="L281" i="22" s="1"/>
  <c r="M281" i="22" s="1"/>
  <c r="N281" i="22" s="1"/>
  <c r="O281" i="22" s="1"/>
  <c r="P281" i="22" s="1"/>
  <c r="Q281" i="22" s="1"/>
  <c r="R281" i="22" s="1"/>
  <c r="S281" i="22" s="1"/>
  <c r="T281" i="22" s="1"/>
  <c r="U281" i="22" s="1"/>
  <c r="V281" i="22" s="1"/>
  <c r="W281" i="22" s="1"/>
  <c r="X281" i="22" s="1"/>
  <c r="Y281" i="22" s="1"/>
  <c r="Z281" i="22" s="1"/>
  <c r="AA281" i="22" s="1"/>
  <c r="AB281" i="22" s="1"/>
  <c r="F284" i="22"/>
  <c r="F285" i="22"/>
  <c r="F286" i="22"/>
  <c r="F287" i="22"/>
  <c r="F288" i="22"/>
  <c r="F289" i="22"/>
  <c r="F290" i="22"/>
  <c r="F291" i="22"/>
  <c r="F292" i="22"/>
  <c r="F293" i="22"/>
  <c r="F294" i="22"/>
  <c r="F295" i="22"/>
  <c r="F296" i="22"/>
  <c r="F297" i="22"/>
  <c r="F298" i="22"/>
  <c r="F299" i="22"/>
  <c r="F300" i="22"/>
  <c r="F301" i="22"/>
  <c r="F302" i="22"/>
  <c r="F303" i="22"/>
  <c r="F304" i="22"/>
  <c r="F305" i="22"/>
  <c r="F306" i="22"/>
  <c r="F307" i="22"/>
  <c r="F308" i="22"/>
  <c r="F309" i="22"/>
  <c r="F310" i="22"/>
  <c r="F311" i="22"/>
  <c r="F312" i="22"/>
  <c r="F313" i="22"/>
  <c r="F314" i="22"/>
  <c r="F315" i="22"/>
  <c r="F316" i="22"/>
  <c r="F317" i="22"/>
  <c r="F318" i="22"/>
  <c r="F319" i="22"/>
  <c r="F320" i="22"/>
  <c r="F321" i="22"/>
  <c r="F322" i="22"/>
  <c r="F323" i="22"/>
  <c r="F324" i="22"/>
  <c r="F325" i="22"/>
  <c r="E31" i="12"/>
  <c r="F31" i="12"/>
  <c r="H31" i="12"/>
  <c r="E32" i="12"/>
  <c r="F32" i="12"/>
  <c r="G32" i="12"/>
  <c r="H32" i="12"/>
  <c r="E33" i="12"/>
  <c r="F33" i="12"/>
  <c r="D33" i="12"/>
  <c r="D32" i="12"/>
  <c r="D31" i="12"/>
  <c r="D13" i="12"/>
  <c r="E13" i="12"/>
  <c r="F13" i="12"/>
  <c r="G13" i="12"/>
  <c r="G37" i="12" s="1"/>
  <c r="D14" i="12"/>
  <c r="E14" i="12"/>
  <c r="F14" i="12"/>
  <c r="G14" i="12"/>
  <c r="G38" i="12" s="1"/>
  <c r="D15" i="12"/>
  <c r="E15" i="12"/>
  <c r="F15" i="12"/>
  <c r="G15" i="12"/>
  <c r="G39" i="12" s="1"/>
  <c r="D21" i="12"/>
  <c r="E21" i="12"/>
  <c r="F21" i="12"/>
  <c r="G21" i="12"/>
  <c r="G46" i="12" s="1"/>
  <c r="D22" i="12"/>
  <c r="E22" i="12"/>
  <c r="F22" i="12"/>
  <c r="G22" i="12"/>
  <c r="G47" i="12" s="1"/>
  <c r="D23" i="12"/>
  <c r="E23" i="12"/>
  <c r="F23" i="12"/>
  <c r="G23" i="12"/>
  <c r="G48" i="12" s="1"/>
  <c r="B3" i="12"/>
  <c r="B70" i="12" s="1"/>
  <c r="B4" i="12"/>
  <c r="B85" i="12" s="1"/>
  <c r="B2" i="12"/>
  <c r="B55" i="12" s="1"/>
  <c r="I7" i="7"/>
  <c r="B47" i="11"/>
  <c r="B61" i="11" s="1"/>
  <c r="B75" i="11" s="1"/>
  <c r="B89" i="11" s="1"/>
  <c r="B46" i="11"/>
  <c r="B60" i="11" s="1"/>
  <c r="B74" i="11" s="1"/>
  <c r="B88" i="11" s="1"/>
  <c r="B45" i="11"/>
  <c r="B59" i="11" s="1"/>
  <c r="B73" i="11" s="1"/>
  <c r="B87" i="11" s="1"/>
  <c r="B44" i="11"/>
  <c r="B58" i="11" s="1"/>
  <c r="B72" i="11" s="1"/>
  <c r="B86" i="11" s="1"/>
  <c r="B43" i="11"/>
  <c r="B57" i="11" s="1"/>
  <c r="B71" i="11" s="1"/>
  <c r="B85" i="11" s="1"/>
  <c r="B42" i="11"/>
  <c r="B56" i="11" s="1"/>
  <c r="B70" i="11" s="1"/>
  <c r="B84" i="11" s="1"/>
  <c r="B41" i="11"/>
  <c r="B55" i="11" s="1"/>
  <c r="B69" i="11" s="1"/>
  <c r="B83" i="11" s="1"/>
  <c r="B40" i="11"/>
  <c r="B54" i="11" s="1"/>
  <c r="B68" i="11" s="1"/>
  <c r="B82" i="11" s="1"/>
  <c r="B39" i="11"/>
  <c r="B53" i="11" s="1"/>
  <c r="B67" i="11" s="1"/>
  <c r="B81" i="11" s="1"/>
  <c r="B38" i="11"/>
  <c r="B52" i="11" s="1"/>
  <c r="B66" i="11" s="1"/>
  <c r="B80" i="11" s="1"/>
  <c r="B37" i="11"/>
  <c r="B51" i="11" s="1"/>
  <c r="B65" i="11" s="1"/>
  <c r="B79" i="11" s="1"/>
  <c r="B140" i="11"/>
  <c r="B131" i="11"/>
  <c r="B132" i="11"/>
  <c r="B133" i="11"/>
  <c r="B134" i="11"/>
  <c r="B135" i="11"/>
  <c r="B136" i="11"/>
  <c r="B137" i="11"/>
  <c r="B138" i="11"/>
  <c r="B139" i="11"/>
  <c r="B118" i="11"/>
  <c r="B119" i="11"/>
  <c r="B120" i="11"/>
  <c r="B121" i="11"/>
  <c r="B122" i="11"/>
  <c r="B123" i="11"/>
  <c r="B124" i="11"/>
  <c r="B125" i="11"/>
  <c r="B126" i="11"/>
  <c r="B127" i="11"/>
  <c r="B130" i="11"/>
  <c r="B117" i="11"/>
  <c r="B105" i="11"/>
  <c r="B106" i="11"/>
  <c r="B107" i="11"/>
  <c r="B108" i="11"/>
  <c r="B109" i="11"/>
  <c r="B110" i="11"/>
  <c r="B111" i="11"/>
  <c r="B112" i="11"/>
  <c r="B113" i="11"/>
  <c r="B114" i="11"/>
  <c r="B104" i="11"/>
  <c r="B4" i="11"/>
  <c r="B129" i="11" s="1"/>
  <c r="B3" i="11"/>
  <c r="B116" i="11" s="1"/>
  <c r="H20" i="8"/>
  <c r="I20" i="8"/>
  <c r="E66" i="8"/>
  <c r="E63" i="8" s="1"/>
  <c r="F66" i="8"/>
  <c r="F63" i="8" s="1"/>
  <c r="G66" i="8"/>
  <c r="G63" i="8" s="1"/>
  <c r="E46" i="8"/>
  <c r="F46" i="8"/>
  <c r="G46" i="8"/>
  <c r="E20" i="8"/>
  <c r="E12" i="8" s="1"/>
  <c r="F20" i="8"/>
  <c r="F12" i="8" s="1"/>
  <c r="G20" i="8"/>
  <c r="G12" i="8" s="1"/>
  <c r="I7" i="8"/>
  <c r="H35" i="2"/>
  <c r="I35" i="2" s="1"/>
  <c r="D35" i="2"/>
  <c r="E35" i="2"/>
  <c r="F35" i="2"/>
  <c r="G35" i="2"/>
  <c r="F49" i="2"/>
  <c r="D49" i="2"/>
  <c r="E49" i="2"/>
  <c r="G7" i="15"/>
  <c r="F7" i="15"/>
  <c r="E7" i="15"/>
  <c r="D7" i="15"/>
  <c r="AB129" i="16"/>
  <c r="AB140" i="16" s="1"/>
  <c r="AA129" i="16"/>
  <c r="AA140" i="16" s="1"/>
  <c r="Z129" i="16"/>
  <c r="Z140" i="16" s="1"/>
  <c r="Y129" i="16"/>
  <c r="Y140" i="16" s="1"/>
  <c r="W129" i="16"/>
  <c r="W140" i="16" s="1"/>
  <c r="V129" i="16"/>
  <c r="V140" i="16" s="1"/>
  <c r="U129" i="16"/>
  <c r="U140" i="16" s="1"/>
  <c r="T129" i="16"/>
  <c r="T140" i="16" s="1"/>
  <c r="X140" i="16" s="1"/>
  <c r="R129" i="16"/>
  <c r="R140" i="16" s="1"/>
  <c r="Q129" i="16"/>
  <c r="Q140" i="16" s="1"/>
  <c r="P129" i="16"/>
  <c r="P140" i="16" s="1"/>
  <c r="O129" i="16"/>
  <c r="O140" i="16" s="1"/>
  <c r="S140" i="16" s="1"/>
  <c r="M129" i="16"/>
  <c r="M140" i="16" s="1"/>
  <c r="L129" i="16"/>
  <c r="L140" i="16" s="1"/>
  <c r="K129" i="16"/>
  <c r="K140" i="16" s="1"/>
  <c r="J129" i="16"/>
  <c r="J140" i="16" s="1"/>
  <c r="N140" i="16" s="1"/>
  <c r="J137" i="16"/>
  <c r="N137" i="16" s="1"/>
  <c r="AA138" i="16"/>
  <c r="Y138" i="16"/>
  <c r="Q138" i="16"/>
  <c r="O138" i="16"/>
  <c r="S138" i="16" s="1"/>
  <c r="L138" i="16"/>
  <c r="J138" i="16"/>
  <c r="N138" i="16" s="1"/>
  <c r="X129" i="16"/>
  <c r="S129" i="16"/>
  <c r="N129" i="16"/>
  <c r="I129" i="16"/>
  <c r="H129" i="16"/>
  <c r="G129" i="16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X196" i="16"/>
  <c r="S196" i="16"/>
  <c r="N196" i="16"/>
  <c r="X189" i="16"/>
  <c r="S189" i="16"/>
  <c r="N189" i="16"/>
  <c r="J188" i="16"/>
  <c r="X182" i="16"/>
  <c r="S182" i="16"/>
  <c r="N182" i="16"/>
  <c r="J181" i="16"/>
  <c r="X175" i="16"/>
  <c r="S175" i="16"/>
  <c r="N175" i="16"/>
  <c r="J174" i="16"/>
  <c r="X162" i="16"/>
  <c r="S162" i="16"/>
  <c r="N162" i="16"/>
  <c r="X156" i="16"/>
  <c r="S156" i="16"/>
  <c r="N156" i="16"/>
  <c r="AB152" i="16"/>
  <c r="AA152" i="16"/>
  <c r="Z152" i="16"/>
  <c r="Y152" i="16"/>
  <c r="W152" i="16"/>
  <c r="V152" i="16"/>
  <c r="U152" i="16"/>
  <c r="T152" i="16"/>
  <c r="X152" i="16" s="1"/>
  <c r="R152" i="16"/>
  <c r="Q152" i="16"/>
  <c r="P152" i="16"/>
  <c r="O152" i="16"/>
  <c r="S152" i="16" s="1"/>
  <c r="M152" i="16"/>
  <c r="L152" i="16"/>
  <c r="K152" i="16"/>
  <c r="J152" i="16"/>
  <c r="J153" i="16" s="1"/>
  <c r="K149" i="16" s="1"/>
  <c r="X150" i="16"/>
  <c r="S150" i="16"/>
  <c r="N150" i="16"/>
  <c r="X144" i="16"/>
  <c r="S144" i="16"/>
  <c r="N144" i="16"/>
  <c r="J146" i="16"/>
  <c r="J158" i="16"/>
  <c r="J164" i="16"/>
  <c r="K146" i="16"/>
  <c r="K158" i="16"/>
  <c r="K164" i="16"/>
  <c r="L146" i="16"/>
  <c r="L158" i="16"/>
  <c r="L164" i="16"/>
  <c r="M146" i="16"/>
  <c r="M158" i="16"/>
  <c r="M164" i="16"/>
  <c r="O146" i="16"/>
  <c r="S146" i="16" s="1"/>
  <c r="O158" i="16"/>
  <c r="S158" i="16" s="1"/>
  <c r="O164" i="16"/>
  <c r="S164" i="16" s="1"/>
  <c r="P146" i="16"/>
  <c r="P158" i="16"/>
  <c r="P164" i="16"/>
  <c r="Q146" i="16"/>
  <c r="Q158" i="16"/>
  <c r="Q164" i="16"/>
  <c r="R146" i="16"/>
  <c r="R158" i="16"/>
  <c r="R164" i="16"/>
  <c r="T146" i="16"/>
  <c r="T158" i="16"/>
  <c r="X158" i="16" s="1"/>
  <c r="T164" i="16"/>
  <c r="X164" i="16" s="1"/>
  <c r="U146" i="16"/>
  <c r="U158" i="16"/>
  <c r="U164" i="16"/>
  <c r="V146" i="16"/>
  <c r="V158" i="16"/>
  <c r="V164" i="16"/>
  <c r="W146" i="16"/>
  <c r="W158" i="16"/>
  <c r="W164" i="16"/>
  <c r="Y146" i="16"/>
  <c r="Y158" i="16"/>
  <c r="Y164" i="16"/>
  <c r="Z146" i="16"/>
  <c r="Z158" i="16"/>
  <c r="Z164" i="16"/>
  <c r="AA146" i="16"/>
  <c r="AA158" i="16"/>
  <c r="AA164" i="16"/>
  <c r="AB146" i="16"/>
  <c r="AB158" i="16"/>
  <c r="AB164" i="16"/>
  <c r="X168" i="16"/>
  <c r="S168" i="16"/>
  <c r="N168" i="16"/>
  <c r="J167" i="16"/>
  <c r="B201" i="16"/>
  <c r="B194" i="16"/>
  <c r="B187" i="16"/>
  <c r="B180" i="16"/>
  <c r="B173" i="16"/>
  <c r="B166" i="16"/>
  <c r="B160" i="16"/>
  <c r="B154" i="16"/>
  <c r="B148" i="16"/>
  <c r="B142" i="16"/>
  <c r="B136" i="16"/>
  <c r="B130" i="16"/>
  <c r="X146" i="16"/>
  <c r="J145" i="16"/>
  <c r="N145" i="16" s="1"/>
  <c r="J151" i="16"/>
  <c r="N151" i="16" s="1"/>
  <c r="J157" i="16"/>
  <c r="N157" i="16" s="1"/>
  <c r="J163" i="16"/>
  <c r="N163" i="16" s="1"/>
  <c r="K145" i="16"/>
  <c r="K151" i="16"/>
  <c r="K157" i="16"/>
  <c r="K163" i="16"/>
  <c r="L145" i="16"/>
  <c r="L151" i="16"/>
  <c r="L157" i="16"/>
  <c r="L163" i="16"/>
  <c r="M145" i="16"/>
  <c r="M151" i="16"/>
  <c r="M157" i="16"/>
  <c r="M163" i="16"/>
  <c r="O145" i="16"/>
  <c r="S145" i="16" s="1"/>
  <c r="O151" i="16"/>
  <c r="S151" i="16" s="1"/>
  <c r="O157" i="16"/>
  <c r="O163" i="16"/>
  <c r="S163" i="16" s="1"/>
  <c r="P145" i="16"/>
  <c r="P151" i="16"/>
  <c r="P157" i="16"/>
  <c r="P163" i="16"/>
  <c r="Q145" i="16"/>
  <c r="Q151" i="16"/>
  <c r="Q157" i="16"/>
  <c r="Q163" i="16"/>
  <c r="R145" i="16"/>
  <c r="R151" i="16"/>
  <c r="R157" i="16"/>
  <c r="R163" i="16"/>
  <c r="S157" i="16"/>
  <c r="T145" i="16"/>
  <c r="X145" i="16" s="1"/>
  <c r="T151" i="16"/>
  <c r="X151" i="16" s="1"/>
  <c r="T157" i="16"/>
  <c r="T163" i="16"/>
  <c r="X163" i="16" s="1"/>
  <c r="U145" i="16"/>
  <c r="U151" i="16"/>
  <c r="U157" i="16"/>
  <c r="U163" i="16"/>
  <c r="V145" i="16"/>
  <c r="V151" i="16"/>
  <c r="V157" i="16"/>
  <c r="V163" i="16"/>
  <c r="W145" i="16"/>
  <c r="W151" i="16"/>
  <c r="W157" i="16"/>
  <c r="W163" i="16"/>
  <c r="X157" i="16"/>
  <c r="Y145" i="16"/>
  <c r="Y151" i="16"/>
  <c r="Y157" i="16"/>
  <c r="Y163" i="16"/>
  <c r="Z145" i="16"/>
  <c r="Z151" i="16"/>
  <c r="Z157" i="16"/>
  <c r="Z163" i="16"/>
  <c r="AA145" i="16"/>
  <c r="AA151" i="16"/>
  <c r="AA157" i="16"/>
  <c r="AA163" i="16"/>
  <c r="AB145" i="16"/>
  <c r="AB151" i="16"/>
  <c r="AB157" i="16"/>
  <c r="AB163" i="16"/>
  <c r="J195" i="16"/>
  <c r="G211" i="16"/>
  <c r="J183" i="16"/>
  <c r="N183" i="16" s="1"/>
  <c r="J176" i="16"/>
  <c r="J169" i="16"/>
  <c r="N169" i="16" s="1"/>
  <c r="J190" i="16"/>
  <c r="N190" i="16" s="1"/>
  <c r="J177" i="16"/>
  <c r="N177" i="16" s="1"/>
  <c r="J184" i="16"/>
  <c r="N184" i="16" s="1"/>
  <c r="J191" i="16"/>
  <c r="N191" i="16" s="1"/>
  <c r="J192" i="16"/>
  <c r="J185" i="16"/>
  <c r="N185" i="16" s="1"/>
  <c r="J178" i="16"/>
  <c r="N178" i="16" s="1"/>
  <c r="J171" i="16"/>
  <c r="N171" i="16" s="1"/>
  <c r="J197" i="16"/>
  <c r="N197" i="16" s="1"/>
  <c r="J199" i="16"/>
  <c r="N199" i="16" s="1"/>
  <c r="J198" i="16"/>
  <c r="N198" i="16" s="1"/>
  <c r="J200" i="16"/>
  <c r="K195" i="16" s="1"/>
  <c r="J193" i="16"/>
  <c r="K188" i="16" s="1"/>
  <c r="K183" i="16"/>
  <c r="J186" i="16"/>
  <c r="K181" i="16" s="1"/>
  <c r="K176" i="16"/>
  <c r="J179" i="16"/>
  <c r="K174" i="16" s="1"/>
  <c r="K169" i="16"/>
  <c r="J172" i="16"/>
  <c r="K167" i="16" s="1"/>
  <c r="J170" i="16"/>
  <c r="N170" i="16" s="1"/>
  <c r="K177" i="16"/>
  <c r="K184" i="16"/>
  <c r="K191" i="16"/>
  <c r="K192" i="16"/>
  <c r="K185" i="16"/>
  <c r="K178" i="16"/>
  <c r="K171" i="16"/>
  <c r="K199" i="16"/>
  <c r="K198" i="16"/>
  <c r="K190" i="16"/>
  <c r="K197" i="16"/>
  <c r="K200" i="16"/>
  <c r="L195" i="16" s="1"/>
  <c r="K193" i="16"/>
  <c r="L188" i="16" s="1"/>
  <c r="L183" i="16"/>
  <c r="K186" i="16"/>
  <c r="L181" i="16" s="1"/>
  <c r="L176" i="16"/>
  <c r="K179" i="16"/>
  <c r="L174" i="16" s="1"/>
  <c r="L169" i="16"/>
  <c r="K172" i="16"/>
  <c r="L167" i="16" s="1"/>
  <c r="K170" i="16"/>
  <c r="L177" i="16"/>
  <c r="L184" i="16"/>
  <c r="L191" i="16"/>
  <c r="L192" i="16"/>
  <c r="L185" i="16"/>
  <c r="L178" i="16"/>
  <c r="L171" i="16"/>
  <c r="L199" i="16"/>
  <c r="L198" i="16"/>
  <c r="L190" i="16"/>
  <c r="L197" i="16"/>
  <c r="L200" i="16"/>
  <c r="M195" i="16" s="1"/>
  <c r="L193" i="16"/>
  <c r="M188" i="16" s="1"/>
  <c r="M183" i="16"/>
  <c r="L186" i="16"/>
  <c r="M181" i="16" s="1"/>
  <c r="M176" i="16"/>
  <c r="N176" i="16"/>
  <c r="L179" i="16"/>
  <c r="M174" i="16" s="1"/>
  <c r="M169" i="16"/>
  <c r="L172" i="16"/>
  <c r="M167" i="16" s="1"/>
  <c r="L170" i="16"/>
  <c r="G209" i="16"/>
  <c r="M177" i="16"/>
  <c r="M184" i="16"/>
  <c r="M191" i="16"/>
  <c r="M192" i="16"/>
  <c r="N192" i="16"/>
  <c r="M185" i="16"/>
  <c r="M178" i="16"/>
  <c r="M171" i="16"/>
  <c r="M199" i="16"/>
  <c r="M198" i="16"/>
  <c r="M190" i="16"/>
  <c r="M197" i="16"/>
  <c r="M200" i="16"/>
  <c r="N200" i="16" s="1"/>
  <c r="M193" i="16"/>
  <c r="N193" i="16" s="1"/>
  <c r="O183" i="16"/>
  <c r="S183" i="16" s="1"/>
  <c r="M186" i="16"/>
  <c r="N186" i="16" s="1"/>
  <c r="O176" i="16"/>
  <c r="S176" i="16" s="1"/>
  <c r="M179" i="16"/>
  <c r="N179" i="16" s="1"/>
  <c r="O169" i="16"/>
  <c r="S169" i="16" s="1"/>
  <c r="M172" i="16"/>
  <c r="N172" i="16" s="1"/>
  <c r="M170" i="16"/>
  <c r="O177" i="16"/>
  <c r="S177" i="16" s="1"/>
  <c r="O184" i="16"/>
  <c r="S184" i="16" s="1"/>
  <c r="O191" i="16"/>
  <c r="S191" i="16" s="1"/>
  <c r="O192" i="16"/>
  <c r="S192" i="16" s="1"/>
  <c r="O185" i="16"/>
  <c r="S185" i="16" s="1"/>
  <c r="O178" i="16"/>
  <c r="S178" i="16" s="1"/>
  <c r="O171" i="16"/>
  <c r="S171" i="16" s="1"/>
  <c r="O199" i="16"/>
  <c r="S199" i="16" s="1"/>
  <c r="O198" i="16"/>
  <c r="S198" i="16" s="1"/>
  <c r="O190" i="16"/>
  <c r="S190" i="16" s="1"/>
  <c r="O197" i="16"/>
  <c r="S197" i="16" s="1"/>
  <c r="O200" i="16"/>
  <c r="P195" i="16" s="1"/>
  <c r="O193" i="16"/>
  <c r="P188" i="16" s="1"/>
  <c r="P183" i="16"/>
  <c r="O186" i="16"/>
  <c r="P181" i="16" s="1"/>
  <c r="P176" i="16"/>
  <c r="O179" i="16"/>
  <c r="P174" i="16" s="1"/>
  <c r="P169" i="16"/>
  <c r="O172" i="16"/>
  <c r="P167" i="16" s="1"/>
  <c r="O170" i="16"/>
  <c r="S170" i="16" s="1"/>
  <c r="P177" i="16"/>
  <c r="P184" i="16"/>
  <c r="P191" i="16"/>
  <c r="P192" i="16"/>
  <c r="P185" i="16"/>
  <c r="P178" i="16"/>
  <c r="P171" i="16"/>
  <c r="P199" i="16"/>
  <c r="P198" i="16"/>
  <c r="P190" i="16"/>
  <c r="P197" i="16"/>
  <c r="P200" i="16"/>
  <c r="Q195" i="16" s="1"/>
  <c r="P193" i="16"/>
  <c r="Q188" i="16" s="1"/>
  <c r="Q183" i="16"/>
  <c r="P186" i="16"/>
  <c r="Q181" i="16" s="1"/>
  <c r="Q176" i="16"/>
  <c r="P179" i="16"/>
  <c r="Q174" i="16" s="1"/>
  <c r="Q169" i="16"/>
  <c r="P172" i="16"/>
  <c r="Q167" i="16" s="1"/>
  <c r="P170" i="16"/>
  <c r="Q177" i="16"/>
  <c r="Q184" i="16"/>
  <c r="Q191" i="16"/>
  <c r="Q192" i="16"/>
  <c r="Q185" i="16"/>
  <c r="Q178" i="16"/>
  <c r="Q171" i="16"/>
  <c r="Q199" i="16"/>
  <c r="Q198" i="16"/>
  <c r="Q190" i="16"/>
  <c r="Q197" i="16"/>
  <c r="Q200" i="16"/>
  <c r="R195" i="16" s="1"/>
  <c r="Q193" i="16"/>
  <c r="R188" i="16" s="1"/>
  <c r="R183" i="16"/>
  <c r="Q186" i="16"/>
  <c r="R181" i="16" s="1"/>
  <c r="R176" i="16"/>
  <c r="Q179" i="16"/>
  <c r="R174" i="16" s="1"/>
  <c r="R169" i="16"/>
  <c r="Q172" i="16"/>
  <c r="R167" i="16" s="1"/>
  <c r="Q170" i="16"/>
  <c r="R177" i="16"/>
  <c r="R184" i="16"/>
  <c r="R191" i="16"/>
  <c r="R192" i="16"/>
  <c r="R185" i="16"/>
  <c r="R178" i="16"/>
  <c r="R171" i="16"/>
  <c r="R199" i="16"/>
  <c r="R198" i="16"/>
  <c r="R190" i="16"/>
  <c r="R197" i="16"/>
  <c r="R200" i="16"/>
  <c r="T195" i="16" s="1"/>
  <c r="X195" i="16" s="1"/>
  <c r="R193" i="16"/>
  <c r="T188" i="16" s="1"/>
  <c r="X188" i="16" s="1"/>
  <c r="T183" i="16"/>
  <c r="X183" i="16" s="1"/>
  <c r="R186" i="16"/>
  <c r="T181" i="16" s="1"/>
  <c r="X181" i="16" s="1"/>
  <c r="T176" i="16"/>
  <c r="X176" i="16" s="1"/>
  <c r="R179" i="16"/>
  <c r="T174" i="16" s="1"/>
  <c r="X174" i="16" s="1"/>
  <c r="T169" i="16"/>
  <c r="X169" i="16" s="1"/>
  <c r="R172" i="16"/>
  <c r="T167" i="16" s="1"/>
  <c r="X167" i="16" s="1"/>
  <c r="R170" i="16"/>
  <c r="S172" i="16"/>
  <c r="S179" i="16"/>
  <c r="S186" i="16"/>
  <c r="T177" i="16"/>
  <c r="X177" i="16" s="1"/>
  <c r="T184" i="16"/>
  <c r="X184" i="16" s="1"/>
  <c r="T191" i="16"/>
  <c r="X191" i="16" s="1"/>
  <c r="T192" i="16"/>
  <c r="T185" i="16"/>
  <c r="X185" i="16" s="1"/>
  <c r="T178" i="16"/>
  <c r="X178" i="16" s="1"/>
  <c r="T171" i="16"/>
  <c r="X171" i="16" s="1"/>
  <c r="S200" i="16"/>
  <c r="T199" i="16"/>
  <c r="X199" i="16" s="1"/>
  <c r="T198" i="16"/>
  <c r="X198" i="16" s="1"/>
  <c r="T190" i="16"/>
  <c r="X190" i="16" s="1"/>
  <c r="T197" i="16"/>
  <c r="X197" i="16" s="1"/>
  <c r="T200" i="16"/>
  <c r="U195" i="16" s="1"/>
  <c r="T193" i="16"/>
  <c r="U188" i="16" s="1"/>
  <c r="U183" i="16"/>
  <c r="T186" i="16"/>
  <c r="U181" i="16" s="1"/>
  <c r="U176" i="16"/>
  <c r="T179" i="16"/>
  <c r="U174" i="16" s="1"/>
  <c r="U169" i="16"/>
  <c r="T172" i="16"/>
  <c r="U167" i="16" s="1"/>
  <c r="T170" i="16"/>
  <c r="X170" i="16" s="1"/>
  <c r="U177" i="16"/>
  <c r="U184" i="16"/>
  <c r="U191" i="16"/>
  <c r="U192" i="16"/>
  <c r="U185" i="16"/>
  <c r="U178" i="16"/>
  <c r="U171" i="16"/>
  <c r="U199" i="16"/>
  <c r="U198" i="16"/>
  <c r="U190" i="16"/>
  <c r="U197" i="16"/>
  <c r="U200" i="16"/>
  <c r="V195" i="16" s="1"/>
  <c r="U193" i="16"/>
  <c r="V188" i="16" s="1"/>
  <c r="V183" i="16"/>
  <c r="U186" i="16"/>
  <c r="V181" i="16" s="1"/>
  <c r="V176" i="16"/>
  <c r="U179" i="16"/>
  <c r="V174" i="16" s="1"/>
  <c r="V169" i="16"/>
  <c r="U172" i="16"/>
  <c r="V167" i="16" s="1"/>
  <c r="U170" i="16"/>
  <c r="V177" i="16"/>
  <c r="V184" i="16"/>
  <c r="V191" i="16"/>
  <c r="V192" i="16"/>
  <c r="V185" i="16"/>
  <c r="V178" i="16"/>
  <c r="V171" i="16"/>
  <c r="V199" i="16"/>
  <c r="V198" i="16"/>
  <c r="V190" i="16"/>
  <c r="V197" i="16"/>
  <c r="V200" i="16"/>
  <c r="W195" i="16" s="1"/>
  <c r="V193" i="16"/>
  <c r="W188" i="16" s="1"/>
  <c r="W183" i="16"/>
  <c r="V186" i="16"/>
  <c r="W181" i="16" s="1"/>
  <c r="W176" i="16"/>
  <c r="V179" i="16"/>
  <c r="W174" i="16" s="1"/>
  <c r="W169" i="16"/>
  <c r="V172" i="16"/>
  <c r="W167" i="16" s="1"/>
  <c r="V170" i="16"/>
  <c r="W177" i="16"/>
  <c r="W184" i="16"/>
  <c r="W191" i="16"/>
  <c r="W192" i="16"/>
  <c r="X192" i="16"/>
  <c r="W185" i="16"/>
  <c r="W178" i="16"/>
  <c r="W171" i="16"/>
  <c r="W199" i="16"/>
  <c r="W198" i="16"/>
  <c r="W190" i="16"/>
  <c r="W197" i="16"/>
  <c r="W200" i="16"/>
  <c r="W193" i="16"/>
  <c r="Y188" i="16" s="1"/>
  <c r="Y183" i="16"/>
  <c r="W186" i="16"/>
  <c r="Y181" i="16" s="1"/>
  <c r="Y176" i="16"/>
  <c r="W179" i="16"/>
  <c r="Y174" i="16" s="1"/>
  <c r="Y169" i="16"/>
  <c r="W172" i="16"/>
  <c r="Y167" i="16" s="1"/>
  <c r="W170" i="16"/>
  <c r="Y177" i="16"/>
  <c r="Y184" i="16"/>
  <c r="Y191" i="16"/>
  <c r="Y192" i="16"/>
  <c r="Y185" i="16"/>
  <c r="Y178" i="16"/>
  <c r="Y171" i="16"/>
  <c r="Y199" i="16"/>
  <c r="Y198" i="16"/>
  <c r="Y190" i="16"/>
  <c r="Y197" i="16"/>
  <c r="Y200" i="16"/>
  <c r="Z195" i="16" s="1"/>
  <c r="Y193" i="16"/>
  <c r="Z188" i="16" s="1"/>
  <c r="Z183" i="16"/>
  <c r="Y186" i="16"/>
  <c r="Z181" i="16" s="1"/>
  <c r="Z176" i="16"/>
  <c r="Y179" i="16"/>
  <c r="Z174" i="16" s="1"/>
  <c r="Z169" i="16"/>
  <c r="Y172" i="16"/>
  <c r="Z167" i="16" s="1"/>
  <c r="Y170" i="16"/>
  <c r="Z177" i="16"/>
  <c r="Z184" i="16"/>
  <c r="Z191" i="16"/>
  <c r="Z192" i="16"/>
  <c r="Z185" i="16"/>
  <c r="Z178" i="16"/>
  <c r="Z171" i="16"/>
  <c r="Z199" i="16"/>
  <c r="Z198" i="16"/>
  <c r="Z190" i="16"/>
  <c r="Z197" i="16"/>
  <c r="Z200" i="16"/>
  <c r="AA195" i="16" s="1"/>
  <c r="Z193" i="16"/>
  <c r="AA188" i="16" s="1"/>
  <c r="AA183" i="16"/>
  <c r="Z186" i="16"/>
  <c r="AA181" i="16" s="1"/>
  <c r="AA176" i="16"/>
  <c r="Z179" i="16"/>
  <c r="AA174" i="16" s="1"/>
  <c r="AA169" i="16"/>
  <c r="Z172" i="16"/>
  <c r="AA167" i="16" s="1"/>
  <c r="Z170" i="16"/>
  <c r="AA177" i="16"/>
  <c r="AA184" i="16"/>
  <c r="AA191" i="16"/>
  <c r="AA192" i="16"/>
  <c r="AA185" i="16"/>
  <c r="AA178" i="16"/>
  <c r="AA171" i="16"/>
  <c r="AA199" i="16"/>
  <c r="AA198" i="16"/>
  <c r="AA190" i="16"/>
  <c r="AA197" i="16"/>
  <c r="AA200" i="16"/>
  <c r="AB195" i="16" s="1"/>
  <c r="AA193" i="16"/>
  <c r="AB188" i="16" s="1"/>
  <c r="AB183" i="16"/>
  <c r="AA186" i="16"/>
  <c r="AB181" i="16" s="1"/>
  <c r="AB176" i="16"/>
  <c r="AA179" i="16"/>
  <c r="AB174" i="16" s="1"/>
  <c r="AB169" i="16"/>
  <c r="AA172" i="16"/>
  <c r="AB167" i="16" s="1"/>
  <c r="AA170" i="16"/>
  <c r="AB177" i="16"/>
  <c r="AB184" i="16"/>
  <c r="AB191" i="16"/>
  <c r="AB192" i="16"/>
  <c r="AB185" i="16"/>
  <c r="AB178" i="16"/>
  <c r="AB171" i="16"/>
  <c r="AB199" i="16"/>
  <c r="AB198" i="16"/>
  <c r="AB190" i="16"/>
  <c r="AB197" i="16"/>
  <c r="AB200" i="16"/>
  <c r="AB193" i="16"/>
  <c r="AB186" i="16"/>
  <c r="AB179" i="16"/>
  <c r="AB172" i="16"/>
  <c r="AB170" i="16"/>
  <c r="J203" i="16"/>
  <c r="N203" i="16" s="1"/>
  <c r="J204" i="16"/>
  <c r="N204" i="16" s="1"/>
  <c r="J205" i="16"/>
  <c r="N205" i="16" s="1"/>
  <c r="I209" i="16"/>
  <c r="H209" i="16"/>
  <c r="N131" i="16"/>
  <c r="K203" i="16"/>
  <c r="K204" i="16"/>
  <c r="K205" i="16"/>
  <c r="L203" i="16"/>
  <c r="L204" i="16"/>
  <c r="L205" i="16"/>
  <c r="M203" i="16"/>
  <c r="M204" i="16"/>
  <c r="M205" i="16"/>
  <c r="O203" i="16"/>
  <c r="S203" i="16" s="1"/>
  <c r="O204" i="16"/>
  <c r="S204" i="16" s="1"/>
  <c r="O205" i="16"/>
  <c r="S205" i="16" s="1"/>
  <c r="P203" i="16"/>
  <c r="P204" i="16"/>
  <c r="P205" i="16"/>
  <c r="Q203" i="16"/>
  <c r="Q204" i="16"/>
  <c r="Q205" i="16"/>
  <c r="R203" i="16"/>
  <c r="R204" i="16"/>
  <c r="R205" i="16"/>
  <c r="T203" i="16"/>
  <c r="X203" i="16" s="1"/>
  <c r="T204" i="16"/>
  <c r="T205" i="16"/>
  <c r="X205" i="16" s="1"/>
  <c r="U203" i="16"/>
  <c r="U204" i="16"/>
  <c r="U205" i="16"/>
  <c r="V203" i="16"/>
  <c r="V204" i="16"/>
  <c r="V205" i="16"/>
  <c r="W203" i="16"/>
  <c r="W204" i="16"/>
  <c r="X204" i="16"/>
  <c r="W205" i="16"/>
  <c r="Y203" i="16"/>
  <c r="Y204" i="16"/>
  <c r="Y205" i="16"/>
  <c r="Z203" i="16"/>
  <c r="Z204" i="16"/>
  <c r="Z205" i="16"/>
  <c r="AA203" i="16"/>
  <c r="AA204" i="16"/>
  <c r="AA205" i="16"/>
  <c r="AB203" i="16"/>
  <c r="AB204" i="16"/>
  <c r="AB205" i="16"/>
  <c r="J139" i="16"/>
  <c r="N139" i="16" s="1"/>
  <c r="K139" i="16"/>
  <c r="L139" i="16"/>
  <c r="M139" i="16"/>
  <c r="O139" i="16"/>
  <c r="P139" i="16"/>
  <c r="Q139" i="16"/>
  <c r="R139" i="16"/>
  <c r="S139" i="16"/>
  <c r="T139" i="16"/>
  <c r="X139" i="16" s="1"/>
  <c r="U139" i="16"/>
  <c r="V139" i="16"/>
  <c r="W139" i="16"/>
  <c r="Y139" i="16"/>
  <c r="Z139" i="16"/>
  <c r="AA139" i="16"/>
  <c r="AB139" i="16"/>
  <c r="J133" i="16"/>
  <c r="N133" i="16" s="1"/>
  <c r="J132" i="16"/>
  <c r="N132" i="16" s="1"/>
  <c r="J134" i="16"/>
  <c r="N134" i="16" s="1"/>
  <c r="K133" i="16"/>
  <c r="K132" i="16"/>
  <c r="K134" i="16"/>
  <c r="L133" i="16"/>
  <c r="L132" i="16"/>
  <c r="L134" i="16"/>
  <c r="M133" i="16"/>
  <c r="M132" i="16"/>
  <c r="M134" i="16"/>
  <c r="O133" i="16"/>
  <c r="S133" i="16" s="1"/>
  <c r="O132" i="16"/>
  <c r="S132" i="16" s="1"/>
  <c r="O134" i="16"/>
  <c r="S134" i="16" s="1"/>
  <c r="P133" i="16"/>
  <c r="P132" i="16"/>
  <c r="P134" i="16"/>
  <c r="Q133" i="16"/>
  <c r="Q132" i="16"/>
  <c r="Q134" i="16"/>
  <c r="R133" i="16"/>
  <c r="R132" i="16"/>
  <c r="R134" i="16"/>
  <c r="T133" i="16"/>
  <c r="X133" i="16" s="1"/>
  <c r="T132" i="16"/>
  <c r="X132" i="16" s="1"/>
  <c r="T134" i="16"/>
  <c r="X134" i="16" s="1"/>
  <c r="U133" i="16"/>
  <c r="U132" i="16"/>
  <c r="U134" i="16"/>
  <c r="V133" i="16"/>
  <c r="V132" i="16"/>
  <c r="V134" i="16"/>
  <c r="W133" i="16"/>
  <c r="W132" i="16"/>
  <c r="W134" i="16"/>
  <c r="Y133" i="16"/>
  <c r="Y132" i="16"/>
  <c r="Y134" i="16"/>
  <c r="Z133" i="16"/>
  <c r="Z132" i="16"/>
  <c r="Z134" i="16"/>
  <c r="AA133" i="16"/>
  <c r="AA132" i="16"/>
  <c r="AA134" i="16"/>
  <c r="AB133" i="16"/>
  <c r="AB132" i="16"/>
  <c r="AB134" i="16"/>
  <c r="G213" i="16"/>
  <c r="G214" i="16"/>
  <c r="N146" i="16" l="1"/>
  <c r="N147" i="16" s="1"/>
  <c r="J147" i="16"/>
  <c r="K143" i="16" s="1"/>
  <c r="K147" i="16" s="1"/>
  <c r="L143" i="16" s="1"/>
  <c r="L147" i="16" s="1"/>
  <c r="M143" i="16" s="1"/>
  <c r="M147" i="16" s="1"/>
  <c r="O143" i="16" s="1"/>
  <c r="O147" i="16" s="1"/>
  <c r="P143" i="16" s="1"/>
  <c r="P147" i="16" s="1"/>
  <c r="Q143" i="16" s="1"/>
  <c r="Q147" i="16" s="1"/>
  <c r="R143" i="16" s="1"/>
  <c r="R147" i="16" s="1"/>
  <c r="T143" i="16" s="1"/>
  <c r="N164" i="16"/>
  <c r="N165" i="16" s="1"/>
  <c r="J165" i="16"/>
  <c r="K161" i="16" s="1"/>
  <c r="K165" i="16" s="1"/>
  <c r="L161" i="16" s="1"/>
  <c r="L165" i="16" s="1"/>
  <c r="M161" i="16" s="1"/>
  <c r="M165" i="16" s="1"/>
  <c r="O161" i="16" s="1"/>
  <c r="O165" i="16" s="1"/>
  <c r="P161" i="16" s="1"/>
  <c r="P165" i="16" s="1"/>
  <c r="Q161" i="16" s="1"/>
  <c r="Q165" i="16" s="1"/>
  <c r="R161" i="16" s="1"/>
  <c r="R165" i="16" s="1"/>
  <c r="T161" i="16" s="1"/>
  <c r="L68" i="22"/>
  <c r="E10" i="8"/>
  <c r="Y195" i="16"/>
  <c r="X200" i="16"/>
  <c r="T138" i="16"/>
  <c r="X138" i="16" s="1"/>
  <c r="H265" i="22"/>
  <c r="V138" i="16"/>
  <c r="I229" i="22"/>
  <c r="I193" i="22"/>
  <c r="H22" i="16"/>
  <c r="X172" i="16"/>
  <c r="S193" i="16"/>
  <c r="N152" i="16"/>
  <c r="N153" i="16" s="1"/>
  <c r="L78" i="8"/>
  <c r="M78" i="8" s="1"/>
  <c r="M70" i="22"/>
  <c r="N70" i="22" s="1"/>
  <c r="M68" i="22"/>
  <c r="N68" i="22" s="1"/>
  <c r="O195" i="16"/>
  <c r="S195" i="16" s="1"/>
  <c r="I44" i="8"/>
  <c r="H62" i="16"/>
  <c r="O188" i="16"/>
  <c r="S188" i="16" s="1"/>
  <c r="F10" i="8"/>
  <c r="K40" i="8"/>
  <c r="I46" i="16"/>
  <c r="U43" i="2"/>
  <c r="X186" i="16"/>
  <c r="H46" i="12"/>
  <c r="I62" i="12" s="1"/>
  <c r="X81" i="22"/>
  <c r="Y81" i="22" s="1"/>
  <c r="T75" i="22"/>
  <c r="U75" i="22" s="1"/>
  <c r="V75" i="22" s="1"/>
  <c r="W75" i="22" s="1"/>
  <c r="X75" i="22" s="1"/>
  <c r="H162" i="22"/>
  <c r="H42" i="12"/>
  <c r="I61" i="12" s="1"/>
  <c r="I76" i="12" s="1"/>
  <c r="I91" i="12" s="1"/>
  <c r="H52" i="12"/>
  <c r="I68" i="12" s="1"/>
  <c r="H51" i="12"/>
  <c r="I67" i="12" s="1"/>
  <c r="H48" i="12"/>
  <c r="I64" i="12" s="1"/>
  <c r="H50" i="12"/>
  <c r="I66" i="12" s="1"/>
  <c r="H47" i="12"/>
  <c r="I63" i="12" s="1"/>
  <c r="I78" i="12" s="1"/>
  <c r="I93" i="12" s="1"/>
  <c r="H49" i="12"/>
  <c r="I65" i="12" s="1"/>
  <c r="I80" i="12" s="1"/>
  <c r="I95" i="12" s="1"/>
  <c r="K57" i="8"/>
  <c r="J56" i="8"/>
  <c r="I57" i="16" s="1"/>
  <c r="T43" i="2"/>
  <c r="T44" i="2" s="1"/>
  <c r="V42" i="2"/>
  <c r="W42" i="2" s="1"/>
  <c r="B60" i="12"/>
  <c r="B75" i="12" s="1"/>
  <c r="B90" i="12" s="1"/>
  <c r="H41" i="12"/>
  <c r="I60" i="12" s="1"/>
  <c r="H39" i="12"/>
  <c r="I58" i="12" s="1"/>
  <c r="H38" i="12"/>
  <c r="I57" i="12" s="1"/>
  <c r="H77" i="11"/>
  <c r="H24" i="11" s="1"/>
  <c r="K138" i="16"/>
  <c r="M138" i="16"/>
  <c r="P138" i="16"/>
  <c r="R138" i="16"/>
  <c r="U138" i="16"/>
  <c r="W138" i="16"/>
  <c r="Z138" i="16"/>
  <c r="AB138" i="16"/>
  <c r="G44" i="8"/>
  <c r="E44" i="8"/>
  <c r="X193" i="16"/>
  <c r="X179" i="16"/>
  <c r="I266" i="22"/>
  <c r="J263" i="22" s="1"/>
  <c r="J274" i="22" s="1"/>
  <c r="H37" i="12"/>
  <c r="I56" i="12" s="1"/>
  <c r="X52" i="11"/>
  <c r="X80" i="11" s="1"/>
  <c r="AB55" i="11"/>
  <c r="AB83" i="11" s="1"/>
  <c r="Z53" i="11"/>
  <c r="Z81" i="11" s="1"/>
  <c r="U78" i="22"/>
  <c r="V78" i="22" s="1"/>
  <c r="W78" i="22" s="1"/>
  <c r="X78" i="22" s="1"/>
  <c r="U76" i="22"/>
  <c r="V76" i="22" s="1"/>
  <c r="N135" i="16"/>
  <c r="N209" i="16" s="1"/>
  <c r="J135" i="16"/>
  <c r="K131" i="16" s="1"/>
  <c r="K135" i="16" s="1"/>
  <c r="O174" i="16"/>
  <c r="S174" i="16" s="1"/>
  <c r="K153" i="16"/>
  <c r="L149" i="16" s="1"/>
  <c r="L153" i="16" s="1"/>
  <c r="M149" i="16" s="1"/>
  <c r="M153" i="16" s="1"/>
  <c r="O149" i="16" s="1"/>
  <c r="H178" i="22"/>
  <c r="I175" i="22" s="1"/>
  <c r="I178" i="22" s="1"/>
  <c r="J175" i="22" s="1"/>
  <c r="J178" i="22" s="1"/>
  <c r="K175" i="22" s="1"/>
  <c r="J206" i="16"/>
  <c r="K202" i="16" s="1"/>
  <c r="K206" i="16" s="1"/>
  <c r="L202" i="16" s="1"/>
  <c r="L206" i="16" s="1"/>
  <c r="M202" i="16" s="1"/>
  <c r="M206" i="16" s="1"/>
  <c r="O202" i="16" s="1"/>
  <c r="N141" i="16"/>
  <c r="Y55" i="11"/>
  <c r="Y83" i="11" s="1"/>
  <c r="N158" i="16"/>
  <c r="N159" i="16" s="1"/>
  <c r="J159" i="16"/>
  <c r="K155" i="16" s="1"/>
  <c r="K159" i="16" s="1"/>
  <c r="L155" i="16" s="1"/>
  <c r="L159" i="16" s="1"/>
  <c r="M155" i="16" s="1"/>
  <c r="M159" i="16" s="1"/>
  <c r="O155" i="16" s="1"/>
  <c r="Y83" i="22"/>
  <c r="Z83" i="22" s="1"/>
  <c r="N72" i="22"/>
  <c r="M71" i="22"/>
  <c r="M69" i="22"/>
  <c r="N69" i="22" s="1"/>
  <c r="O69" i="22" s="1"/>
  <c r="N206" i="16"/>
  <c r="J141" i="16"/>
  <c r="K137" i="16" s="1"/>
  <c r="O181" i="16"/>
  <c r="S181" i="16" s="1"/>
  <c r="O167" i="16"/>
  <c r="S167" i="16" s="1"/>
  <c r="AA84" i="22"/>
  <c r="AB84" i="22" s="1"/>
  <c r="X56" i="11"/>
  <c r="X84" i="11" s="1"/>
  <c r="X82" i="22"/>
  <c r="X80" i="22"/>
  <c r="V79" i="22"/>
  <c r="W79" i="22" s="1"/>
  <c r="V77" i="22"/>
  <c r="W77" i="22" s="1"/>
  <c r="Q74" i="22"/>
  <c r="R74" i="22" s="1"/>
  <c r="O73" i="22"/>
  <c r="P73" i="22" s="1"/>
  <c r="H273" i="22"/>
  <c r="H266" i="22"/>
  <c r="I263" i="22" s="1"/>
  <c r="I274" i="22" s="1"/>
  <c r="H276" i="22"/>
  <c r="AB53" i="11"/>
  <c r="AB81" i="11" s="1"/>
  <c r="AA53" i="11"/>
  <c r="AA81" i="11" s="1"/>
  <c r="G24" i="7"/>
  <c r="G33" i="7" s="1"/>
  <c r="G42" i="7" s="1"/>
  <c r="G61" i="7" s="1"/>
  <c r="G70" i="7" s="1"/>
  <c r="G81" i="7" s="1"/>
  <c r="G10" i="8"/>
  <c r="F44" i="8"/>
  <c r="W56" i="11"/>
  <c r="W84" i="11" s="1"/>
  <c r="W54" i="11"/>
  <c r="W82" i="11" s="1"/>
  <c r="W52" i="11"/>
  <c r="W80" i="11" s="1"/>
  <c r="AA55" i="11"/>
  <c r="AA83" i="11" s="1"/>
  <c r="H275" i="22"/>
  <c r="H58" i="22"/>
  <c r="H60" i="22" s="1"/>
  <c r="AB56" i="11"/>
  <c r="AB84" i="11" s="1"/>
  <c r="AB54" i="11"/>
  <c r="AB82" i="11" s="1"/>
  <c r="AB52" i="11"/>
  <c r="AB80" i="11" s="1"/>
  <c r="Z55" i="11"/>
  <c r="Z83" i="11" s="1"/>
  <c r="Y53" i="11"/>
  <c r="Y81" i="11" s="1"/>
  <c r="X54" i="11"/>
  <c r="X82" i="11" s="1"/>
  <c r="I275" i="22"/>
  <c r="B23" i="6"/>
  <c r="B29" i="6"/>
  <c r="W55" i="11"/>
  <c r="W83" i="11" s="1"/>
  <c r="W53" i="11"/>
  <c r="W81" i="11" s="1"/>
  <c r="AA56" i="11"/>
  <c r="AA84" i="11" s="1"/>
  <c r="AA54" i="11"/>
  <c r="AA82" i="11" s="1"/>
  <c r="AA52" i="11"/>
  <c r="AA80" i="11" s="1"/>
  <c r="F24" i="7"/>
  <c r="F33" i="7" s="1"/>
  <c r="F42" i="7" s="1"/>
  <c r="F61" i="7" s="1"/>
  <c r="F70" i="7" s="1"/>
  <c r="F81" i="7" s="1"/>
  <c r="I24" i="2"/>
  <c r="P30" i="8"/>
  <c r="O41" i="16" s="1"/>
  <c r="I85" i="16"/>
  <c r="J54" i="7"/>
  <c r="J53" i="7" s="1"/>
  <c r="H84" i="16" s="1"/>
  <c r="J85" i="16"/>
  <c r="K54" i="7"/>
  <c r="K53" i="7" s="1"/>
  <c r="I84" i="16" s="1"/>
  <c r="N58" i="8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N59" i="8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I24" i="7"/>
  <c r="I33" i="7" s="1"/>
  <c r="A47" i="7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I97" i="11"/>
  <c r="J92" i="11"/>
  <c r="B21" i="6"/>
  <c r="B10" i="25"/>
  <c r="S117" i="20"/>
  <c r="L3" i="16"/>
  <c r="L55" i="7"/>
  <c r="M55" i="7"/>
  <c r="H44" i="8"/>
  <c r="L73" i="8"/>
  <c r="I276" i="22"/>
  <c r="H12" i="8"/>
  <c r="E33" i="7"/>
  <c r="E61" i="7" s="1"/>
  <c r="E70" i="7" s="1"/>
  <c r="E81" i="7" s="1"/>
  <c r="I265" i="22"/>
  <c r="I247" i="22"/>
  <c r="B20" i="6"/>
  <c r="B22" i="6"/>
  <c r="B26" i="6"/>
  <c r="B30" i="6"/>
  <c r="B28" i="6"/>
  <c r="B27" i="6"/>
  <c r="AD21" i="16"/>
  <c r="AD28" i="16" s="1"/>
  <c r="L5" i="16"/>
  <c r="H13" i="11"/>
  <c r="Z56" i="11"/>
  <c r="Z84" i="11" s="1"/>
  <c r="Z54" i="11"/>
  <c r="Z82" i="11" s="1"/>
  <c r="Z52" i="11"/>
  <c r="Z80" i="11" s="1"/>
  <c r="Y56" i="11"/>
  <c r="Y84" i="11" s="1"/>
  <c r="Y54" i="11"/>
  <c r="Y82" i="11" s="1"/>
  <c r="Y52" i="11"/>
  <c r="Y80" i="11" s="1"/>
  <c r="X55" i="11"/>
  <c r="X83" i="11" s="1"/>
  <c r="X53" i="11"/>
  <c r="X81" i="11" s="1"/>
  <c r="H41" i="11"/>
  <c r="H42" i="11"/>
  <c r="H17" i="11" s="1"/>
  <c r="H21" i="11"/>
  <c r="I21" i="11" s="1"/>
  <c r="J21" i="11" s="1"/>
  <c r="H19" i="11"/>
  <c r="I19" i="11" s="1"/>
  <c r="J19" i="11" s="1"/>
  <c r="H15" i="11"/>
  <c r="H22" i="11"/>
  <c r="I22" i="11" s="1"/>
  <c r="J22" i="11" s="1"/>
  <c r="H20" i="11"/>
  <c r="I20" i="11" s="1"/>
  <c r="J20" i="11" s="1"/>
  <c r="H18" i="11"/>
  <c r="I18" i="11" s="1"/>
  <c r="J18" i="11" s="1"/>
  <c r="H14" i="11"/>
  <c r="E64" i="2"/>
  <c r="E65" i="2" s="1"/>
  <c r="F64" i="2"/>
  <c r="F65" i="2" s="1"/>
  <c r="K38" i="8"/>
  <c r="H33" i="22"/>
  <c r="J34" i="22"/>
  <c r="J33" i="22"/>
  <c r="J248" i="22" s="1"/>
  <c r="K245" i="22" s="1"/>
  <c r="K34" i="22"/>
  <c r="K33" i="22"/>
  <c r="L34" i="22"/>
  <c r="L265" i="22" s="1"/>
  <c r="L33" i="22"/>
  <c r="L194" i="22" s="1"/>
  <c r="M191" i="22" s="1"/>
  <c r="L58" i="22"/>
  <c r="M58" i="22"/>
  <c r="G47" i="22"/>
  <c r="J66" i="7" s="1"/>
  <c r="H24" i="7"/>
  <c r="H33" i="7" s="1"/>
  <c r="T196" i="22"/>
  <c r="T198" i="22" s="1"/>
  <c r="I58" i="22"/>
  <c r="J58" i="22"/>
  <c r="K58" i="22"/>
  <c r="G21" i="16"/>
  <c r="H21" i="16"/>
  <c r="K28" i="8"/>
  <c r="J39" i="16" s="1"/>
  <c r="K29" i="8"/>
  <c r="J40" i="16" s="1"/>
  <c r="F7" i="2"/>
  <c r="F7" i="11"/>
  <c r="F7" i="22" s="1"/>
  <c r="F7" i="6"/>
  <c r="G7" i="12"/>
  <c r="H7" i="7"/>
  <c r="I7" i="2"/>
  <c r="S116" i="20"/>
  <c r="S127" i="20"/>
  <c r="S126" i="20"/>
  <c r="S125" i="20"/>
  <c r="S124" i="20"/>
  <c r="S123" i="20"/>
  <c r="S122" i="20"/>
  <c r="S121" i="20"/>
  <c r="S120" i="20"/>
  <c r="S119" i="20"/>
  <c r="S118" i="20"/>
  <c r="D49" i="12"/>
  <c r="D48" i="12"/>
  <c r="D40" i="12"/>
  <c r="D37" i="12"/>
  <c r="D46" i="12"/>
  <c r="D39" i="12"/>
  <c r="D38" i="12"/>
  <c r="D50" i="12"/>
  <c r="D47" i="12"/>
  <c r="F50" i="12"/>
  <c r="F47" i="12"/>
  <c r="E50" i="12"/>
  <c r="E47" i="12"/>
  <c r="F46" i="12"/>
  <c r="F39" i="12"/>
  <c r="F38" i="12"/>
  <c r="E46" i="12"/>
  <c r="E39" i="12"/>
  <c r="E38" i="12"/>
  <c r="H40" i="12"/>
  <c r="I59" i="12" s="1"/>
  <c r="G40" i="12"/>
  <c r="F49" i="12"/>
  <c r="F48" i="12"/>
  <c r="F40" i="12"/>
  <c r="F37" i="12"/>
  <c r="E49" i="12"/>
  <c r="E48" i="12"/>
  <c r="E40" i="12"/>
  <c r="E37" i="12"/>
  <c r="H202" i="22"/>
  <c r="H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H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L45" i="22"/>
  <c r="A134" i="22"/>
  <c r="A136" i="22" s="1"/>
  <c r="A137" i="22" s="1"/>
  <c r="A138" i="22" s="1"/>
  <c r="A139" i="22" s="1"/>
  <c r="A140" i="22" s="1"/>
  <c r="A141" i="22" s="1"/>
  <c r="A142" i="22" s="1"/>
  <c r="A143" i="22" s="1"/>
  <c r="A144" i="22" s="1"/>
  <c r="A145" i="22" s="1"/>
  <c r="A146" i="22" s="1"/>
  <c r="A147" i="22" s="1"/>
  <c r="A148" i="22" s="1"/>
  <c r="A149" i="22" s="1"/>
  <c r="A150" i="22" s="1"/>
  <c r="M33" i="22"/>
  <c r="V56" i="11"/>
  <c r="V84" i="11" s="1"/>
  <c r="V55" i="11"/>
  <c r="V83" i="11" s="1"/>
  <c r="V54" i="11"/>
  <c r="V82" i="11" s="1"/>
  <c r="V53" i="11"/>
  <c r="V81" i="11" s="1"/>
  <c r="V52" i="11"/>
  <c r="V80" i="11" s="1"/>
  <c r="U56" i="11"/>
  <c r="U84" i="11" s="1"/>
  <c r="U55" i="11"/>
  <c r="U83" i="11" s="1"/>
  <c r="U54" i="11"/>
  <c r="U82" i="11" s="1"/>
  <c r="U53" i="11"/>
  <c r="U81" i="11" s="1"/>
  <c r="U52" i="11"/>
  <c r="U80" i="11" s="1"/>
  <c r="T56" i="11"/>
  <c r="T84" i="11" s="1"/>
  <c r="T55" i="11"/>
  <c r="T83" i="11" s="1"/>
  <c r="T54" i="11"/>
  <c r="T82" i="11" s="1"/>
  <c r="T53" i="11"/>
  <c r="T81" i="11" s="1"/>
  <c r="T52" i="11"/>
  <c r="T80" i="11" s="1"/>
  <c r="S53" i="11"/>
  <c r="S81" i="11" s="1"/>
  <c r="S52" i="11"/>
  <c r="S80" i="11" s="1"/>
  <c r="D189" i="22"/>
  <c r="D207" i="22"/>
  <c r="D225" i="22"/>
  <c r="D243" i="22"/>
  <c r="D261" i="22"/>
  <c r="D50" i="22"/>
  <c r="D63" i="22"/>
  <c r="D157" i="22"/>
  <c r="D173" i="22"/>
  <c r="D37" i="22"/>
  <c r="H36" i="15"/>
  <c r="I194" i="22"/>
  <c r="J191" i="22" s="1"/>
  <c r="J202" i="22" s="1"/>
  <c r="I212" i="22"/>
  <c r="J209" i="22" s="1"/>
  <c r="I230" i="22"/>
  <c r="J227" i="22" s="1"/>
  <c r="I248" i="22"/>
  <c r="J245" i="22" s="1"/>
  <c r="H153" i="22"/>
  <c r="H145" i="22"/>
  <c r="I145" i="22"/>
  <c r="J145" i="22"/>
  <c r="K145" i="22"/>
  <c r="L145" i="22"/>
  <c r="M145" i="22"/>
  <c r="N145" i="22"/>
  <c r="O145" i="22"/>
  <c r="P145" i="22"/>
  <c r="Q145" i="22"/>
  <c r="R145" i="22"/>
  <c r="M54" i="11"/>
  <c r="M82" i="11" s="1"/>
  <c r="N54" i="11"/>
  <c r="N82" i="11" s="1"/>
  <c r="O54" i="11"/>
  <c r="O82" i="11" s="1"/>
  <c r="P54" i="11"/>
  <c r="P82" i="11" s="1"/>
  <c r="Q54" i="11"/>
  <c r="Q82" i="11" s="1"/>
  <c r="R54" i="11"/>
  <c r="R82" i="11" s="1"/>
  <c r="I53" i="11"/>
  <c r="I81" i="11" s="1"/>
  <c r="J53" i="11"/>
  <c r="J81" i="11" s="1"/>
  <c r="K53" i="11"/>
  <c r="K81" i="11" s="1"/>
  <c r="L53" i="11"/>
  <c r="L81" i="11" s="1"/>
  <c r="M53" i="11"/>
  <c r="M81" i="11" s="1"/>
  <c r="N53" i="11"/>
  <c r="N81" i="11" s="1"/>
  <c r="O53" i="11"/>
  <c r="O81" i="11" s="1"/>
  <c r="P53" i="11"/>
  <c r="P81" i="11" s="1"/>
  <c r="Q53" i="11"/>
  <c r="Q81" i="11" s="1"/>
  <c r="R53" i="11"/>
  <c r="R81" i="11" s="1"/>
  <c r="I52" i="11"/>
  <c r="I80" i="11" s="1"/>
  <c r="J52" i="11"/>
  <c r="J80" i="11" s="1"/>
  <c r="K52" i="11"/>
  <c r="K80" i="11" s="1"/>
  <c r="L52" i="11"/>
  <c r="L80" i="11" s="1"/>
  <c r="M52" i="11"/>
  <c r="M80" i="11" s="1"/>
  <c r="N52" i="11"/>
  <c r="N80" i="11" s="1"/>
  <c r="O52" i="11"/>
  <c r="O80" i="11" s="1"/>
  <c r="P52" i="11"/>
  <c r="P80" i="11" s="1"/>
  <c r="Q52" i="11"/>
  <c r="Q80" i="11" s="1"/>
  <c r="R52" i="11"/>
  <c r="R80" i="11" s="1"/>
  <c r="I12" i="8"/>
  <c r="H31" i="16" s="1"/>
  <c r="AB145" i="22"/>
  <c r="AA145" i="22"/>
  <c r="Z145" i="22"/>
  <c r="Y145" i="22"/>
  <c r="X145" i="22"/>
  <c r="W145" i="22"/>
  <c r="V145" i="22"/>
  <c r="U145" i="22"/>
  <c r="T145" i="22"/>
  <c r="S145" i="22"/>
  <c r="S56" i="11"/>
  <c r="S84" i="11" s="1"/>
  <c r="S55" i="11"/>
  <c r="S83" i="11" s="1"/>
  <c r="S54" i="11"/>
  <c r="S82" i="11" s="1"/>
  <c r="I54" i="11"/>
  <c r="I82" i="11" s="1"/>
  <c r="J54" i="11"/>
  <c r="J82" i="11" s="1"/>
  <c r="K54" i="11"/>
  <c r="K82" i="11" s="1"/>
  <c r="L54" i="11"/>
  <c r="L82" i="11" s="1"/>
  <c r="H194" i="22" l="1"/>
  <c r="I191" i="22" s="1"/>
  <c r="I202" i="22" s="1"/>
  <c r="H248" i="22"/>
  <c r="I245" i="22" s="1"/>
  <c r="I256" i="22" s="1"/>
  <c r="F83" i="8"/>
  <c r="G83" i="8"/>
  <c r="J194" i="22"/>
  <c r="K191" i="22" s="1"/>
  <c r="K202" i="22" s="1"/>
  <c r="J212" i="22"/>
  <c r="K209" i="22" s="1"/>
  <c r="K220" i="22" s="1"/>
  <c r="J230" i="22"/>
  <c r="K227" i="22" s="1"/>
  <c r="K238" i="22" s="1"/>
  <c r="K194" i="22"/>
  <c r="L191" i="22" s="1"/>
  <c r="L202" i="22" s="1"/>
  <c r="K212" i="22"/>
  <c r="L209" i="22" s="1"/>
  <c r="L220" i="22" s="1"/>
  <c r="K230" i="22"/>
  <c r="L227" i="22" s="1"/>
  <c r="L238" i="22" s="1"/>
  <c r="K248" i="22"/>
  <c r="L245" i="22" s="1"/>
  <c r="L256" i="22" s="1"/>
  <c r="E83" i="8"/>
  <c r="I77" i="12"/>
  <c r="I92" i="12" s="1"/>
  <c r="J62" i="12"/>
  <c r="O159" i="16"/>
  <c r="P155" i="16" s="1"/>
  <c r="P159" i="16" s="1"/>
  <c r="Q155" i="16" s="1"/>
  <c r="Q159" i="16" s="1"/>
  <c r="R155" i="16" s="1"/>
  <c r="R159" i="16" s="1"/>
  <c r="T155" i="16" s="1"/>
  <c r="S155" i="16"/>
  <c r="S159" i="16" s="1"/>
  <c r="G31" i="16"/>
  <c r="G26" i="16" s="1"/>
  <c r="G215" i="16" s="1"/>
  <c r="H10" i="8"/>
  <c r="M55" i="11"/>
  <c r="M83" i="11" s="1"/>
  <c r="H16" i="11"/>
  <c r="I159" i="22"/>
  <c r="H170" i="22"/>
  <c r="O153" i="16"/>
  <c r="P149" i="16" s="1"/>
  <c r="P153" i="16" s="1"/>
  <c r="Q149" i="16" s="1"/>
  <c r="Q153" i="16" s="1"/>
  <c r="R149" i="16" s="1"/>
  <c r="R153" i="16" s="1"/>
  <c r="T149" i="16" s="1"/>
  <c r="S149" i="16"/>
  <c r="S153" i="16" s="1"/>
  <c r="K178" i="22"/>
  <c r="L175" i="22" s="1"/>
  <c r="K186" i="22"/>
  <c r="I23" i="2"/>
  <c r="J24" i="2"/>
  <c r="K265" i="22"/>
  <c r="K275" i="22"/>
  <c r="S202" i="16"/>
  <c r="S206" i="16" s="1"/>
  <c r="O206" i="16"/>
  <c r="P202" i="16" s="1"/>
  <c r="P206" i="16" s="1"/>
  <c r="Q202" i="16" s="1"/>
  <c r="Q206" i="16" s="1"/>
  <c r="R202" i="16" s="1"/>
  <c r="R206" i="16" s="1"/>
  <c r="T202" i="16" s="1"/>
  <c r="S161" i="16"/>
  <c r="S165" i="16" s="1"/>
  <c r="J63" i="12"/>
  <c r="J78" i="12" s="1"/>
  <c r="J93" i="12" s="1"/>
  <c r="S143" i="16"/>
  <c r="S147" i="16" s="1"/>
  <c r="L248" i="22"/>
  <c r="M245" i="22" s="1"/>
  <c r="H212" i="22"/>
  <c r="I209" i="22" s="1"/>
  <c r="I220" i="22" s="1"/>
  <c r="L230" i="22"/>
  <c r="M227" i="22" s="1"/>
  <c r="H186" i="22"/>
  <c r="H230" i="22"/>
  <c r="I227" i="22" s="1"/>
  <c r="I238" i="22" s="1"/>
  <c r="L212" i="22"/>
  <c r="M209" i="22" s="1"/>
  <c r="I186" i="22"/>
  <c r="J186" i="22"/>
  <c r="K141" i="16"/>
  <c r="L137" i="16" s="1"/>
  <c r="L141" i="16" s="1"/>
  <c r="M137" i="16" s="1"/>
  <c r="M141" i="16" s="1"/>
  <c r="O137" i="16" s="1"/>
  <c r="K63" i="16"/>
  <c r="J61" i="12"/>
  <c r="J65" i="12"/>
  <c r="J209" i="16"/>
  <c r="I42" i="12"/>
  <c r="L63" i="16"/>
  <c r="N78" i="8"/>
  <c r="L40" i="8"/>
  <c r="J46" i="16"/>
  <c r="W43" i="2"/>
  <c r="L57" i="8"/>
  <c r="K56" i="8"/>
  <c r="J57" i="16" s="1"/>
  <c r="J64" i="12"/>
  <c r="I79" i="12"/>
  <c r="I94" i="12" s="1"/>
  <c r="I83" i="12"/>
  <c r="I98" i="12" s="1"/>
  <c r="J68" i="12"/>
  <c r="V43" i="2"/>
  <c r="X42" i="2"/>
  <c r="I81" i="12"/>
  <c r="I96" i="12" s="1"/>
  <c r="J66" i="12"/>
  <c r="J67" i="12"/>
  <c r="I82" i="12"/>
  <c r="I97" i="12" s="1"/>
  <c r="K18" i="1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K20" i="11"/>
  <c r="L20" i="11" s="1"/>
  <c r="M20" i="11" s="1"/>
  <c r="N20" i="11" s="1"/>
  <c r="O20" i="11" s="1"/>
  <c r="P20" i="11" s="1"/>
  <c r="Q20" i="11" s="1"/>
  <c r="R20" i="11" s="1"/>
  <c r="S20" i="11" s="1"/>
  <c r="T20" i="11" s="1"/>
  <c r="U20" i="11" s="1"/>
  <c r="V20" i="11" s="1"/>
  <c r="W20" i="11" s="1"/>
  <c r="X20" i="11" s="1"/>
  <c r="Y20" i="11" s="1"/>
  <c r="Z20" i="11" s="1"/>
  <c r="AA20" i="11" s="1"/>
  <c r="AB20" i="11" s="1"/>
  <c r="K22" i="11"/>
  <c r="L22" i="11" s="1"/>
  <c r="M22" i="11" s="1"/>
  <c r="N22" i="11" s="1"/>
  <c r="O22" i="11" s="1"/>
  <c r="P22" i="11" s="1"/>
  <c r="Q22" i="11" s="1"/>
  <c r="R22" i="11" s="1"/>
  <c r="S22" i="11" s="1"/>
  <c r="T22" i="11" s="1"/>
  <c r="U22" i="11" s="1"/>
  <c r="V22" i="11" s="1"/>
  <c r="W22" i="11" s="1"/>
  <c r="X22" i="11" s="1"/>
  <c r="Y22" i="11" s="1"/>
  <c r="Z22" i="11" s="1"/>
  <c r="AA22" i="11" s="1"/>
  <c r="AB22" i="11" s="1"/>
  <c r="K21" i="11"/>
  <c r="L21" i="11" s="1"/>
  <c r="M21" i="11" s="1"/>
  <c r="N21" i="11" s="1"/>
  <c r="O21" i="11" s="1"/>
  <c r="P21" i="11" s="1"/>
  <c r="Q21" i="11" s="1"/>
  <c r="R21" i="11" s="1"/>
  <c r="S21" i="11" s="1"/>
  <c r="T21" i="11" s="1"/>
  <c r="U21" i="11" s="1"/>
  <c r="V21" i="11" s="1"/>
  <c r="W21" i="11" s="1"/>
  <c r="X21" i="11" s="1"/>
  <c r="Y21" i="11" s="1"/>
  <c r="Z21" i="11" s="1"/>
  <c r="AA21" i="11" s="1"/>
  <c r="AB21" i="11" s="1"/>
  <c r="K19" i="11"/>
  <c r="L19" i="11" s="1"/>
  <c r="M19" i="11" s="1"/>
  <c r="N19" i="11" s="1"/>
  <c r="O19" i="11" s="1"/>
  <c r="P19" i="11" s="1"/>
  <c r="Q19" i="11" s="1"/>
  <c r="R19" i="11" s="1"/>
  <c r="S19" i="11" s="1"/>
  <c r="T19" i="11" s="1"/>
  <c r="U19" i="11" s="1"/>
  <c r="V19" i="11" s="1"/>
  <c r="W19" i="11" s="1"/>
  <c r="X19" i="11" s="1"/>
  <c r="Y19" i="11" s="1"/>
  <c r="Z19" i="11" s="1"/>
  <c r="AA19" i="11" s="1"/>
  <c r="AB19" i="11" s="1"/>
  <c r="I74" i="12"/>
  <c r="I89" i="12" s="1"/>
  <c r="J59" i="12"/>
  <c r="I71" i="12"/>
  <c r="I86" i="12" s="1"/>
  <c r="J56" i="12"/>
  <c r="I72" i="12"/>
  <c r="I87" i="12" s="1"/>
  <c r="J57" i="12"/>
  <c r="I73" i="12"/>
  <c r="I88" i="12" s="1"/>
  <c r="J58" i="12"/>
  <c r="I75" i="12"/>
  <c r="I90" i="12" s="1"/>
  <c r="J60" i="12"/>
  <c r="I41" i="12"/>
  <c r="I46" i="12"/>
  <c r="H10" i="16"/>
  <c r="K209" i="16"/>
  <c r="L131" i="16"/>
  <c r="L135" i="16" s="1"/>
  <c r="U44" i="2"/>
  <c r="I48" i="12"/>
  <c r="I50" i="12"/>
  <c r="I49" i="12"/>
  <c r="I51" i="12"/>
  <c r="L276" i="22"/>
  <c r="M56" i="11"/>
  <c r="M84" i="11" s="1"/>
  <c r="K56" i="11"/>
  <c r="K84" i="11" s="1"/>
  <c r="L266" i="22"/>
  <c r="M263" i="22" s="1"/>
  <c r="K44" i="22"/>
  <c r="L275" i="22"/>
  <c r="K276" i="22"/>
  <c r="K266" i="22"/>
  <c r="L263" i="22" s="1"/>
  <c r="L274" i="22" s="1"/>
  <c r="I44" i="22"/>
  <c r="L44" i="22"/>
  <c r="Q56" i="11"/>
  <c r="Q84" i="11" s="1"/>
  <c r="K55" i="11"/>
  <c r="K83" i="11" s="1"/>
  <c r="P55" i="11"/>
  <c r="P83" i="11" s="1"/>
  <c r="I55" i="11"/>
  <c r="I83" i="11" s="1"/>
  <c r="J97" i="11" s="1"/>
  <c r="R55" i="11"/>
  <c r="R83" i="11" s="1"/>
  <c r="Z97" i="11" s="1"/>
  <c r="N55" i="11"/>
  <c r="N83" i="11" s="1"/>
  <c r="L55" i="11"/>
  <c r="L83" i="11" s="1"/>
  <c r="J55" i="11"/>
  <c r="J83" i="11" s="1"/>
  <c r="Q55" i="11"/>
  <c r="Q83" i="11" s="1"/>
  <c r="O55" i="11"/>
  <c r="O83" i="11" s="1"/>
  <c r="W76" i="22"/>
  <c r="X76" i="22" s="1"/>
  <c r="Y80" i="22"/>
  <c r="Z80" i="22" s="1"/>
  <c r="S74" i="22"/>
  <c r="T74" i="22" s="1"/>
  <c r="U74" i="22" s="1"/>
  <c r="Q73" i="22"/>
  <c r="R73" i="22" s="1"/>
  <c r="Y82" i="22"/>
  <c r="Z82" i="22" s="1"/>
  <c r="N71" i="22"/>
  <c r="O68" i="22"/>
  <c r="P68" i="22" s="1"/>
  <c r="O72" i="22"/>
  <c r="Y78" i="22"/>
  <c r="Z78" i="22" s="1"/>
  <c r="Y75" i="22"/>
  <c r="Z75" i="22" s="1"/>
  <c r="Z81" i="22"/>
  <c r="AA81" i="22" s="1"/>
  <c r="P69" i="22"/>
  <c r="X79" i="22"/>
  <c r="Y79" i="22" s="1"/>
  <c r="O70" i="22"/>
  <c r="X77" i="22"/>
  <c r="AA97" i="11"/>
  <c r="J45" i="22"/>
  <c r="M45" i="22"/>
  <c r="J44" i="22"/>
  <c r="AA83" i="22"/>
  <c r="AB83" i="22" s="1"/>
  <c r="I45" i="22"/>
  <c r="K45" i="22"/>
  <c r="AB97" i="11"/>
  <c r="Q30" i="8"/>
  <c r="L85" i="16"/>
  <c r="M54" i="7"/>
  <c r="M53" i="7" s="1"/>
  <c r="K84" i="16" s="1"/>
  <c r="K85" i="16"/>
  <c r="L54" i="7"/>
  <c r="L53" i="7" s="1"/>
  <c r="J84" i="16" s="1"/>
  <c r="I89" i="16"/>
  <c r="H76" i="16"/>
  <c r="H26" i="16"/>
  <c r="K92" i="11"/>
  <c r="H73" i="16"/>
  <c r="E42" i="7"/>
  <c r="I57" i="2"/>
  <c r="M73" i="8"/>
  <c r="T165" i="16"/>
  <c r="U161" i="16" s="1"/>
  <c r="U165" i="16" s="1"/>
  <c r="V161" i="16" s="1"/>
  <c r="V165" i="16" s="1"/>
  <c r="W161" i="16" s="1"/>
  <c r="W165" i="16" s="1"/>
  <c r="Y161" i="16" s="1"/>
  <c r="Y165" i="16" s="1"/>
  <c r="Z161" i="16" s="1"/>
  <c r="Z165" i="16" s="1"/>
  <c r="AA161" i="16" s="1"/>
  <c r="AA165" i="16" s="1"/>
  <c r="AB161" i="16" s="1"/>
  <c r="AB165" i="16" s="1"/>
  <c r="X161" i="16"/>
  <c r="X165" i="16" s="1"/>
  <c r="T147" i="16"/>
  <c r="U143" i="16" s="1"/>
  <c r="U147" i="16" s="1"/>
  <c r="V143" i="16" s="1"/>
  <c r="V147" i="16" s="1"/>
  <c r="W143" i="16" s="1"/>
  <c r="W147" i="16" s="1"/>
  <c r="Y143" i="16" s="1"/>
  <c r="Y147" i="16" s="1"/>
  <c r="Z143" i="16" s="1"/>
  <c r="Z147" i="16" s="1"/>
  <c r="AA143" i="16" s="1"/>
  <c r="AA147" i="16" s="1"/>
  <c r="AB143" i="16" s="1"/>
  <c r="AB147" i="16" s="1"/>
  <c r="X143" i="16"/>
  <c r="X147" i="16" s="1"/>
  <c r="I15" i="11"/>
  <c r="J15" i="11" s="1"/>
  <c r="I56" i="11"/>
  <c r="I84" i="11" s="1"/>
  <c r="I17" i="11" s="1"/>
  <c r="I13" i="1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I14" i="11"/>
  <c r="J14" i="11" s="1"/>
  <c r="O56" i="11"/>
  <c r="O84" i="11" s="1"/>
  <c r="L56" i="11"/>
  <c r="L84" i="11" s="1"/>
  <c r="J56" i="11"/>
  <c r="J84" i="11" s="1"/>
  <c r="R56" i="11"/>
  <c r="R84" i="11" s="1"/>
  <c r="P56" i="11"/>
  <c r="P84" i="11" s="1"/>
  <c r="N56" i="11"/>
  <c r="N84" i="11" s="1"/>
  <c r="G76" i="16"/>
  <c r="L29" i="8"/>
  <c r="K40" i="16" s="1"/>
  <c r="L28" i="8"/>
  <c r="K39" i="16" s="1"/>
  <c r="H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Z127" i="22"/>
  <c r="AA127" i="22"/>
  <c r="AB127" i="22"/>
  <c r="U196" i="22"/>
  <c r="U198" i="22" s="1"/>
  <c r="U214" i="22"/>
  <c r="U216" i="22" s="1"/>
  <c r="U232" i="22"/>
  <c r="U234" i="22" s="1"/>
  <c r="U250" i="22"/>
  <c r="U252" i="22" s="1"/>
  <c r="U268" i="22"/>
  <c r="U270" i="22" s="1"/>
  <c r="G73" i="16"/>
  <c r="G10" i="16"/>
  <c r="G11" i="16" s="1"/>
  <c r="L203" i="22"/>
  <c r="L221" i="22"/>
  <c r="L239" i="22"/>
  <c r="L257" i="22"/>
  <c r="L204" i="22"/>
  <c r="L222" i="22"/>
  <c r="L240" i="22"/>
  <c r="L258" i="22"/>
  <c r="L193" i="22"/>
  <c r="L211" i="22"/>
  <c r="L229" i="22"/>
  <c r="L247" i="22"/>
  <c r="K203" i="22"/>
  <c r="K221" i="22"/>
  <c r="K239" i="22"/>
  <c r="K257" i="22"/>
  <c r="K204" i="22"/>
  <c r="K222" i="22"/>
  <c r="K240" i="22"/>
  <c r="K258" i="22"/>
  <c r="K193" i="22"/>
  <c r="K211" i="22"/>
  <c r="K229" i="22"/>
  <c r="K247" i="22"/>
  <c r="J203" i="22"/>
  <c r="J221" i="22"/>
  <c r="J239" i="22"/>
  <c r="J257" i="22"/>
  <c r="J204" i="22"/>
  <c r="J222" i="22"/>
  <c r="J240" i="22"/>
  <c r="J258" i="22"/>
  <c r="J193" i="22"/>
  <c r="J211" i="22"/>
  <c r="J229" i="22"/>
  <c r="J247" i="22"/>
  <c r="J266" i="22"/>
  <c r="K263" i="22" s="1"/>
  <c r="K274" i="22" s="1"/>
  <c r="J275" i="22"/>
  <c r="J276" i="22"/>
  <c r="J265" i="22"/>
  <c r="H203" i="22"/>
  <c r="H221" i="22"/>
  <c r="H239" i="22"/>
  <c r="H257" i="22"/>
  <c r="H204" i="22"/>
  <c r="H222" i="22"/>
  <c r="H240" i="22"/>
  <c r="H258" i="22"/>
  <c r="I203" i="22"/>
  <c r="I221" i="22"/>
  <c r="I239" i="22"/>
  <c r="I257" i="22"/>
  <c r="I204" i="22"/>
  <c r="I222" i="22"/>
  <c r="I240" i="22"/>
  <c r="I258" i="22"/>
  <c r="H193" i="22"/>
  <c r="H211" i="22"/>
  <c r="H229" i="22"/>
  <c r="H247" i="22"/>
  <c r="L38" i="8"/>
  <c r="H7" i="11"/>
  <c r="H7" i="22" s="1"/>
  <c r="J7" i="2"/>
  <c r="J7" i="7"/>
  <c r="J7" i="8"/>
  <c r="H7" i="6"/>
  <c r="H7" i="15"/>
  <c r="I7" i="12"/>
  <c r="E7" i="2"/>
  <c r="E7" i="11"/>
  <c r="E7" i="22" s="1"/>
  <c r="E7" i="6"/>
  <c r="F7" i="12"/>
  <c r="G7" i="7"/>
  <c r="G7" i="8"/>
  <c r="A151" i="22"/>
  <c r="A152" i="22" s="1"/>
  <c r="A153" i="22" s="1"/>
  <c r="A154" i="22" s="1"/>
  <c r="A155" i="22" s="1"/>
  <c r="A156" i="22" s="1"/>
  <c r="A157" i="22" s="1"/>
  <c r="A158" i="22" s="1"/>
  <c r="A159" i="22" s="1"/>
  <c r="A160" i="22" s="1"/>
  <c r="A161" i="22" s="1"/>
  <c r="A162" i="22" s="1"/>
  <c r="A163" i="22" s="1"/>
  <c r="A164" i="22" s="1"/>
  <c r="A165" i="22" s="1"/>
  <c r="A166" i="22" s="1"/>
  <c r="E44" i="15"/>
  <c r="D44" i="15"/>
  <c r="N199" i="22"/>
  <c r="N217" i="22" s="1"/>
  <c r="N235" i="22" s="1"/>
  <c r="M199" i="22"/>
  <c r="M217" i="22" s="1"/>
  <c r="M235" i="22" s="1"/>
  <c r="M253" i="22" s="1"/>
  <c r="M271" i="22" s="1"/>
  <c r="M34" i="22"/>
  <c r="N33" i="22"/>
  <c r="AE14" i="16"/>
  <c r="G210" i="16"/>
  <c r="I10" i="8"/>
  <c r="H48" i="16" s="1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H146" i="22"/>
  <c r="I143" i="22" s="1"/>
  <c r="J256" i="22"/>
  <c r="J238" i="22"/>
  <c r="J220" i="22"/>
  <c r="K256" i="22"/>
  <c r="G66" i="16"/>
  <c r="T159" i="16" l="1"/>
  <c r="U155" i="16" s="1"/>
  <c r="U159" i="16" s="1"/>
  <c r="V155" i="16" s="1"/>
  <c r="V159" i="16" s="1"/>
  <c r="W155" i="16" s="1"/>
  <c r="W159" i="16" s="1"/>
  <c r="Y155" i="16" s="1"/>
  <c r="Y159" i="16" s="1"/>
  <c r="Z155" i="16" s="1"/>
  <c r="Z159" i="16" s="1"/>
  <c r="AA155" i="16" s="1"/>
  <c r="AA159" i="16" s="1"/>
  <c r="AB155" i="16" s="1"/>
  <c r="AB159" i="16" s="1"/>
  <c r="X155" i="16"/>
  <c r="X159" i="16" s="1"/>
  <c r="T153" i="16"/>
  <c r="U149" i="16" s="1"/>
  <c r="U153" i="16" s="1"/>
  <c r="V149" i="16" s="1"/>
  <c r="V153" i="16" s="1"/>
  <c r="W149" i="16" s="1"/>
  <c r="W153" i="16" s="1"/>
  <c r="Y149" i="16" s="1"/>
  <c r="Y153" i="16" s="1"/>
  <c r="Z149" i="16" s="1"/>
  <c r="Z153" i="16" s="1"/>
  <c r="AA149" i="16" s="1"/>
  <c r="AA153" i="16" s="1"/>
  <c r="AB149" i="16" s="1"/>
  <c r="AB153" i="16" s="1"/>
  <c r="X149" i="16"/>
  <c r="X153" i="16" s="1"/>
  <c r="T206" i="16"/>
  <c r="U202" i="16" s="1"/>
  <c r="U206" i="16" s="1"/>
  <c r="V202" i="16" s="1"/>
  <c r="V206" i="16" s="1"/>
  <c r="W202" i="16" s="1"/>
  <c r="W206" i="16" s="1"/>
  <c r="Y202" i="16" s="1"/>
  <c r="Y206" i="16" s="1"/>
  <c r="Z202" i="16" s="1"/>
  <c r="Z206" i="16" s="1"/>
  <c r="AA202" i="16" s="1"/>
  <c r="AA206" i="16" s="1"/>
  <c r="AB202" i="16" s="1"/>
  <c r="AB206" i="16" s="1"/>
  <c r="X202" i="16"/>
  <c r="X206" i="16" s="1"/>
  <c r="M131" i="16"/>
  <c r="M135" i="16" s="1"/>
  <c r="L209" i="16"/>
  <c r="L23" i="22"/>
  <c r="J77" i="12"/>
  <c r="J92" i="12" s="1"/>
  <c r="K62" i="12"/>
  <c r="G48" i="16"/>
  <c r="G67" i="16" s="1"/>
  <c r="H83" i="8"/>
  <c r="I162" i="22"/>
  <c r="J159" i="22" s="1"/>
  <c r="I170" i="22"/>
  <c r="J18" i="7"/>
  <c r="I34" i="2"/>
  <c r="I41" i="2" s="1"/>
  <c r="L178" i="22"/>
  <c r="J23" i="2"/>
  <c r="K18" i="7" s="1"/>
  <c r="K24" i="2"/>
  <c r="J76" i="12"/>
  <c r="J91" i="12" s="1"/>
  <c r="K61" i="12"/>
  <c r="J42" i="12"/>
  <c r="J80" i="12"/>
  <c r="J95" i="12" s="1"/>
  <c r="K65" i="12"/>
  <c r="K63" i="12"/>
  <c r="S137" i="16"/>
  <c r="S141" i="16" s="1"/>
  <c r="O141" i="16"/>
  <c r="P137" i="16" s="1"/>
  <c r="P141" i="16" s="1"/>
  <c r="Q137" i="16" s="1"/>
  <c r="Q141" i="16" s="1"/>
  <c r="R137" i="16" s="1"/>
  <c r="R141" i="16" s="1"/>
  <c r="T137" i="16" s="1"/>
  <c r="M274" i="22"/>
  <c r="M256" i="22"/>
  <c r="M220" i="22"/>
  <c r="K23" i="22"/>
  <c r="M40" i="8"/>
  <c r="K46" i="16"/>
  <c r="O78" i="8"/>
  <c r="M63" i="16"/>
  <c r="J81" i="12"/>
  <c r="J96" i="12" s="1"/>
  <c r="K66" i="12"/>
  <c r="X43" i="2"/>
  <c r="J79" i="12"/>
  <c r="J94" i="12" s="1"/>
  <c r="K64" i="12"/>
  <c r="M57" i="8"/>
  <c r="L56" i="8"/>
  <c r="K57" i="16" s="1"/>
  <c r="Y42" i="2"/>
  <c r="Z42" i="2" s="1"/>
  <c r="K67" i="12"/>
  <c r="J82" i="12"/>
  <c r="J97" i="12" s="1"/>
  <c r="J83" i="12"/>
  <c r="J98" i="12" s="1"/>
  <c r="K68" i="12"/>
  <c r="J17" i="1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K14" i="1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K15" i="1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J75" i="12"/>
  <c r="J90" i="12" s="1"/>
  <c r="K60" i="12"/>
  <c r="J73" i="12"/>
  <c r="J88" i="12" s="1"/>
  <c r="K58" i="12"/>
  <c r="J72" i="12"/>
  <c r="J87" i="12" s="1"/>
  <c r="K57" i="12"/>
  <c r="J71" i="12"/>
  <c r="J86" i="12" s="1"/>
  <c r="K56" i="12"/>
  <c r="J74" i="12"/>
  <c r="J89" i="12" s="1"/>
  <c r="K59" i="12"/>
  <c r="K27" i="22"/>
  <c r="K22" i="22"/>
  <c r="L27" i="22"/>
  <c r="H11" i="16"/>
  <c r="I52" i="12"/>
  <c r="V44" i="2"/>
  <c r="W44" i="2"/>
  <c r="J51" i="12"/>
  <c r="L22" i="22"/>
  <c r="X97" i="11"/>
  <c r="K97" i="11"/>
  <c r="I16" i="11"/>
  <c r="J16" i="11" s="1"/>
  <c r="Q97" i="11"/>
  <c r="Y97" i="11"/>
  <c r="T97" i="11"/>
  <c r="M97" i="11"/>
  <c r="U97" i="11"/>
  <c r="O97" i="11"/>
  <c r="L97" i="11"/>
  <c r="W97" i="11"/>
  <c r="S97" i="11"/>
  <c r="R97" i="11"/>
  <c r="N97" i="11"/>
  <c r="P97" i="11"/>
  <c r="V97" i="11"/>
  <c r="Y76" i="22"/>
  <c r="Z76" i="22" s="1"/>
  <c r="AA76" i="22" s="1"/>
  <c r="AB76" i="22" s="1"/>
  <c r="AA80" i="22"/>
  <c r="AB80" i="22" s="1"/>
  <c r="AA75" i="22"/>
  <c r="AB75" i="22" s="1"/>
  <c r="V74" i="22"/>
  <c r="Q68" i="22"/>
  <c r="R68" i="22" s="1"/>
  <c r="O71" i="22"/>
  <c r="P71" i="22" s="1"/>
  <c r="M238" i="22"/>
  <c r="P70" i="22"/>
  <c r="AA78" i="22"/>
  <c r="AB78" i="22" s="1"/>
  <c r="P72" i="22"/>
  <c r="Q72" i="22" s="1"/>
  <c r="Q69" i="22"/>
  <c r="R69" i="22" s="1"/>
  <c r="S69" i="22" s="1"/>
  <c r="AA82" i="22"/>
  <c r="AB82" i="22" s="1"/>
  <c r="S73" i="22"/>
  <c r="Y77" i="22"/>
  <c r="Z79" i="22"/>
  <c r="AA79" i="22" s="1"/>
  <c r="AB79" i="22" s="1"/>
  <c r="AB81" i="22"/>
  <c r="H28" i="11"/>
  <c r="H117" i="11" s="1"/>
  <c r="H128" i="11" s="1"/>
  <c r="J111" i="16"/>
  <c r="H282" i="22"/>
  <c r="R30" i="8"/>
  <c r="G75" i="16"/>
  <c r="H75" i="16"/>
  <c r="L92" i="11"/>
  <c r="H14" i="6"/>
  <c r="H77" i="16"/>
  <c r="J39" i="8"/>
  <c r="I38" i="12"/>
  <c r="I37" i="12"/>
  <c r="N73" i="8"/>
  <c r="O131" i="16"/>
  <c r="M209" i="16"/>
  <c r="I83" i="8"/>
  <c r="M265" i="22"/>
  <c r="M266" i="22"/>
  <c r="N263" i="22" s="1"/>
  <c r="M275" i="22"/>
  <c r="M276" i="22"/>
  <c r="M38" i="8"/>
  <c r="I23" i="22"/>
  <c r="I27" i="22"/>
  <c r="H23" i="22"/>
  <c r="H27" i="22"/>
  <c r="J23" i="22"/>
  <c r="J27" i="22"/>
  <c r="V196" i="22"/>
  <c r="V198" i="22" s="1"/>
  <c r="V214" i="22"/>
  <c r="V216" i="22" s="1"/>
  <c r="V232" i="22"/>
  <c r="V234" i="22" s="1"/>
  <c r="V250" i="22"/>
  <c r="V252" i="22" s="1"/>
  <c r="V268" i="22"/>
  <c r="V270" i="22" s="1"/>
  <c r="M28" i="8"/>
  <c r="L39" i="16" s="1"/>
  <c r="M29" i="8"/>
  <c r="L40" i="16" s="1"/>
  <c r="I22" i="22"/>
  <c r="H22" i="22"/>
  <c r="J22" i="22"/>
  <c r="H128" i="22"/>
  <c r="G77" i="16"/>
  <c r="H154" i="22"/>
  <c r="D7" i="2"/>
  <c r="D7" i="11"/>
  <c r="D7" i="22" s="1"/>
  <c r="D7" i="6"/>
  <c r="E7" i="12"/>
  <c r="F7" i="7"/>
  <c r="F7" i="8"/>
  <c r="I7" i="11"/>
  <c r="I7" i="22" s="1"/>
  <c r="K7" i="2"/>
  <c r="K7" i="7"/>
  <c r="K7" i="8"/>
  <c r="I7" i="6"/>
  <c r="I7" i="15"/>
  <c r="J7" i="12"/>
  <c r="H269" i="22"/>
  <c r="H274" i="22" s="1"/>
  <c r="H251" i="22"/>
  <c r="H256" i="22" s="1"/>
  <c r="H233" i="22"/>
  <c r="H238" i="22" s="1"/>
  <c r="H215" i="22"/>
  <c r="H220" i="22" s="1"/>
  <c r="H197" i="22"/>
  <c r="I40" i="12"/>
  <c r="I39" i="12"/>
  <c r="M202" i="22"/>
  <c r="A167" i="22"/>
  <c r="A168" i="22" s="1"/>
  <c r="A169" i="22" s="1"/>
  <c r="A170" i="22" s="1"/>
  <c r="A171" i="22" s="1"/>
  <c r="A172" i="22" s="1"/>
  <c r="A173" i="22" s="1"/>
  <c r="A174" i="22" s="1"/>
  <c r="A175" i="22" s="1"/>
  <c r="A176" i="22" s="1"/>
  <c r="A177" i="22" s="1"/>
  <c r="A178" i="22" s="1"/>
  <c r="A179" i="22" s="1"/>
  <c r="A180" i="22" s="1"/>
  <c r="A181" i="22" s="1"/>
  <c r="A182" i="22" s="1"/>
  <c r="N34" i="22"/>
  <c r="N276" i="22" s="1"/>
  <c r="O33" i="22"/>
  <c r="M203" i="22"/>
  <c r="M221" i="22"/>
  <c r="M239" i="22"/>
  <c r="M257" i="22"/>
  <c r="M204" i="22"/>
  <c r="M222" i="22"/>
  <c r="M240" i="22"/>
  <c r="M258" i="22"/>
  <c r="M193" i="22"/>
  <c r="M211" i="22"/>
  <c r="M229" i="22"/>
  <c r="M247" i="22"/>
  <c r="M194" i="22"/>
  <c r="M212" i="22"/>
  <c r="N209" i="22" s="1"/>
  <c r="N220" i="22" s="1"/>
  <c r="M230" i="22"/>
  <c r="N227" i="22" s="1"/>
  <c r="N238" i="22" s="1"/>
  <c r="M248" i="22"/>
  <c r="N245" i="22" s="1"/>
  <c r="N203" i="22"/>
  <c r="N221" i="22"/>
  <c r="N239" i="22"/>
  <c r="N257" i="22"/>
  <c r="N204" i="22"/>
  <c r="N222" i="22"/>
  <c r="N240" i="22"/>
  <c r="N258" i="22"/>
  <c r="N193" i="22"/>
  <c r="N211" i="22"/>
  <c r="N229" i="22"/>
  <c r="N247" i="22"/>
  <c r="N253" i="22"/>
  <c r="N194" i="22"/>
  <c r="N212" i="22"/>
  <c r="O209" i="22" s="1"/>
  <c r="N230" i="22"/>
  <c r="O227" i="22" s="1"/>
  <c r="N248" i="22"/>
  <c r="O245" i="22" s="1"/>
  <c r="I146" i="22"/>
  <c r="L21" i="22" l="1"/>
  <c r="J162" i="22"/>
  <c r="K21" i="22"/>
  <c r="K77" i="12"/>
  <c r="K92" i="12" s="1"/>
  <c r="L62" i="12"/>
  <c r="M175" i="22"/>
  <c r="L186" i="22"/>
  <c r="M178" i="22"/>
  <c r="K23" i="2"/>
  <c r="L18" i="7" s="1"/>
  <c r="L24" i="2"/>
  <c r="K76" i="12"/>
  <c r="K91" i="12" s="1"/>
  <c r="L61" i="12"/>
  <c r="K42" i="12"/>
  <c r="K80" i="12"/>
  <c r="K95" i="12" s="1"/>
  <c r="L65" i="12"/>
  <c r="K78" i="12"/>
  <c r="K93" i="12" s="1"/>
  <c r="L63" i="12"/>
  <c r="I45" i="16"/>
  <c r="X137" i="16"/>
  <c r="X141" i="16" s="1"/>
  <c r="T141" i="16"/>
  <c r="U137" i="16" s="1"/>
  <c r="U141" i="16" s="1"/>
  <c r="V137" i="16" s="1"/>
  <c r="V141" i="16" s="1"/>
  <c r="W137" i="16" s="1"/>
  <c r="W141" i="16" s="1"/>
  <c r="Y137" i="16" s="1"/>
  <c r="Y141" i="16" s="1"/>
  <c r="Z137" i="16" s="1"/>
  <c r="Z141" i="16" s="1"/>
  <c r="AA137" i="16" s="1"/>
  <c r="AA141" i="16" s="1"/>
  <c r="AB137" i="16" s="1"/>
  <c r="AB141" i="16" s="1"/>
  <c r="P78" i="8"/>
  <c r="N63" i="16"/>
  <c r="N40" i="8"/>
  <c r="L46" i="16"/>
  <c r="L68" i="12"/>
  <c r="K83" i="12"/>
  <c r="K98" i="12" s="1"/>
  <c r="Y43" i="2"/>
  <c r="Y44" i="2" s="1"/>
  <c r="AA42" i="2"/>
  <c r="M56" i="8"/>
  <c r="L57" i="16" s="1"/>
  <c r="N57" i="8"/>
  <c r="K82" i="12"/>
  <c r="K97" i="12" s="1"/>
  <c r="L67" i="12"/>
  <c r="L64" i="12"/>
  <c r="K79" i="12"/>
  <c r="K94" i="12" s="1"/>
  <c r="Z43" i="2"/>
  <c r="K81" i="12"/>
  <c r="K96" i="12" s="1"/>
  <c r="L66" i="12"/>
  <c r="H130" i="11"/>
  <c r="H141" i="11" s="1"/>
  <c r="H37" i="11"/>
  <c r="I17" i="16" s="1"/>
  <c r="H115" i="11"/>
  <c r="K16" i="1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K74" i="12"/>
  <c r="K89" i="12" s="1"/>
  <c r="L59" i="12"/>
  <c r="K71" i="12"/>
  <c r="K86" i="12" s="1"/>
  <c r="L56" i="12"/>
  <c r="K72" i="12"/>
  <c r="K87" i="12" s="1"/>
  <c r="L57" i="12"/>
  <c r="K73" i="12"/>
  <c r="K88" i="12" s="1"/>
  <c r="L58" i="12"/>
  <c r="K75" i="12"/>
  <c r="K90" i="12" s="1"/>
  <c r="L60" i="12"/>
  <c r="H21" i="22"/>
  <c r="J52" i="12"/>
  <c r="X44" i="2"/>
  <c r="K51" i="12"/>
  <c r="J48" i="12"/>
  <c r="R72" i="22"/>
  <c r="S72" i="22" s="1"/>
  <c r="Q71" i="22"/>
  <c r="R71" i="22" s="1"/>
  <c r="J37" i="12"/>
  <c r="J39" i="12"/>
  <c r="J38" i="12"/>
  <c r="J40" i="12"/>
  <c r="J49" i="12"/>
  <c r="H28" i="22"/>
  <c r="H51" i="6" s="1"/>
  <c r="S68" i="22"/>
  <c r="T68" i="22" s="1"/>
  <c r="N275" i="22"/>
  <c r="N22" i="22" s="1"/>
  <c r="J21" i="22"/>
  <c r="I21" i="22"/>
  <c r="T69" i="22"/>
  <c r="U69" i="22" s="1"/>
  <c r="Z77" i="22"/>
  <c r="AA77" i="22" s="1"/>
  <c r="AB77" i="22" s="1"/>
  <c r="W74" i="22"/>
  <c r="T73" i="22"/>
  <c r="Q70" i="22"/>
  <c r="J44" i="7"/>
  <c r="H33" i="11"/>
  <c r="L35" i="8"/>
  <c r="S30" i="8"/>
  <c r="I154" i="22"/>
  <c r="I102" i="16"/>
  <c r="M92" i="11"/>
  <c r="N266" i="22"/>
  <c r="O263" i="22" s="1"/>
  <c r="O73" i="8"/>
  <c r="N265" i="22"/>
  <c r="S131" i="16"/>
  <c r="S135" i="16" s="1"/>
  <c r="S209" i="16" s="1"/>
  <c r="O135" i="16"/>
  <c r="N271" i="22"/>
  <c r="N274" i="22" s="1"/>
  <c r="I128" i="22"/>
  <c r="N29" i="8"/>
  <c r="M40" i="16" s="1"/>
  <c r="N28" i="8"/>
  <c r="M39" i="16" s="1"/>
  <c r="W196" i="22"/>
  <c r="W198" i="22" s="1"/>
  <c r="W214" i="22"/>
  <c r="W216" i="22" s="1"/>
  <c r="W232" i="22"/>
  <c r="W234" i="22" s="1"/>
  <c r="W250" i="22"/>
  <c r="W252" i="22" s="1"/>
  <c r="W268" i="22"/>
  <c r="W270" i="22" s="1"/>
  <c r="N38" i="8"/>
  <c r="J46" i="12"/>
  <c r="J7" i="11"/>
  <c r="J7" i="22" s="1"/>
  <c r="L7" i="2"/>
  <c r="L7" i="7"/>
  <c r="L7" i="8"/>
  <c r="J7" i="6"/>
  <c r="J7" i="15"/>
  <c r="K7" i="12"/>
  <c r="I269" i="22"/>
  <c r="I251" i="22"/>
  <c r="I233" i="22"/>
  <c r="I215" i="22"/>
  <c r="I197" i="22"/>
  <c r="D7" i="12"/>
  <c r="E7" i="7"/>
  <c r="E7" i="8"/>
  <c r="O191" i="22"/>
  <c r="N191" i="22"/>
  <c r="N202" i="22" s="1"/>
  <c r="A183" i="22"/>
  <c r="A184" i="22" s="1"/>
  <c r="A185" i="22" s="1"/>
  <c r="A186" i="22" s="1"/>
  <c r="A187" i="22" s="1"/>
  <c r="A188" i="22" s="1"/>
  <c r="A189" i="22" s="1"/>
  <c r="A190" i="22" s="1"/>
  <c r="A191" i="22" s="1"/>
  <c r="A192" i="22" s="1"/>
  <c r="A193" i="22" s="1"/>
  <c r="A194" i="22" s="1"/>
  <c r="A195" i="22" s="1"/>
  <c r="A196" i="22" s="1"/>
  <c r="A197" i="22" s="1"/>
  <c r="O199" i="22"/>
  <c r="O217" i="22" s="1"/>
  <c r="O235" i="22" s="1"/>
  <c r="O238" i="22" s="1"/>
  <c r="N23" i="22"/>
  <c r="N27" i="22"/>
  <c r="M23" i="22"/>
  <c r="M27" i="22"/>
  <c r="O34" i="22"/>
  <c r="O276" i="22" s="1"/>
  <c r="P33" i="22"/>
  <c r="N256" i="22"/>
  <c r="M22" i="22"/>
  <c r="J143" i="22"/>
  <c r="L112" i="16"/>
  <c r="L23" i="2" l="1"/>
  <c r="M18" i="7" s="1"/>
  <c r="M24" i="2"/>
  <c r="AA43" i="2"/>
  <c r="AB42" i="2"/>
  <c r="K159" i="22"/>
  <c r="J170" i="22"/>
  <c r="L77" i="12"/>
  <c r="L92" i="12" s="1"/>
  <c r="M62" i="12"/>
  <c r="L76" i="12"/>
  <c r="L91" i="12" s="1"/>
  <c r="M61" i="12"/>
  <c r="L42" i="12"/>
  <c r="L80" i="12"/>
  <c r="L95" i="12" s="1"/>
  <c r="M65" i="12"/>
  <c r="L78" i="12"/>
  <c r="L93" i="12" s="1"/>
  <c r="M63" i="12"/>
  <c r="N175" i="22"/>
  <c r="M186" i="22"/>
  <c r="N178" i="22"/>
  <c r="O275" i="22"/>
  <c r="O40" i="8"/>
  <c r="M46" i="16"/>
  <c r="Q78" i="8"/>
  <c r="O63" i="16"/>
  <c r="L81" i="12"/>
  <c r="L96" i="12" s="1"/>
  <c r="M66" i="12"/>
  <c r="L82" i="12"/>
  <c r="L97" i="12" s="1"/>
  <c r="M67" i="12"/>
  <c r="O57" i="8"/>
  <c r="N56" i="8"/>
  <c r="M57" i="16" s="1"/>
  <c r="L79" i="12"/>
  <c r="L94" i="12" s="1"/>
  <c r="M64" i="12"/>
  <c r="L83" i="12"/>
  <c r="L98" i="12" s="1"/>
  <c r="M68" i="12"/>
  <c r="I82" i="16"/>
  <c r="L75" i="12"/>
  <c r="L90" i="12" s="1"/>
  <c r="M60" i="12"/>
  <c r="L73" i="12"/>
  <c r="L88" i="12" s="1"/>
  <c r="M58" i="12"/>
  <c r="L72" i="12"/>
  <c r="L87" i="12" s="1"/>
  <c r="M57" i="12"/>
  <c r="L71" i="12"/>
  <c r="L86" i="12" s="1"/>
  <c r="M56" i="12"/>
  <c r="L74" i="12"/>
  <c r="L89" i="12" s="1"/>
  <c r="M59" i="12"/>
  <c r="K49" i="12"/>
  <c r="K48" i="12"/>
  <c r="K52" i="12"/>
  <c r="I138" i="22"/>
  <c r="J125" i="22"/>
  <c r="Z44" i="2"/>
  <c r="L51" i="12"/>
  <c r="I51" i="11"/>
  <c r="M21" i="22"/>
  <c r="N21" i="22"/>
  <c r="O266" i="22"/>
  <c r="P263" i="22" s="1"/>
  <c r="O265" i="22"/>
  <c r="H35" i="11"/>
  <c r="H32" i="11" s="1"/>
  <c r="H12" i="11"/>
  <c r="H10" i="11" s="1"/>
  <c r="J37" i="8" s="1"/>
  <c r="K40" i="12"/>
  <c r="K37" i="12"/>
  <c r="K38" i="12"/>
  <c r="K39" i="12"/>
  <c r="J50" i="12"/>
  <c r="U68" i="22"/>
  <c r="S71" i="22"/>
  <c r="T71" i="22" s="1"/>
  <c r="U71" i="22" s="1"/>
  <c r="V71" i="22" s="1"/>
  <c r="W71" i="22" s="1"/>
  <c r="U73" i="22"/>
  <c r="R70" i="22"/>
  <c r="T72" i="22"/>
  <c r="U72" i="22" s="1"/>
  <c r="V69" i="22"/>
  <c r="W69" i="22" s="1"/>
  <c r="X74" i="22"/>
  <c r="M35" i="8"/>
  <c r="T30" i="8"/>
  <c r="N92" i="11"/>
  <c r="O271" i="22"/>
  <c r="O274" i="22" s="1"/>
  <c r="P73" i="8"/>
  <c r="O209" i="16"/>
  <c r="P131" i="16"/>
  <c r="P135" i="16" s="1"/>
  <c r="O220" i="22"/>
  <c r="K46" i="12"/>
  <c r="O38" i="8"/>
  <c r="X196" i="22"/>
  <c r="X198" i="22" s="1"/>
  <c r="X214" i="22"/>
  <c r="X216" i="22" s="1"/>
  <c r="X232" i="22"/>
  <c r="X234" i="22" s="1"/>
  <c r="X250" i="22"/>
  <c r="X252" i="22" s="1"/>
  <c r="X268" i="22"/>
  <c r="X270" i="22" s="1"/>
  <c r="O28" i="8"/>
  <c r="N39" i="16" s="1"/>
  <c r="O29" i="8"/>
  <c r="N40" i="16" s="1"/>
  <c r="K7" i="11"/>
  <c r="K7" i="22" s="1"/>
  <c r="M7" i="2"/>
  <c r="M7" i="7"/>
  <c r="M7" i="8"/>
  <c r="K7" i="6"/>
  <c r="K7" i="15"/>
  <c r="L7" i="12"/>
  <c r="J269" i="22"/>
  <c r="J251" i="22"/>
  <c r="J233" i="22"/>
  <c r="J215" i="22"/>
  <c r="J197" i="22"/>
  <c r="O202" i="22"/>
  <c r="A198" i="22"/>
  <c r="A199" i="22" s="1"/>
  <c r="A200" i="22" s="1"/>
  <c r="A201" i="22" s="1"/>
  <c r="A202" i="22" s="1"/>
  <c r="A203" i="22" s="1"/>
  <c r="A204" i="22" s="1"/>
  <c r="A205" i="22" s="1"/>
  <c r="A206" i="22" s="1"/>
  <c r="A207" i="22" s="1"/>
  <c r="A208" i="22" s="1"/>
  <c r="A209" i="22" s="1"/>
  <c r="A210" i="22" s="1"/>
  <c r="A211" i="22" s="1"/>
  <c r="A212" i="22" s="1"/>
  <c r="A213" i="22" s="1"/>
  <c r="A214" i="22" s="1"/>
  <c r="A215" i="22" s="1"/>
  <c r="P199" i="22"/>
  <c r="P217" i="22" s="1"/>
  <c r="P235" i="22" s="1"/>
  <c r="P34" i="22"/>
  <c r="P276" i="22" s="1"/>
  <c r="Q33" i="22"/>
  <c r="P275" i="22"/>
  <c r="O203" i="22"/>
  <c r="O221" i="22"/>
  <c r="O239" i="22"/>
  <c r="O257" i="22"/>
  <c r="O204" i="22"/>
  <c r="O222" i="22"/>
  <c r="O240" i="22"/>
  <c r="O258" i="22"/>
  <c r="O193" i="22"/>
  <c r="O211" i="22"/>
  <c r="O229" i="22"/>
  <c r="O247" i="22"/>
  <c r="O253" i="22"/>
  <c r="O256" i="22" s="1"/>
  <c r="O194" i="22"/>
  <c r="O212" i="22"/>
  <c r="P209" i="22" s="1"/>
  <c r="O230" i="22"/>
  <c r="P227" i="22" s="1"/>
  <c r="O248" i="22"/>
  <c r="P245" i="22" s="1"/>
  <c r="J146" i="22"/>
  <c r="J154" i="22" s="1"/>
  <c r="H12" i="15"/>
  <c r="M112" i="16"/>
  <c r="M23" i="2" l="1"/>
  <c r="N18" i="7" s="1"/>
  <c r="N24" i="2"/>
  <c r="AC42" i="2"/>
  <c r="AC43" i="2" s="1"/>
  <c r="AB43" i="2"/>
  <c r="AB44" i="2" s="1"/>
  <c r="N63" i="12"/>
  <c r="M78" i="12"/>
  <c r="M93" i="12" s="1"/>
  <c r="M42" i="12"/>
  <c r="M76" i="12"/>
  <c r="M91" i="12" s="1"/>
  <c r="N61" i="12"/>
  <c r="M77" i="12"/>
  <c r="M92" i="12" s="1"/>
  <c r="N62" i="12"/>
  <c r="M80" i="12"/>
  <c r="M95" i="12" s="1"/>
  <c r="N65" i="12"/>
  <c r="K162" i="22"/>
  <c r="O175" i="22"/>
  <c r="N186" i="22"/>
  <c r="J34" i="8"/>
  <c r="P220" i="22"/>
  <c r="I44" i="16"/>
  <c r="R78" i="8"/>
  <c r="P63" i="16"/>
  <c r="P40" i="8"/>
  <c r="N46" i="16"/>
  <c r="N68" i="12"/>
  <c r="M83" i="12"/>
  <c r="M98" i="12" s="1"/>
  <c r="M79" i="12"/>
  <c r="M94" i="12" s="1"/>
  <c r="N64" i="12"/>
  <c r="M82" i="12"/>
  <c r="M97" i="12" s="1"/>
  <c r="N67" i="12"/>
  <c r="M81" i="12"/>
  <c r="M96" i="12" s="1"/>
  <c r="N66" i="12"/>
  <c r="P57" i="8"/>
  <c r="O56" i="8"/>
  <c r="N57" i="16" s="1"/>
  <c r="M74" i="12"/>
  <c r="M89" i="12" s="1"/>
  <c r="N59" i="12"/>
  <c r="M71" i="12"/>
  <c r="M86" i="12" s="1"/>
  <c r="N56" i="12"/>
  <c r="M72" i="12"/>
  <c r="M87" i="12" s="1"/>
  <c r="N57" i="12"/>
  <c r="M73" i="12"/>
  <c r="M88" i="12" s="1"/>
  <c r="N58" i="12"/>
  <c r="M75" i="12"/>
  <c r="M90" i="12" s="1"/>
  <c r="N60" i="12"/>
  <c r="L48" i="12"/>
  <c r="L49" i="12"/>
  <c r="K50" i="12"/>
  <c r="I79" i="11"/>
  <c r="I77" i="11" s="1"/>
  <c r="L52" i="12"/>
  <c r="AA44" i="2"/>
  <c r="M51" i="12"/>
  <c r="H36" i="6"/>
  <c r="H34" i="6" s="1"/>
  <c r="L39" i="12"/>
  <c r="L38" i="12"/>
  <c r="L37" i="12"/>
  <c r="L40" i="12"/>
  <c r="V68" i="22"/>
  <c r="W68" i="22" s="1"/>
  <c r="Y74" i="22"/>
  <c r="Z74" i="22" s="1"/>
  <c r="AA74" i="22" s="1"/>
  <c r="X71" i="22"/>
  <c r="Y71" i="22" s="1"/>
  <c r="Z71" i="22" s="1"/>
  <c r="X69" i="22"/>
  <c r="Y69" i="22" s="1"/>
  <c r="Z69" i="22" s="1"/>
  <c r="V73" i="22"/>
  <c r="W73" i="22" s="1"/>
  <c r="S70" i="22"/>
  <c r="V72" i="22"/>
  <c r="W72" i="22" s="1"/>
  <c r="X72" i="22" s="1"/>
  <c r="N35" i="8"/>
  <c r="P238" i="22"/>
  <c r="U30" i="8"/>
  <c r="O92" i="11"/>
  <c r="P266" i="22"/>
  <c r="Q263" i="22" s="1"/>
  <c r="Q73" i="8"/>
  <c r="P265" i="22"/>
  <c r="P209" i="16"/>
  <c r="Q131" i="16"/>
  <c r="Q135" i="16" s="1"/>
  <c r="P271" i="22"/>
  <c r="P274" i="22" s="1"/>
  <c r="J128" i="22"/>
  <c r="P29" i="8"/>
  <c r="O40" i="16" s="1"/>
  <c r="P28" i="8"/>
  <c r="O39" i="16" s="1"/>
  <c r="Y196" i="22"/>
  <c r="Y198" i="22" s="1"/>
  <c r="Y214" i="22"/>
  <c r="Y216" i="22" s="1"/>
  <c r="Y232" i="22"/>
  <c r="Y234" i="22" s="1"/>
  <c r="Y250" i="22"/>
  <c r="Y252" i="22" s="1"/>
  <c r="Y268" i="22"/>
  <c r="Y270" i="22" s="1"/>
  <c r="P38" i="8"/>
  <c r="L46" i="12"/>
  <c r="L7" i="11"/>
  <c r="L7" i="22" s="1"/>
  <c r="N7" i="2"/>
  <c r="N7" i="7"/>
  <c r="N7" i="8"/>
  <c r="L7" i="6"/>
  <c r="L7" i="15"/>
  <c r="M7" i="12"/>
  <c r="K269" i="22"/>
  <c r="K251" i="22"/>
  <c r="K233" i="22"/>
  <c r="K215" i="22"/>
  <c r="K197" i="22"/>
  <c r="P191" i="22"/>
  <c r="P202" i="22" s="1"/>
  <c r="A216" i="22"/>
  <c r="A217" i="22" s="1"/>
  <c r="A218" i="22" s="1"/>
  <c r="A219" i="22" s="1"/>
  <c r="A220" i="22" s="1"/>
  <c r="A221" i="22" s="1"/>
  <c r="A222" i="22" s="1"/>
  <c r="A223" i="22" s="1"/>
  <c r="A224" i="22" s="1"/>
  <c r="A225" i="22" s="1"/>
  <c r="A226" i="22" s="1"/>
  <c r="A227" i="22" s="1"/>
  <c r="A228" i="22" s="1"/>
  <c r="A229" i="22" s="1"/>
  <c r="A230" i="22" s="1"/>
  <c r="A231" i="22" s="1"/>
  <c r="A232" i="22" s="1"/>
  <c r="A233" i="22" s="1"/>
  <c r="Q199" i="22"/>
  <c r="Q217" i="22" s="1"/>
  <c r="Q235" i="22" s="1"/>
  <c r="O23" i="22"/>
  <c r="O27" i="22"/>
  <c r="Q34" i="22"/>
  <c r="Q276" i="22" s="1"/>
  <c r="R33" i="22"/>
  <c r="P203" i="22"/>
  <c r="P221" i="22"/>
  <c r="P239" i="22"/>
  <c r="P257" i="22"/>
  <c r="P204" i="22"/>
  <c r="P222" i="22"/>
  <c r="P240" i="22"/>
  <c r="P258" i="22"/>
  <c r="P193" i="22"/>
  <c r="P211" i="22"/>
  <c r="P229" i="22"/>
  <c r="P247" i="22"/>
  <c r="P253" i="22"/>
  <c r="P256" i="22" s="1"/>
  <c r="P194" i="22"/>
  <c r="P212" i="22"/>
  <c r="Q209" i="22" s="1"/>
  <c r="P230" i="22"/>
  <c r="Q227" i="22" s="1"/>
  <c r="P248" i="22"/>
  <c r="Q245" i="22" s="1"/>
  <c r="O22" i="22"/>
  <c r="K143" i="22"/>
  <c r="N112" i="16"/>
  <c r="N23" i="2" l="1"/>
  <c r="O18" i="7" s="1"/>
  <c r="O24" i="2"/>
  <c r="N78" i="12"/>
  <c r="N93" i="12" s="1"/>
  <c r="O63" i="12"/>
  <c r="N76" i="12"/>
  <c r="N91" i="12" s="1"/>
  <c r="O61" i="12"/>
  <c r="N42" i="12"/>
  <c r="N77" i="12"/>
  <c r="N92" i="12" s="1"/>
  <c r="O62" i="12"/>
  <c r="N80" i="12"/>
  <c r="N95" i="12" s="1"/>
  <c r="O65" i="12"/>
  <c r="L159" i="22"/>
  <c r="K170" i="22"/>
  <c r="O178" i="22"/>
  <c r="Q275" i="22"/>
  <c r="Q40" i="8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O46" i="16"/>
  <c r="S78" i="8"/>
  <c r="Q63" i="16"/>
  <c r="O66" i="12"/>
  <c r="N81" i="12"/>
  <c r="N96" i="12" s="1"/>
  <c r="N82" i="12"/>
  <c r="N97" i="12" s="1"/>
  <c r="O67" i="12"/>
  <c r="N79" i="12"/>
  <c r="N94" i="12" s="1"/>
  <c r="O64" i="12"/>
  <c r="Q57" i="8"/>
  <c r="P56" i="8"/>
  <c r="O57" i="16" s="1"/>
  <c r="N83" i="12"/>
  <c r="N98" i="12" s="1"/>
  <c r="O68" i="12"/>
  <c r="N75" i="12"/>
  <c r="N90" i="12" s="1"/>
  <c r="O60" i="12"/>
  <c r="N73" i="12"/>
  <c r="N88" i="12" s="1"/>
  <c r="O58" i="12"/>
  <c r="N72" i="12"/>
  <c r="N87" i="12" s="1"/>
  <c r="O57" i="12"/>
  <c r="N71" i="12"/>
  <c r="N86" i="12" s="1"/>
  <c r="O56" i="12"/>
  <c r="N74" i="12"/>
  <c r="N89" i="12" s="1"/>
  <c r="O59" i="12"/>
  <c r="M49" i="12"/>
  <c r="M48" i="12"/>
  <c r="M52" i="12"/>
  <c r="AC44" i="2"/>
  <c r="I43" i="16"/>
  <c r="M37" i="12"/>
  <c r="O21" i="22"/>
  <c r="Q266" i="22"/>
  <c r="R263" i="22" s="1"/>
  <c r="N51" i="12"/>
  <c r="Q220" i="22"/>
  <c r="I109" i="16"/>
  <c r="I113" i="16"/>
  <c r="Q265" i="22"/>
  <c r="Q238" i="22"/>
  <c r="M40" i="12"/>
  <c r="M38" i="12"/>
  <c r="M39" i="12"/>
  <c r="L50" i="12"/>
  <c r="X73" i="22"/>
  <c r="Y73" i="22" s="1"/>
  <c r="X68" i="22"/>
  <c r="AA69" i="22"/>
  <c r="AB69" i="22" s="1"/>
  <c r="AA71" i="22"/>
  <c r="AB71" i="22" s="1"/>
  <c r="T70" i="22"/>
  <c r="U70" i="22" s="1"/>
  <c r="V70" i="22" s="1"/>
  <c r="W70" i="22" s="1"/>
  <c r="X70" i="22" s="1"/>
  <c r="Y70" i="22" s="1"/>
  <c r="Z70" i="22" s="1"/>
  <c r="AA70" i="22" s="1"/>
  <c r="AB70" i="22" s="1"/>
  <c r="AB74" i="22"/>
  <c r="Y72" i="22"/>
  <c r="Z72" i="22" s="1"/>
  <c r="AA72" i="22" s="1"/>
  <c r="J138" i="22"/>
  <c r="K125" i="22"/>
  <c r="O35" i="8"/>
  <c r="Q271" i="22"/>
  <c r="Q274" i="22" s="1"/>
  <c r="V30" i="8"/>
  <c r="P92" i="11"/>
  <c r="R73" i="8"/>
  <c r="P61" i="16"/>
  <c r="R131" i="16"/>
  <c r="R135" i="16" s="1"/>
  <c r="Q209" i="16"/>
  <c r="M46" i="12"/>
  <c r="Q38" i="8"/>
  <c r="Z196" i="22"/>
  <c r="Z198" i="22" s="1"/>
  <c r="Z214" i="22"/>
  <c r="Z216" i="22" s="1"/>
  <c r="Z232" i="22"/>
  <c r="Z234" i="22" s="1"/>
  <c r="Z250" i="22"/>
  <c r="Z252" i="22" s="1"/>
  <c r="Z268" i="22"/>
  <c r="Z270" i="22" s="1"/>
  <c r="Q28" i="8"/>
  <c r="P39" i="16" s="1"/>
  <c r="Q29" i="8"/>
  <c r="M7" i="11"/>
  <c r="M7" i="22" s="1"/>
  <c r="O7" i="2"/>
  <c r="O7" i="7"/>
  <c r="O7" i="8"/>
  <c r="M7" i="6"/>
  <c r="M7" i="15"/>
  <c r="N7" i="12"/>
  <c r="L269" i="22"/>
  <c r="L251" i="22"/>
  <c r="L233" i="22"/>
  <c r="L215" i="22"/>
  <c r="L197" i="22"/>
  <c r="Q191" i="22"/>
  <c r="Q202" i="22" s="1"/>
  <c r="J10" i="7"/>
  <c r="I71" i="16" s="1"/>
  <c r="A234" i="22"/>
  <c r="A235" i="22" s="1"/>
  <c r="A236" i="22" s="1"/>
  <c r="A237" i="22" s="1"/>
  <c r="A238" i="22" s="1"/>
  <c r="A239" i="22" s="1"/>
  <c r="A240" i="22" s="1"/>
  <c r="A241" i="22" s="1"/>
  <c r="A242" i="22" s="1"/>
  <c r="A243" i="22" s="1"/>
  <c r="A244" i="22" s="1"/>
  <c r="A245" i="22" s="1"/>
  <c r="A246" i="22" s="1"/>
  <c r="A247" i="22" s="1"/>
  <c r="A248" i="22" s="1"/>
  <c r="A249" i="22" s="1"/>
  <c r="A250" i="22" s="1"/>
  <c r="A251" i="22" s="1"/>
  <c r="R199" i="22"/>
  <c r="R217" i="22" s="1"/>
  <c r="R235" i="22" s="1"/>
  <c r="P23" i="22"/>
  <c r="P27" i="22"/>
  <c r="R34" i="22"/>
  <c r="R276" i="22" s="1"/>
  <c r="S33" i="22"/>
  <c r="Q203" i="22"/>
  <c r="Q221" i="22"/>
  <c r="Q239" i="22"/>
  <c r="Q257" i="22"/>
  <c r="Q204" i="22"/>
  <c r="Q222" i="22"/>
  <c r="Q240" i="22"/>
  <c r="Q258" i="22"/>
  <c r="Q193" i="22"/>
  <c r="Q211" i="22"/>
  <c r="Q229" i="22"/>
  <c r="Q247" i="22"/>
  <c r="Q253" i="22"/>
  <c r="Q256" i="22" s="1"/>
  <c r="Q194" i="22"/>
  <c r="Q212" i="22"/>
  <c r="R209" i="22" s="1"/>
  <c r="Q230" i="22"/>
  <c r="R227" i="22" s="1"/>
  <c r="Q248" i="22"/>
  <c r="R245" i="22" s="1"/>
  <c r="P22" i="22"/>
  <c r="K146" i="22"/>
  <c r="K154" i="22" s="1"/>
  <c r="O112" i="16"/>
  <c r="I12" i="15"/>
  <c r="O78" i="12" l="1"/>
  <c r="O93" i="12" s="1"/>
  <c r="P63" i="12"/>
  <c r="O42" i="12"/>
  <c r="O76" i="12"/>
  <c r="O91" i="12" s="1"/>
  <c r="P61" i="12"/>
  <c r="O77" i="12"/>
  <c r="O92" i="12" s="1"/>
  <c r="P62" i="12"/>
  <c r="O80" i="12"/>
  <c r="O95" i="12" s="1"/>
  <c r="P65" i="12"/>
  <c r="O23" i="2"/>
  <c r="P18" i="7" s="1"/>
  <c r="P24" i="2"/>
  <c r="P175" i="22"/>
  <c r="O186" i="22"/>
  <c r="L162" i="22"/>
  <c r="M159" i="22" s="1"/>
  <c r="L170" i="22"/>
  <c r="P178" i="22"/>
  <c r="R238" i="22"/>
  <c r="P21" i="22"/>
  <c r="Z73" i="22"/>
  <c r="AA73" i="22" s="1"/>
  <c r="AB73" i="22" s="1"/>
  <c r="R275" i="22"/>
  <c r="T78" i="8"/>
  <c r="R63" i="16"/>
  <c r="O83" i="12"/>
  <c r="O98" i="12" s="1"/>
  <c r="P68" i="12"/>
  <c r="O79" i="12"/>
  <c r="O94" i="12" s="1"/>
  <c r="P64" i="12"/>
  <c r="P67" i="12"/>
  <c r="O82" i="12"/>
  <c r="O97" i="12" s="1"/>
  <c r="R57" i="8"/>
  <c r="Q56" i="8"/>
  <c r="P66" i="12"/>
  <c r="O81" i="12"/>
  <c r="O96" i="12" s="1"/>
  <c r="O74" i="12"/>
  <c r="O89" i="12" s="1"/>
  <c r="P59" i="12"/>
  <c r="O71" i="12"/>
  <c r="O86" i="12" s="1"/>
  <c r="P56" i="12"/>
  <c r="O72" i="12"/>
  <c r="O87" i="12" s="1"/>
  <c r="P57" i="12"/>
  <c r="O73" i="12"/>
  <c r="O88" i="12" s="1"/>
  <c r="P58" i="12"/>
  <c r="O75" i="12"/>
  <c r="O90" i="12" s="1"/>
  <c r="P60" i="12"/>
  <c r="N48" i="12"/>
  <c r="M50" i="12"/>
  <c r="N50" i="12" s="1"/>
  <c r="N49" i="12"/>
  <c r="N52" i="12"/>
  <c r="O51" i="12"/>
  <c r="R266" i="22"/>
  <c r="S263" i="22" s="1"/>
  <c r="R220" i="22"/>
  <c r="O49" i="12"/>
  <c r="R265" i="22"/>
  <c r="N39" i="12"/>
  <c r="N38" i="12"/>
  <c r="N37" i="12"/>
  <c r="N40" i="12"/>
  <c r="Y68" i="22"/>
  <c r="Z68" i="22" s="1"/>
  <c r="AA68" i="22" s="1"/>
  <c r="R271" i="22"/>
  <c r="R274" i="22" s="1"/>
  <c r="AB72" i="22"/>
  <c r="P35" i="8"/>
  <c r="W30" i="8"/>
  <c r="Q92" i="11"/>
  <c r="S73" i="8"/>
  <c r="Q61" i="16"/>
  <c r="T131" i="16"/>
  <c r="R209" i="16"/>
  <c r="K128" i="22"/>
  <c r="K138" i="22" s="1"/>
  <c r="P42" i="16"/>
  <c r="R29" i="8"/>
  <c r="R28" i="8"/>
  <c r="Q39" i="16" s="1"/>
  <c r="AA196" i="22"/>
  <c r="AA198" i="22" s="1"/>
  <c r="AA214" i="22"/>
  <c r="AA216" i="22" s="1"/>
  <c r="AA232" i="22"/>
  <c r="AA234" i="22" s="1"/>
  <c r="AA250" i="22"/>
  <c r="AA252" i="22" s="1"/>
  <c r="AA268" i="22"/>
  <c r="AA270" i="22" s="1"/>
  <c r="R38" i="8"/>
  <c r="P45" i="16"/>
  <c r="N46" i="12"/>
  <c r="N7" i="11"/>
  <c r="N7" i="22" s="1"/>
  <c r="P7" i="2"/>
  <c r="P7" i="7"/>
  <c r="P7" i="8"/>
  <c r="N7" i="6"/>
  <c r="N7" i="15"/>
  <c r="O7" i="12"/>
  <c r="M269" i="22"/>
  <c r="M251" i="22"/>
  <c r="M233" i="22"/>
  <c r="M215" i="22"/>
  <c r="M197" i="22"/>
  <c r="R191" i="22"/>
  <c r="R202" i="22" s="1"/>
  <c r="K10" i="7"/>
  <c r="J71" i="16" s="1"/>
  <c r="H39" i="15"/>
  <c r="H40" i="15" s="1"/>
  <c r="I36" i="15" s="1"/>
  <c r="A252" i="22"/>
  <c r="A253" i="22" s="1"/>
  <c r="A254" i="22" s="1"/>
  <c r="A255" i="22" s="1"/>
  <c r="A256" i="22" s="1"/>
  <c r="A257" i="22" s="1"/>
  <c r="A258" i="22" s="1"/>
  <c r="A259" i="22" s="1"/>
  <c r="A260" i="22" s="1"/>
  <c r="A261" i="22" s="1"/>
  <c r="A262" i="22" s="1"/>
  <c r="A263" i="22" s="1"/>
  <c r="A264" i="22" s="1"/>
  <c r="A265" i="22" s="1"/>
  <c r="A266" i="22" s="1"/>
  <c r="A267" i="22" s="1"/>
  <c r="A268" i="22" s="1"/>
  <c r="A269" i="22" s="1"/>
  <c r="S199" i="22"/>
  <c r="S217" i="22" s="1"/>
  <c r="S235" i="22" s="1"/>
  <c r="Q23" i="22"/>
  <c r="Q27" i="22"/>
  <c r="S34" i="22"/>
  <c r="S275" i="22" s="1"/>
  <c r="T33" i="22"/>
  <c r="R203" i="22"/>
  <c r="R221" i="22"/>
  <c r="R239" i="22"/>
  <c r="R257" i="22"/>
  <c r="R204" i="22"/>
  <c r="R222" i="22"/>
  <c r="R240" i="22"/>
  <c r="R258" i="22"/>
  <c r="R193" i="22"/>
  <c r="R211" i="22"/>
  <c r="R229" i="22"/>
  <c r="R247" i="22"/>
  <c r="R253" i="22"/>
  <c r="R256" i="22" s="1"/>
  <c r="R194" i="22"/>
  <c r="R212" i="22"/>
  <c r="S209" i="22" s="1"/>
  <c r="R230" i="22"/>
  <c r="S227" i="22" s="1"/>
  <c r="R248" i="22"/>
  <c r="S245" i="22" s="1"/>
  <c r="Q22" i="22"/>
  <c r="J12" i="15"/>
  <c r="P112" i="16"/>
  <c r="L143" i="22"/>
  <c r="P78" i="12" l="1"/>
  <c r="P93" i="12" s="1"/>
  <c r="Q63" i="12"/>
  <c r="P76" i="12"/>
  <c r="P91" i="12" s="1"/>
  <c r="Q61" i="12"/>
  <c r="P42" i="12"/>
  <c r="P77" i="12"/>
  <c r="P92" i="12" s="1"/>
  <c r="Q62" i="12"/>
  <c r="P80" i="12"/>
  <c r="P95" i="12" s="1"/>
  <c r="Q65" i="12"/>
  <c r="P23" i="2"/>
  <c r="Q18" i="7" s="1"/>
  <c r="Q24" i="2"/>
  <c r="R24" i="2" s="1"/>
  <c r="M162" i="22"/>
  <c r="Q21" i="22"/>
  <c r="Q175" i="22"/>
  <c r="P186" i="22"/>
  <c r="Q178" i="22"/>
  <c r="S271" i="22"/>
  <c r="S274" i="22" s="1"/>
  <c r="U78" i="8"/>
  <c r="S63" i="16"/>
  <c r="Q64" i="12"/>
  <c r="P79" i="12"/>
  <c r="P94" i="12" s="1"/>
  <c r="P83" i="12"/>
  <c r="P98" i="12" s="1"/>
  <c r="Q68" i="12"/>
  <c r="P81" i="12"/>
  <c r="P96" i="12" s="1"/>
  <c r="Q66" i="12"/>
  <c r="S57" i="8"/>
  <c r="R56" i="8"/>
  <c r="Q67" i="12"/>
  <c r="P82" i="12"/>
  <c r="P97" i="12" s="1"/>
  <c r="P75" i="12"/>
  <c r="P90" i="12" s="1"/>
  <c r="Q60" i="12"/>
  <c r="P73" i="12"/>
  <c r="P88" i="12" s="1"/>
  <c r="Q58" i="12"/>
  <c r="P72" i="12"/>
  <c r="P87" i="12" s="1"/>
  <c r="Q57" i="12"/>
  <c r="P71" i="12"/>
  <c r="P86" i="12" s="1"/>
  <c r="Q56" i="12"/>
  <c r="P74" i="12"/>
  <c r="P89" i="12" s="1"/>
  <c r="Q59" i="12"/>
  <c r="O48" i="12"/>
  <c r="O52" i="12"/>
  <c r="P51" i="12"/>
  <c r="AB68" i="22"/>
  <c r="S265" i="22"/>
  <c r="P49" i="12"/>
  <c r="S220" i="22"/>
  <c r="O40" i="12"/>
  <c r="O37" i="12"/>
  <c r="O38" i="12"/>
  <c r="O39" i="12"/>
  <c r="S266" i="22"/>
  <c r="T263" i="22" s="1"/>
  <c r="S276" i="22"/>
  <c r="L125" i="22"/>
  <c r="Q35" i="8"/>
  <c r="O50" i="12"/>
  <c r="X30" i="8"/>
  <c r="R92" i="11"/>
  <c r="S238" i="22"/>
  <c r="T73" i="8"/>
  <c r="R61" i="16"/>
  <c r="X131" i="16"/>
  <c r="X135" i="16" s="1"/>
  <c r="X209" i="16" s="1"/>
  <c r="T135" i="16"/>
  <c r="O46" i="12"/>
  <c r="S38" i="8"/>
  <c r="Q45" i="16"/>
  <c r="AB196" i="22"/>
  <c r="AB198" i="22" s="1"/>
  <c r="AB214" i="22"/>
  <c r="AB216" i="22" s="1"/>
  <c r="AB232" i="22"/>
  <c r="AB234" i="22" s="1"/>
  <c r="AB250" i="22"/>
  <c r="AB252" i="22" s="1"/>
  <c r="AB268" i="22"/>
  <c r="AB270" i="22" s="1"/>
  <c r="S28" i="8"/>
  <c r="R39" i="16" s="1"/>
  <c r="Q42" i="16"/>
  <c r="S29" i="8"/>
  <c r="O7" i="11"/>
  <c r="O7" i="22" s="1"/>
  <c r="Q7" i="2"/>
  <c r="Q7" i="7"/>
  <c r="Q7" i="8"/>
  <c r="O7" i="6"/>
  <c r="O7" i="15"/>
  <c r="P7" i="12"/>
  <c r="N269" i="22"/>
  <c r="N251" i="22"/>
  <c r="N233" i="22"/>
  <c r="N215" i="22"/>
  <c r="N197" i="22"/>
  <c r="S191" i="22"/>
  <c r="S202" i="22" s="1"/>
  <c r="L10" i="7"/>
  <c r="K71" i="16" s="1"/>
  <c r="I39" i="15"/>
  <c r="I40" i="15" s="1"/>
  <c r="J36" i="15" s="1"/>
  <c r="A270" i="22"/>
  <c r="A271" i="22" s="1"/>
  <c r="A272" i="22" s="1"/>
  <c r="A273" i="22" s="1"/>
  <c r="A274" i="22" s="1"/>
  <c r="A275" i="22" s="1"/>
  <c r="A276" i="22" s="1"/>
  <c r="A277" i="22" s="1"/>
  <c r="A278" i="22" s="1"/>
  <c r="A279" i="22" s="1"/>
  <c r="A280" i="22" s="1"/>
  <c r="A281" i="22" s="1"/>
  <c r="A282" i="22" s="1"/>
  <c r="A283" i="22" s="1"/>
  <c r="A284" i="22" s="1"/>
  <c r="A285" i="22" s="1"/>
  <c r="A286" i="22" s="1"/>
  <c r="A287" i="22" s="1"/>
  <c r="A288" i="22" s="1"/>
  <c r="A289" i="22" s="1"/>
  <c r="A290" i="22" s="1"/>
  <c r="A291" i="22" s="1"/>
  <c r="A292" i="22" s="1"/>
  <c r="A293" i="22" s="1"/>
  <c r="A294" i="22" s="1"/>
  <c r="A295" i="22" s="1"/>
  <c r="A296" i="22" s="1"/>
  <c r="A297" i="22" s="1"/>
  <c r="A298" i="22" s="1"/>
  <c r="A299" i="22" s="1"/>
  <c r="A300" i="22" s="1"/>
  <c r="A301" i="22" s="1"/>
  <c r="A302" i="22" s="1"/>
  <c r="A303" i="22" s="1"/>
  <c r="A304" i="22" s="1"/>
  <c r="A305" i="22" s="1"/>
  <c r="A306" i="22" s="1"/>
  <c r="A307" i="22" s="1"/>
  <c r="A308" i="22" s="1"/>
  <c r="A309" i="22" s="1"/>
  <c r="A310" i="22" s="1"/>
  <c r="A311" i="22" s="1"/>
  <c r="A312" i="22" s="1"/>
  <c r="A313" i="22" s="1"/>
  <c r="A314" i="22" s="1"/>
  <c r="A315" i="22" s="1"/>
  <c r="A316" i="22" s="1"/>
  <c r="A317" i="22" s="1"/>
  <c r="A318" i="22" s="1"/>
  <c r="A319" i="22" s="1"/>
  <c r="A320" i="22" s="1"/>
  <c r="A321" i="22" s="1"/>
  <c r="A322" i="22" s="1"/>
  <c r="A323" i="22" s="1"/>
  <c r="A324" i="22" s="1"/>
  <c r="A325" i="22" s="1"/>
  <c r="A326" i="22" s="1"/>
  <c r="A329" i="22" s="1"/>
  <c r="A330" i="22" s="1"/>
  <c r="A331" i="22" s="1"/>
  <c r="A332" i="22" s="1"/>
  <c r="A333" i="22" s="1"/>
  <c r="A334" i="22" s="1"/>
  <c r="A335" i="22" s="1"/>
  <c r="T199" i="22"/>
  <c r="T217" i="22" s="1"/>
  <c r="T235" i="22" s="1"/>
  <c r="R23" i="22"/>
  <c r="R27" i="22"/>
  <c r="T34" i="22"/>
  <c r="T275" i="22" s="1"/>
  <c r="U33" i="22"/>
  <c r="S253" i="22"/>
  <c r="S256" i="22" s="1"/>
  <c r="S203" i="22"/>
  <c r="S221" i="22"/>
  <c r="S239" i="22"/>
  <c r="S257" i="22"/>
  <c r="S204" i="22"/>
  <c r="S222" i="22"/>
  <c r="S240" i="22"/>
  <c r="S258" i="22"/>
  <c r="S193" i="22"/>
  <c r="S211" i="22"/>
  <c r="S229" i="22"/>
  <c r="S247" i="22"/>
  <c r="S248" i="22"/>
  <c r="T245" i="22" s="1"/>
  <c r="S230" i="22"/>
  <c r="T227" i="22" s="1"/>
  <c r="S212" i="22"/>
  <c r="T209" i="22" s="1"/>
  <c r="S194" i="22"/>
  <c r="R22" i="22"/>
  <c r="L146" i="22"/>
  <c r="L154" i="22" s="1"/>
  <c r="K12" i="15"/>
  <c r="Q112" i="16"/>
  <c r="T238" i="22" l="1"/>
  <c r="N159" i="22"/>
  <c r="N162" i="22" s="1"/>
  <c r="M170" i="22"/>
  <c r="Q78" i="12"/>
  <c r="Q93" i="12" s="1"/>
  <c r="R63" i="12"/>
  <c r="Q76" i="12"/>
  <c r="Q91" i="12" s="1"/>
  <c r="R61" i="12"/>
  <c r="Q42" i="12"/>
  <c r="Q77" i="12"/>
  <c r="Q92" i="12" s="1"/>
  <c r="R62" i="12"/>
  <c r="Q80" i="12"/>
  <c r="Q95" i="12" s="1"/>
  <c r="R65" i="12"/>
  <c r="R175" i="22"/>
  <c r="Q186" i="22"/>
  <c r="R178" i="22"/>
  <c r="R21" i="22"/>
  <c r="T271" i="22"/>
  <c r="T274" i="22" s="1"/>
  <c r="V78" i="8"/>
  <c r="T63" i="16"/>
  <c r="R67" i="12"/>
  <c r="Q82" i="12"/>
  <c r="Q97" i="12" s="1"/>
  <c r="T57" i="8"/>
  <c r="S56" i="8"/>
  <c r="R68" i="12"/>
  <c r="Q83" i="12"/>
  <c r="Q98" i="12" s="1"/>
  <c r="Q81" i="12"/>
  <c r="Q96" i="12" s="1"/>
  <c r="R66" i="12"/>
  <c r="Q79" i="12"/>
  <c r="Q94" i="12" s="1"/>
  <c r="R64" i="12"/>
  <c r="Q74" i="12"/>
  <c r="Q89" i="12" s="1"/>
  <c r="R59" i="12"/>
  <c r="Q71" i="12"/>
  <c r="Q86" i="12" s="1"/>
  <c r="R56" i="12"/>
  <c r="Q72" i="12"/>
  <c r="Q87" i="12" s="1"/>
  <c r="R57" i="12"/>
  <c r="Q73" i="12"/>
  <c r="Q88" i="12" s="1"/>
  <c r="R58" i="12"/>
  <c r="Q75" i="12"/>
  <c r="Q90" i="12" s="1"/>
  <c r="R60" i="12"/>
  <c r="P48" i="12"/>
  <c r="P52" i="12"/>
  <c r="Q51" i="12"/>
  <c r="T220" i="22"/>
  <c r="Q49" i="12"/>
  <c r="P39" i="12"/>
  <c r="P38" i="12"/>
  <c r="P37" i="12"/>
  <c r="P40" i="12"/>
  <c r="R35" i="8"/>
  <c r="Y30" i="8"/>
  <c r="S24" i="2"/>
  <c r="S92" i="11"/>
  <c r="T266" i="22"/>
  <c r="U263" i="22" s="1"/>
  <c r="U73" i="8"/>
  <c r="S61" i="16"/>
  <c r="T276" i="22"/>
  <c r="T209" i="16"/>
  <c r="U131" i="16"/>
  <c r="U135" i="16" s="1"/>
  <c r="T265" i="22"/>
  <c r="L128" i="22"/>
  <c r="L138" i="22" s="1"/>
  <c r="R42" i="16"/>
  <c r="T29" i="8"/>
  <c r="T28" i="8"/>
  <c r="S39" i="16" s="1"/>
  <c r="T38" i="8"/>
  <c r="R45" i="16"/>
  <c r="P46" i="12"/>
  <c r="P7" i="11"/>
  <c r="P7" i="22" s="1"/>
  <c r="R7" i="2"/>
  <c r="R7" i="7"/>
  <c r="R7" i="8"/>
  <c r="P7" i="6"/>
  <c r="P7" i="15"/>
  <c r="Q7" i="12"/>
  <c r="O269" i="22"/>
  <c r="O251" i="22"/>
  <c r="O233" i="22"/>
  <c r="O215" i="22"/>
  <c r="O197" i="22"/>
  <c r="T191" i="22"/>
  <c r="T202" i="22" s="1"/>
  <c r="M10" i="7"/>
  <c r="L71" i="16" s="1"/>
  <c r="J39" i="15"/>
  <c r="J40" i="15" s="1"/>
  <c r="K36" i="15" s="1"/>
  <c r="A336" i="22"/>
  <c r="A337" i="22" s="1"/>
  <c r="A338" i="22" s="1"/>
  <c r="A339" i="22" s="1"/>
  <c r="A340" i="22" s="1"/>
  <c r="U199" i="22"/>
  <c r="U217" i="22" s="1"/>
  <c r="U235" i="22" s="1"/>
  <c r="S23" i="22"/>
  <c r="S27" i="22"/>
  <c r="U34" i="22"/>
  <c r="U275" i="22" s="1"/>
  <c r="V33" i="22"/>
  <c r="T253" i="22"/>
  <c r="T256" i="22" s="1"/>
  <c r="T203" i="22"/>
  <c r="T221" i="22"/>
  <c r="T239" i="22"/>
  <c r="T257" i="22"/>
  <c r="T204" i="22"/>
  <c r="T222" i="22"/>
  <c r="T240" i="22"/>
  <c r="T258" i="22"/>
  <c r="T193" i="22"/>
  <c r="T211" i="22"/>
  <c r="T229" i="22"/>
  <c r="T247" i="22"/>
  <c r="T248" i="22"/>
  <c r="U245" i="22" s="1"/>
  <c r="T230" i="22"/>
  <c r="U227" i="22" s="1"/>
  <c r="T212" i="22"/>
  <c r="U209" i="22" s="1"/>
  <c r="T194" i="22"/>
  <c r="S22" i="22"/>
  <c r="L12" i="15"/>
  <c r="R112" i="16"/>
  <c r="M143" i="22"/>
  <c r="R78" i="12" l="1"/>
  <c r="R93" i="12" s="1"/>
  <c r="S63" i="12"/>
  <c r="R76" i="12"/>
  <c r="R91" i="12" s="1"/>
  <c r="S61" i="12"/>
  <c r="R42" i="12"/>
  <c r="R77" i="12"/>
  <c r="R92" i="12" s="1"/>
  <c r="S62" i="12"/>
  <c r="R80" i="12"/>
  <c r="R95" i="12" s="1"/>
  <c r="S65" i="12"/>
  <c r="O159" i="22"/>
  <c r="N170" i="22"/>
  <c r="S175" i="22"/>
  <c r="R186" i="22"/>
  <c r="S178" i="22"/>
  <c r="S21" i="22"/>
  <c r="U271" i="22"/>
  <c r="U274" i="22" s="1"/>
  <c r="U238" i="22"/>
  <c r="W78" i="8"/>
  <c r="U63" i="16"/>
  <c r="R79" i="12"/>
  <c r="R94" i="12" s="1"/>
  <c r="S64" i="12"/>
  <c r="R81" i="12"/>
  <c r="R96" i="12" s="1"/>
  <c r="S66" i="12"/>
  <c r="R83" i="12"/>
  <c r="R98" i="12" s="1"/>
  <c r="S68" i="12"/>
  <c r="U57" i="8"/>
  <c r="T56" i="8"/>
  <c r="R82" i="12"/>
  <c r="R97" i="12" s="1"/>
  <c r="S67" i="12"/>
  <c r="R75" i="12"/>
  <c r="R90" i="12" s="1"/>
  <c r="S60" i="12"/>
  <c r="R73" i="12"/>
  <c r="R88" i="12" s="1"/>
  <c r="S58" i="12"/>
  <c r="R72" i="12"/>
  <c r="R87" i="12" s="1"/>
  <c r="S57" i="12"/>
  <c r="R71" i="12"/>
  <c r="R86" i="12" s="1"/>
  <c r="S56" i="12"/>
  <c r="R74" i="12"/>
  <c r="R89" i="12" s="1"/>
  <c r="S59" i="12"/>
  <c r="Q48" i="12"/>
  <c r="Q52" i="12"/>
  <c r="R51" i="12"/>
  <c r="U220" i="22"/>
  <c r="U266" i="22"/>
  <c r="V263" i="22" s="1"/>
  <c r="R49" i="12"/>
  <c r="P50" i="12"/>
  <c r="Q40" i="12"/>
  <c r="Q37" i="12"/>
  <c r="Q38" i="12"/>
  <c r="Q39" i="12"/>
  <c r="U276" i="22"/>
  <c r="M125" i="22"/>
  <c r="M128" i="22" s="1"/>
  <c r="S35" i="8"/>
  <c r="R37" i="12"/>
  <c r="U265" i="22"/>
  <c r="Z30" i="8"/>
  <c r="T24" i="2"/>
  <c r="T92" i="11"/>
  <c r="V73" i="8"/>
  <c r="T61" i="16"/>
  <c r="U209" i="16"/>
  <c r="V131" i="16"/>
  <c r="V135" i="16" s="1"/>
  <c r="Q46" i="12"/>
  <c r="U38" i="8"/>
  <c r="S45" i="16"/>
  <c r="U28" i="8"/>
  <c r="T39" i="16" s="1"/>
  <c r="S42" i="16"/>
  <c r="U29" i="8"/>
  <c r="Q7" i="11"/>
  <c r="Q7" i="22" s="1"/>
  <c r="S7" i="2"/>
  <c r="S7" i="7"/>
  <c r="S7" i="8"/>
  <c r="Q7" i="6"/>
  <c r="Q7" i="15"/>
  <c r="R7" i="12"/>
  <c r="P269" i="22"/>
  <c r="P251" i="22"/>
  <c r="P233" i="22"/>
  <c r="P215" i="22"/>
  <c r="P197" i="22"/>
  <c r="U191" i="22"/>
  <c r="U202" i="22" s="1"/>
  <c r="N10" i="7"/>
  <c r="M71" i="16" s="1"/>
  <c r="K39" i="15"/>
  <c r="K40" i="15" s="1"/>
  <c r="L36" i="15" s="1"/>
  <c r="V199" i="22"/>
  <c r="V217" i="22" s="1"/>
  <c r="V235" i="22" s="1"/>
  <c r="T23" i="22"/>
  <c r="T27" i="22"/>
  <c r="V34" i="22"/>
  <c r="V275" i="22" s="1"/>
  <c r="W33" i="22"/>
  <c r="U253" i="22"/>
  <c r="U256" i="22" s="1"/>
  <c r="U203" i="22"/>
  <c r="U221" i="22"/>
  <c r="U239" i="22"/>
  <c r="U257" i="22"/>
  <c r="U204" i="22"/>
  <c r="U222" i="22"/>
  <c r="U240" i="22"/>
  <c r="U258" i="22"/>
  <c r="U193" i="22"/>
  <c r="U211" i="22"/>
  <c r="U229" i="22"/>
  <c r="U247" i="22"/>
  <c r="U248" i="22"/>
  <c r="V245" i="22" s="1"/>
  <c r="U230" i="22"/>
  <c r="V227" i="22" s="1"/>
  <c r="U212" i="22"/>
  <c r="V209" i="22" s="1"/>
  <c r="U194" i="22"/>
  <c r="T22" i="22"/>
  <c r="M146" i="22"/>
  <c r="M154" i="22" s="1"/>
  <c r="S112" i="16"/>
  <c r="M12" i="15"/>
  <c r="S78" i="12" l="1"/>
  <c r="S93" i="12" s="1"/>
  <c r="T63" i="12"/>
  <c r="S76" i="12"/>
  <c r="S91" i="12" s="1"/>
  <c r="T61" i="12"/>
  <c r="S42" i="12"/>
  <c r="S77" i="12"/>
  <c r="S92" i="12" s="1"/>
  <c r="T62" i="12"/>
  <c r="T65" i="12"/>
  <c r="S80" i="12"/>
  <c r="S95" i="12" s="1"/>
  <c r="O162" i="22"/>
  <c r="P159" i="22" s="1"/>
  <c r="O170" i="22"/>
  <c r="T175" i="22"/>
  <c r="S186" i="22"/>
  <c r="T21" i="22"/>
  <c r="V238" i="22"/>
  <c r="V271" i="22"/>
  <c r="V274" i="22" s="1"/>
  <c r="X78" i="8"/>
  <c r="V63" i="16"/>
  <c r="S82" i="12"/>
  <c r="S97" i="12" s="1"/>
  <c r="T67" i="12"/>
  <c r="T68" i="12"/>
  <c r="S83" i="12"/>
  <c r="S98" i="12" s="1"/>
  <c r="S81" i="12"/>
  <c r="S96" i="12" s="1"/>
  <c r="T66" i="12"/>
  <c r="S79" i="12"/>
  <c r="S94" i="12" s="1"/>
  <c r="T64" i="12"/>
  <c r="V57" i="8"/>
  <c r="U56" i="8"/>
  <c r="S74" i="12"/>
  <c r="S89" i="12" s="1"/>
  <c r="T59" i="12"/>
  <c r="S71" i="12"/>
  <c r="S86" i="12" s="1"/>
  <c r="T56" i="12"/>
  <c r="S72" i="12"/>
  <c r="S87" i="12" s="1"/>
  <c r="T57" i="12"/>
  <c r="S73" i="12"/>
  <c r="S88" i="12" s="1"/>
  <c r="T58" i="12"/>
  <c r="S75" i="12"/>
  <c r="S90" i="12" s="1"/>
  <c r="T60" i="12"/>
  <c r="R48" i="12"/>
  <c r="Q50" i="12"/>
  <c r="S49" i="12"/>
  <c r="R52" i="12"/>
  <c r="S51" i="12"/>
  <c r="R39" i="12"/>
  <c r="R38" i="12"/>
  <c r="R40" i="12"/>
  <c r="V220" i="22"/>
  <c r="T35" i="8"/>
  <c r="S37" i="12"/>
  <c r="AA30" i="8"/>
  <c r="H283" i="22"/>
  <c r="H329" i="22" s="1"/>
  <c r="H337" i="22"/>
  <c r="U24" i="2"/>
  <c r="U92" i="11"/>
  <c r="V265" i="22"/>
  <c r="W73" i="8"/>
  <c r="U61" i="16"/>
  <c r="V266" i="22"/>
  <c r="W263" i="22" s="1"/>
  <c r="V276" i="22"/>
  <c r="W131" i="16"/>
  <c r="W135" i="16" s="1"/>
  <c r="V209" i="16"/>
  <c r="M138" i="22"/>
  <c r="T42" i="16"/>
  <c r="V29" i="8"/>
  <c r="V28" i="8"/>
  <c r="U39" i="16" s="1"/>
  <c r="V38" i="8"/>
  <c r="T45" i="16"/>
  <c r="R46" i="12"/>
  <c r="R7" i="11"/>
  <c r="R7" i="22" s="1"/>
  <c r="T7" i="2"/>
  <c r="T7" i="7"/>
  <c r="T7" i="8"/>
  <c r="R7" i="6"/>
  <c r="R7" i="15"/>
  <c r="S7" i="12"/>
  <c r="Q269" i="22"/>
  <c r="Q251" i="22"/>
  <c r="Q233" i="22"/>
  <c r="Q215" i="22"/>
  <c r="Q197" i="22"/>
  <c r="V191" i="22"/>
  <c r="V202" i="22" s="1"/>
  <c r="H214" i="16"/>
  <c r="O10" i="7"/>
  <c r="N71" i="16" s="1"/>
  <c r="L39" i="15"/>
  <c r="L40" i="15" s="1"/>
  <c r="M36" i="15" s="1"/>
  <c r="W199" i="22"/>
  <c r="W217" i="22" s="1"/>
  <c r="W235" i="22" s="1"/>
  <c r="U23" i="22"/>
  <c r="U27" i="22"/>
  <c r="W34" i="22"/>
  <c r="W275" i="22" s="1"/>
  <c r="X33" i="22"/>
  <c r="V253" i="22"/>
  <c r="V256" i="22" s="1"/>
  <c r="V203" i="22"/>
  <c r="V221" i="22"/>
  <c r="V239" i="22"/>
  <c r="V257" i="22"/>
  <c r="V204" i="22"/>
  <c r="V222" i="22"/>
  <c r="V240" i="22"/>
  <c r="V258" i="22"/>
  <c r="V193" i="22"/>
  <c r="V211" i="22"/>
  <c r="V229" i="22"/>
  <c r="V247" i="22"/>
  <c r="V248" i="22"/>
  <c r="W245" i="22" s="1"/>
  <c r="V230" i="22"/>
  <c r="W227" i="22" s="1"/>
  <c r="V212" i="22"/>
  <c r="W209" i="22" s="1"/>
  <c r="V194" i="22"/>
  <c r="U22" i="22"/>
  <c r="N12" i="15"/>
  <c r="N143" i="22"/>
  <c r="T112" i="16"/>
  <c r="T78" i="12" l="1"/>
  <c r="T93" i="12" s="1"/>
  <c r="U63" i="12"/>
  <c r="T76" i="12"/>
  <c r="T91" i="12" s="1"/>
  <c r="U61" i="12"/>
  <c r="T42" i="12"/>
  <c r="T77" i="12"/>
  <c r="T92" i="12" s="1"/>
  <c r="U62" i="12"/>
  <c r="T80" i="12"/>
  <c r="T95" i="12" s="1"/>
  <c r="U65" i="12"/>
  <c r="P162" i="22"/>
  <c r="T178" i="22"/>
  <c r="U175" i="22" s="1"/>
  <c r="T186" i="22"/>
  <c r="U21" i="22"/>
  <c r="Y78" i="8"/>
  <c r="W63" i="16"/>
  <c r="W57" i="8"/>
  <c r="V56" i="8"/>
  <c r="T79" i="12"/>
  <c r="T94" i="12" s="1"/>
  <c r="U64" i="12"/>
  <c r="U66" i="12"/>
  <c r="T81" i="12"/>
  <c r="T96" i="12" s="1"/>
  <c r="T82" i="12"/>
  <c r="T97" i="12" s="1"/>
  <c r="U67" i="12"/>
  <c r="T83" i="12"/>
  <c r="T98" i="12" s="1"/>
  <c r="U68" i="12"/>
  <c r="T75" i="12"/>
  <c r="T90" i="12" s="1"/>
  <c r="U60" i="12"/>
  <c r="T73" i="12"/>
  <c r="T88" i="12" s="1"/>
  <c r="U58" i="12"/>
  <c r="T72" i="12"/>
  <c r="T87" i="12" s="1"/>
  <c r="U57" i="12"/>
  <c r="T71" i="12"/>
  <c r="T86" i="12" s="1"/>
  <c r="U56" i="12"/>
  <c r="T74" i="12"/>
  <c r="T89" i="12" s="1"/>
  <c r="U59" i="12"/>
  <c r="R50" i="12"/>
  <c r="S48" i="12"/>
  <c r="W271" i="22"/>
  <c r="W274" i="22" s="1"/>
  <c r="S52" i="12"/>
  <c r="T51" i="12"/>
  <c r="W220" i="22"/>
  <c r="W266" i="22"/>
  <c r="X263" i="22" s="1"/>
  <c r="T49" i="12"/>
  <c r="W238" i="22"/>
  <c r="S40" i="12"/>
  <c r="S38" i="12"/>
  <c r="S39" i="12"/>
  <c r="W276" i="22"/>
  <c r="N125" i="22"/>
  <c r="U35" i="8"/>
  <c r="T37" i="12"/>
  <c r="H338" i="22"/>
  <c r="I119" i="16"/>
  <c r="AB30" i="8"/>
  <c r="I283" i="22"/>
  <c r="J283" i="22" s="1"/>
  <c r="H326" i="22"/>
  <c r="H29" i="22" s="1"/>
  <c r="V24" i="2"/>
  <c r="V92" i="11"/>
  <c r="W265" i="22"/>
  <c r="X73" i="8"/>
  <c r="V61" i="16"/>
  <c r="Y131" i="16"/>
  <c r="Y135" i="16" s="1"/>
  <c r="W209" i="16"/>
  <c r="S46" i="12"/>
  <c r="W38" i="8"/>
  <c r="U45" i="16"/>
  <c r="W28" i="8"/>
  <c r="V39" i="16" s="1"/>
  <c r="U42" i="16"/>
  <c r="W29" i="8"/>
  <c r="S7" i="11"/>
  <c r="S7" i="22" s="1"/>
  <c r="U7" i="2"/>
  <c r="U7" i="7"/>
  <c r="U7" i="8"/>
  <c r="S7" i="6"/>
  <c r="S7" i="15"/>
  <c r="T7" i="12"/>
  <c r="R269" i="22"/>
  <c r="R251" i="22"/>
  <c r="R233" i="22"/>
  <c r="R215" i="22"/>
  <c r="R197" i="22"/>
  <c r="W191" i="22"/>
  <c r="W202" i="22" s="1"/>
  <c r="P10" i="7"/>
  <c r="O71" i="16" s="1"/>
  <c r="M39" i="15"/>
  <c r="M40" i="15" s="1"/>
  <c r="N36" i="15" s="1"/>
  <c r="X199" i="22"/>
  <c r="X217" i="22" s="1"/>
  <c r="X235" i="22" s="1"/>
  <c r="V23" i="22"/>
  <c r="V27" i="22"/>
  <c r="X34" i="22"/>
  <c r="X275" i="22" s="1"/>
  <c r="Y33" i="22"/>
  <c r="W253" i="22"/>
  <c r="W256" i="22" s="1"/>
  <c r="W203" i="22"/>
  <c r="W221" i="22"/>
  <c r="W239" i="22"/>
  <c r="W257" i="22"/>
  <c r="W204" i="22"/>
  <c r="W222" i="22"/>
  <c r="W240" i="22"/>
  <c r="W258" i="22"/>
  <c r="W193" i="22"/>
  <c r="W211" i="22"/>
  <c r="W229" i="22"/>
  <c r="W247" i="22"/>
  <c r="W248" i="22"/>
  <c r="X245" i="22" s="1"/>
  <c r="W230" i="22"/>
  <c r="X227" i="22" s="1"/>
  <c r="W212" i="22"/>
  <c r="X209" i="22" s="1"/>
  <c r="W194" i="22"/>
  <c r="V22" i="22"/>
  <c r="N146" i="22"/>
  <c r="N154" i="22" s="1"/>
  <c r="O12" i="15"/>
  <c r="U112" i="16"/>
  <c r="U78" i="12" l="1"/>
  <c r="U93" i="12" s="1"/>
  <c r="V63" i="12"/>
  <c r="U42" i="12"/>
  <c r="U76" i="12"/>
  <c r="U91" i="12" s="1"/>
  <c r="V61" i="12"/>
  <c r="U77" i="12"/>
  <c r="U92" i="12" s="1"/>
  <c r="V62" i="12"/>
  <c r="U80" i="12"/>
  <c r="U95" i="12" s="1"/>
  <c r="V65" i="12"/>
  <c r="V49" i="12" s="1"/>
  <c r="Q159" i="22"/>
  <c r="P170" i="22"/>
  <c r="Q162" i="22"/>
  <c r="U178" i="22"/>
  <c r="X238" i="22"/>
  <c r="V21" i="22"/>
  <c r="X271" i="22"/>
  <c r="X274" i="22" s="1"/>
  <c r="Z78" i="8"/>
  <c r="X63" i="16"/>
  <c r="U81" i="12"/>
  <c r="U96" i="12" s="1"/>
  <c r="V66" i="12"/>
  <c r="X57" i="8"/>
  <c r="W56" i="8"/>
  <c r="U83" i="12"/>
  <c r="U98" i="12" s="1"/>
  <c r="V68" i="12"/>
  <c r="U82" i="12"/>
  <c r="U97" i="12" s="1"/>
  <c r="V67" i="12"/>
  <c r="U79" i="12"/>
  <c r="U94" i="12" s="1"/>
  <c r="V64" i="12"/>
  <c r="U74" i="12"/>
  <c r="U89" i="12" s="1"/>
  <c r="V59" i="12"/>
  <c r="U71" i="12"/>
  <c r="U86" i="12" s="1"/>
  <c r="V56" i="12"/>
  <c r="U72" i="12"/>
  <c r="U87" i="12" s="1"/>
  <c r="V57" i="12"/>
  <c r="U73" i="12"/>
  <c r="U88" i="12" s="1"/>
  <c r="V58" i="12"/>
  <c r="U75" i="12"/>
  <c r="U90" i="12" s="1"/>
  <c r="V60" i="12"/>
  <c r="T48" i="12"/>
  <c r="S50" i="12"/>
  <c r="T52" i="12"/>
  <c r="U51" i="12"/>
  <c r="U49" i="12"/>
  <c r="T39" i="12"/>
  <c r="T38" i="12"/>
  <c r="T40" i="12"/>
  <c r="N128" i="22"/>
  <c r="N138" i="22" s="1"/>
  <c r="V35" i="8"/>
  <c r="K283" i="22"/>
  <c r="L283" i="22" s="1"/>
  <c r="AC30" i="8"/>
  <c r="H327" i="22"/>
  <c r="H14" i="22" s="1"/>
  <c r="J50" i="8" s="1"/>
  <c r="I53" i="16" s="1"/>
  <c r="W24" i="2"/>
  <c r="W92" i="11"/>
  <c r="X220" i="22"/>
  <c r="X266" i="22"/>
  <c r="Y263" i="22" s="1"/>
  <c r="Y73" i="8"/>
  <c r="W61" i="16"/>
  <c r="X276" i="22"/>
  <c r="Z131" i="16"/>
  <c r="Z135" i="16" s="1"/>
  <c r="Y209" i="16"/>
  <c r="X265" i="22"/>
  <c r="V42" i="16"/>
  <c r="X29" i="8"/>
  <c r="X28" i="8"/>
  <c r="W39" i="16" s="1"/>
  <c r="X38" i="8"/>
  <c r="V45" i="16"/>
  <c r="T46" i="12"/>
  <c r="T7" i="11"/>
  <c r="T7" i="22" s="1"/>
  <c r="V7" i="2"/>
  <c r="V7" i="7"/>
  <c r="V7" i="8"/>
  <c r="T7" i="6"/>
  <c r="T7" i="15"/>
  <c r="U7" i="12"/>
  <c r="S269" i="22"/>
  <c r="S251" i="22"/>
  <c r="S233" i="22"/>
  <c r="S215" i="22"/>
  <c r="S197" i="22"/>
  <c r="X191" i="22"/>
  <c r="X202" i="22" s="1"/>
  <c r="Q10" i="7"/>
  <c r="P71" i="16" s="1"/>
  <c r="N39" i="15"/>
  <c r="N40" i="15" s="1"/>
  <c r="O36" i="15" s="1"/>
  <c r="Y199" i="22"/>
  <c r="Y217" i="22" s="1"/>
  <c r="Y235" i="22" s="1"/>
  <c r="W23" i="22"/>
  <c r="W27" i="22"/>
  <c r="Y34" i="22"/>
  <c r="Y275" i="22" s="1"/>
  <c r="Z33" i="22"/>
  <c r="X253" i="22"/>
  <c r="X256" i="22" s="1"/>
  <c r="X203" i="22"/>
  <c r="X221" i="22"/>
  <c r="X239" i="22"/>
  <c r="X257" i="22"/>
  <c r="X204" i="22"/>
  <c r="X222" i="22"/>
  <c r="X240" i="22"/>
  <c r="X258" i="22"/>
  <c r="X193" i="22"/>
  <c r="X211" i="22"/>
  <c r="X229" i="22"/>
  <c r="X247" i="22"/>
  <c r="X248" i="22"/>
  <c r="Y245" i="22" s="1"/>
  <c r="X230" i="22"/>
  <c r="Y227" i="22" s="1"/>
  <c r="X212" i="22"/>
  <c r="Y209" i="22" s="1"/>
  <c r="X194" i="22"/>
  <c r="W22" i="22"/>
  <c r="P12" i="15"/>
  <c r="O143" i="22"/>
  <c r="V112" i="16"/>
  <c r="V78" i="12" l="1"/>
  <c r="V93" i="12" s="1"/>
  <c r="W63" i="12"/>
  <c r="V76" i="12"/>
  <c r="V91" i="12" s="1"/>
  <c r="W61" i="12"/>
  <c r="V42" i="12"/>
  <c r="V77" i="12"/>
  <c r="V92" i="12" s="1"/>
  <c r="W62" i="12"/>
  <c r="V80" i="12"/>
  <c r="V95" i="12" s="1"/>
  <c r="W65" i="12"/>
  <c r="V175" i="22"/>
  <c r="U186" i="22"/>
  <c r="V178" i="22"/>
  <c r="R159" i="22"/>
  <c r="Q170" i="22"/>
  <c r="Y271" i="22"/>
  <c r="Y274" i="22" s="1"/>
  <c r="AA78" i="8"/>
  <c r="Y63" i="16"/>
  <c r="Y57" i="8"/>
  <c r="X56" i="8"/>
  <c r="V79" i="12"/>
  <c r="V94" i="12" s="1"/>
  <c r="W64" i="12"/>
  <c r="V82" i="12"/>
  <c r="V97" i="12" s="1"/>
  <c r="W67" i="12"/>
  <c r="V83" i="12"/>
  <c r="V98" i="12" s="1"/>
  <c r="W68" i="12"/>
  <c r="V81" i="12"/>
  <c r="V96" i="12" s="1"/>
  <c r="W66" i="12"/>
  <c r="V75" i="12"/>
  <c r="V90" i="12" s="1"/>
  <c r="W60" i="12"/>
  <c r="V73" i="12"/>
  <c r="V88" i="12" s="1"/>
  <c r="W58" i="12"/>
  <c r="V72" i="12"/>
  <c r="V87" i="12" s="1"/>
  <c r="W57" i="12"/>
  <c r="V71" i="12"/>
  <c r="V86" i="12" s="1"/>
  <c r="W56" i="12"/>
  <c r="V74" i="12"/>
  <c r="V89" i="12" s="1"/>
  <c r="W59" i="12"/>
  <c r="T50" i="12"/>
  <c r="U48" i="12"/>
  <c r="U52" i="12"/>
  <c r="V51" i="12"/>
  <c r="Y220" i="22"/>
  <c r="W21" i="22"/>
  <c r="Y266" i="22"/>
  <c r="Z263" i="22" s="1"/>
  <c r="U40" i="12"/>
  <c r="U37" i="12"/>
  <c r="U38" i="12"/>
  <c r="U39" i="12"/>
  <c r="Y238" i="22"/>
  <c r="O125" i="22"/>
  <c r="W35" i="8"/>
  <c r="M283" i="22"/>
  <c r="AD30" i="8"/>
  <c r="X24" i="2"/>
  <c r="X92" i="11"/>
  <c r="Y276" i="22"/>
  <c r="Z73" i="8"/>
  <c r="X61" i="16"/>
  <c r="AA131" i="16"/>
  <c r="AA135" i="16" s="1"/>
  <c r="Z209" i="16"/>
  <c r="Y265" i="22"/>
  <c r="U46" i="12"/>
  <c r="Y38" i="8"/>
  <c r="W45" i="16"/>
  <c r="Y28" i="8"/>
  <c r="X39" i="16" s="1"/>
  <c r="W42" i="16"/>
  <c r="Y29" i="8"/>
  <c r="U7" i="11"/>
  <c r="U7" i="22" s="1"/>
  <c r="W7" i="2"/>
  <c r="W7" i="7"/>
  <c r="W7" i="8"/>
  <c r="U7" i="6"/>
  <c r="U7" i="15"/>
  <c r="V7" i="12"/>
  <c r="T269" i="22"/>
  <c r="T251" i="22"/>
  <c r="T233" i="22"/>
  <c r="T215" i="22"/>
  <c r="T197" i="22"/>
  <c r="Y191" i="22"/>
  <c r="Y202" i="22" s="1"/>
  <c r="O39" i="15"/>
  <c r="O40" i="15" s="1"/>
  <c r="P36" i="15" s="1"/>
  <c r="Z199" i="22"/>
  <c r="Z217" i="22" s="1"/>
  <c r="Z235" i="22" s="1"/>
  <c r="X23" i="22"/>
  <c r="X27" i="22"/>
  <c r="Z34" i="22"/>
  <c r="Z275" i="22" s="1"/>
  <c r="Y253" i="22"/>
  <c r="Y256" i="22" s="1"/>
  <c r="Y203" i="22"/>
  <c r="Y221" i="22"/>
  <c r="Y239" i="22"/>
  <c r="Y257" i="22"/>
  <c r="Y204" i="22"/>
  <c r="Y222" i="22"/>
  <c r="Y240" i="22"/>
  <c r="Y258" i="22"/>
  <c r="Y193" i="22"/>
  <c r="Y211" i="22"/>
  <c r="Y229" i="22"/>
  <c r="Y247" i="22"/>
  <c r="Y248" i="22"/>
  <c r="Z245" i="22" s="1"/>
  <c r="Y230" i="22"/>
  <c r="Z227" i="22" s="1"/>
  <c r="Y212" i="22"/>
  <c r="Z209" i="22" s="1"/>
  <c r="Y194" i="22"/>
  <c r="X22" i="22"/>
  <c r="O146" i="22"/>
  <c r="O154" i="22" s="1"/>
  <c r="Q12" i="15"/>
  <c r="W112" i="16"/>
  <c r="W78" i="12" l="1"/>
  <c r="W93" i="12" s="1"/>
  <c r="X63" i="12"/>
  <c r="W76" i="12"/>
  <c r="W91" i="12" s="1"/>
  <c r="X61" i="12"/>
  <c r="W42" i="12"/>
  <c r="W77" i="12"/>
  <c r="W92" i="12" s="1"/>
  <c r="X62" i="12"/>
  <c r="W80" i="12"/>
  <c r="W95" i="12" s="1"/>
  <c r="X65" i="12"/>
  <c r="R162" i="22"/>
  <c r="W175" i="22"/>
  <c r="V186" i="22"/>
  <c r="X21" i="22"/>
  <c r="AB78" i="8"/>
  <c r="Z63" i="16"/>
  <c r="W81" i="12"/>
  <c r="W96" i="12" s="1"/>
  <c r="X66" i="12"/>
  <c r="W83" i="12"/>
  <c r="W98" i="12" s="1"/>
  <c r="X68" i="12"/>
  <c r="W82" i="12"/>
  <c r="W97" i="12" s="1"/>
  <c r="X67" i="12"/>
  <c r="W79" i="12"/>
  <c r="W94" i="12" s="1"/>
  <c r="X64" i="12"/>
  <c r="Z57" i="8"/>
  <c r="Y56" i="8"/>
  <c r="W74" i="12"/>
  <c r="W89" i="12" s="1"/>
  <c r="X59" i="12"/>
  <c r="W71" i="12"/>
  <c r="W86" i="12" s="1"/>
  <c r="X56" i="12"/>
  <c r="W72" i="12"/>
  <c r="W87" i="12" s="1"/>
  <c r="X57" i="12"/>
  <c r="W73" i="12"/>
  <c r="W88" i="12" s="1"/>
  <c r="X58" i="12"/>
  <c r="W75" i="12"/>
  <c r="W90" i="12" s="1"/>
  <c r="X60" i="12"/>
  <c r="V52" i="12"/>
  <c r="W51" i="12"/>
  <c r="Z220" i="22"/>
  <c r="U50" i="12"/>
  <c r="Z271" i="22"/>
  <c r="Z274" i="22" s="1"/>
  <c r="V39" i="12"/>
  <c r="V38" i="12"/>
  <c r="V37" i="12"/>
  <c r="V40" i="12"/>
  <c r="V48" i="12"/>
  <c r="W49" i="12"/>
  <c r="Z238" i="22"/>
  <c r="X35" i="8"/>
  <c r="V50" i="12"/>
  <c r="W37" i="12"/>
  <c r="N283" i="22"/>
  <c r="O283" i="22" s="1"/>
  <c r="Y24" i="2"/>
  <c r="Y92" i="11"/>
  <c r="Z266" i="22"/>
  <c r="AA263" i="22" s="1"/>
  <c r="AA73" i="8"/>
  <c r="Y61" i="16"/>
  <c r="Z276" i="22"/>
  <c r="AB131" i="16"/>
  <c r="AB135" i="16" s="1"/>
  <c r="AB209" i="16" s="1"/>
  <c r="AA209" i="16"/>
  <c r="Z265" i="22"/>
  <c r="AA34" i="22"/>
  <c r="AB275" i="22" s="1"/>
  <c r="AA33" i="22"/>
  <c r="O128" i="22"/>
  <c r="P125" i="22" s="1"/>
  <c r="X42" i="16"/>
  <c r="Z29" i="8"/>
  <c r="Z28" i="8"/>
  <c r="Y39" i="16" s="1"/>
  <c r="Z38" i="8"/>
  <c r="X45" i="16"/>
  <c r="V46" i="12"/>
  <c r="V7" i="11"/>
  <c r="V7" i="22" s="1"/>
  <c r="X7" i="2"/>
  <c r="X7" i="7"/>
  <c r="X7" i="8"/>
  <c r="V7" i="6"/>
  <c r="V7" i="15"/>
  <c r="W7" i="12"/>
  <c r="U269" i="22"/>
  <c r="U251" i="22"/>
  <c r="U233" i="22"/>
  <c r="U215" i="22"/>
  <c r="U197" i="22"/>
  <c r="Z191" i="22"/>
  <c r="Z202" i="22" s="1"/>
  <c r="P39" i="15"/>
  <c r="P40" i="15" s="1"/>
  <c r="Q36" i="15" s="1"/>
  <c r="AA199" i="22"/>
  <c r="AA217" i="22" s="1"/>
  <c r="AA235" i="22" s="1"/>
  <c r="Y23" i="22"/>
  <c r="Y27" i="22"/>
  <c r="AB265" i="22"/>
  <c r="AB266" i="22"/>
  <c r="Z253" i="22"/>
  <c r="Z256" i="22" s="1"/>
  <c r="Z203" i="22"/>
  <c r="Z221" i="22"/>
  <c r="Z239" i="22"/>
  <c r="Z257" i="22"/>
  <c r="Z204" i="22"/>
  <c r="Z222" i="22"/>
  <c r="Z240" i="22"/>
  <c r="Z258" i="22"/>
  <c r="Z193" i="22"/>
  <c r="Z211" i="22"/>
  <c r="Z229" i="22"/>
  <c r="Z247" i="22"/>
  <c r="Z248" i="22"/>
  <c r="AA245" i="22" s="1"/>
  <c r="Z230" i="22"/>
  <c r="AA227" i="22" s="1"/>
  <c r="Z212" i="22"/>
  <c r="AA209" i="22" s="1"/>
  <c r="Z194" i="22"/>
  <c r="Y22" i="22"/>
  <c r="R12" i="15"/>
  <c r="X112" i="16"/>
  <c r="P143" i="22"/>
  <c r="X78" i="12" l="1"/>
  <c r="X93" i="12" s="1"/>
  <c r="Y63" i="12"/>
  <c r="X76" i="12"/>
  <c r="X91" i="12" s="1"/>
  <c r="Y61" i="12"/>
  <c r="X42" i="12"/>
  <c r="X77" i="12"/>
  <c r="X92" i="12" s="1"/>
  <c r="Y62" i="12"/>
  <c r="X80" i="12"/>
  <c r="X95" i="12" s="1"/>
  <c r="Y65" i="12"/>
  <c r="S159" i="22"/>
  <c r="R170" i="22"/>
  <c r="S162" i="22"/>
  <c r="W178" i="22"/>
  <c r="AA238" i="22"/>
  <c r="AC78" i="8"/>
  <c r="AA63" i="16"/>
  <c r="AA57" i="8"/>
  <c r="Z56" i="8"/>
  <c r="X79" i="12"/>
  <c r="X94" i="12" s="1"/>
  <c r="Y64" i="12"/>
  <c r="X82" i="12"/>
  <c r="X97" i="12" s="1"/>
  <c r="Y67" i="12"/>
  <c r="X83" i="12"/>
  <c r="X98" i="12" s="1"/>
  <c r="Y68" i="12"/>
  <c r="X81" i="12"/>
  <c r="X96" i="12" s="1"/>
  <c r="Y66" i="12"/>
  <c r="X75" i="12"/>
  <c r="X90" i="12" s="1"/>
  <c r="Y60" i="12"/>
  <c r="X73" i="12"/>
  <c r="X88" i="12" s="1"/>
  <c r="Y58" i="12"/>
  <c r="X72" i="12"/>
  <c r="X87" i="12" s="1"/>
  <c r="Y57" i="12"/>
  <c r="X71" i="12"/>
  <c r="X86" i="12" s="1"/>
  <c r="Y56" i="12"/>
  <c r="X74" i="12"/>
  <c r="X89" i="12" s="1"/>
  <c r="Y59" i="12"/>
  <c r="W52" i="12"/>
  <c r="Y21" i="22"/>
  <c r="AA275" i="22"/>
  <c r="X51" i="12"/>
  <c r="AA265" i="22"/>
  <c r="AB276" i="22"/>
  <c r="AA220" i="22"/>
  <c r="AA266" i="22"/>
  <c r="AB263" i="22" s="1"/>
  <c r="AA276" i="22"/>
  <c r="AA271" i="22"/>
  <c r="AA274" i="22" s="1"/>
  <c r="AB271" i="22"/>
  <c r="X49" i="12"/>
  <c r="W40" i="12"/>
  <c r="W38" i="12"/>
  <c r="W39" i="12"/>
  <c r="W48" i="12"/>
  <c r="O138" i="22"/>
  <c r="Y35" i="8"/>
  <c r="X37" i="12"/>
  <c r="P283" i="22"/>
  <c r="Q283" i="22" s="1"/>
  <c r="Z24" i="2"/>
  <c r="Z92" i="11"/>
  <c r="AB73" i="8"/>
  <c r="Z61" i="16"/>
  <c r="W46" i="12"/>
  <c r="AA38" i="8"/>
  <c r="Y45" i="16"/>
  <c r="AA28" i="8"/>
  <c r="Z39" i="16" s="1"/>
  <c r="Y42" i="16"/>
  <c r="AA29" i="8"/>
  <c r="W7" i="11"/>
  <c r="W7" i="22" s="1"/>
  <c r="Y7" i="2"/>
  <c r="Y7" i="7"/>
  <c r="Y7" i="8"/>
  <c r="W7" i="6"/>
  <c r="W7" i="15"/>
  <c r="X7" i="12"/>
  <c r="V269" i="22"/>
  <c r="V251" i="22"/>
  <c r="V233" i="22"/>
  <c r="V215" i="22"/>
  <c r="V197" i="22"/>
  <c r="AA191" i="22"/>
  <c r="AA202" i="22" s="1"/>
  <c r="Q39" i="15"/>
  <c r="Q40" i="15" s="1"/>
  <c r="R36" i="15" s="1"/>
  <c r="AB199" i="22"/>
  <c r="AB217" i="22" s="1"/>
  <c r="AB235" i="22" s="1"/>
  <c r="Z23" i="22"/>
  <c r="Z27" i="22"/>
  <c r="AA253" i="22"/>
  <c r="AA256" i="22" s="1"/>
  <c r="AA203" i="22"/>
  <c r="AA221" i="22"/>
  <c r="AA239" i="22"/>
  <c r="AA257" i="22"/>
  <c r="AA204" i="22"/>
  <c r="AA222" i="22"/>
  <c r="AA240" i="22"/>
  <c r="AA258" i="22"/>
  <c r="AA193" i="22"/>
  <c r="AA211" i="22"/>
  <c r="AA229" i="22"/>
  <c r="AA247" i="22"/>
  <c r="AA248" i="22"/>
  <c r="AB245" i="22" s="1"/>
  <c r="AA230" i="22"/>
  <c r="AB227" i="22" s="1"/>
  <c r="AA212" i="22"/>
  <c r="AB209" i="22" s="1"/>
  <c r="AA194" i="22"/>
  <c r="Z22" i="22"/>
  <c r="P146" i="22"/>
  <c r="P154" i="22" s="1"/>
  <c r="Y112" i="16"/>
  <c r="S12" i="15"/>
  <c r="Y78" i="12" l="1"/>
  <c r="Y93" i="12" s="1"/>
  <c r="Z63" i="12"/>
  <c r="Y76" i="12"/>
  <c r="Y91" i="12" s="1"/>
  <c r="Z61" i="12"/>
  <c r="Y42" i="12"/>
  <c r="Y77" i="12"/>
  <c r="Y92" i="12" s="1"/>
  <c r="Z62" i="12"/>
  <c r="Y49" i="12"/>
  <c r="Y80" i="12"/>
  <c r="Y95" i="12" s="1"/>
  <c r="Z65" i="12"/>
  <c r="T159" i="22"/>
  <c r="S170" i="22"/>
  <c r="X175" i="22"/>
  <c r="W186" i="22"/>
  <c r="AB220" i="22"/>
  <c r="AD78" i="8"/>
  <c r="AB63" i="16"/>
  <c r="AB57" i="8"/>
  <c r="AA56" i="8"/>
  <c r="Y81" i="12"/>
  <c r="Y96" i="12" s="1"/>
  <c r="Z66" i="12"/>
  <c r="Y83" i="12"/>
  <c r="Y98" i="12" s="1"/>
  <c r="Z68" i="12"/>
  <c r="Z67" i="12"/>
  <c r="Y82" i="12"/>
  <c r="Y97" i="12" s="1"/>
  <c r="Z64" i="12"/>
  <c r="Y79" i="12"/>
  <c r="Y94" i="12" s="1"/>
  <c r="Y74" i="12"/>
  <c r="Y89" i="12" s="1"/>
  <c r="Z59" i="12"/>
  <c r="Y71" i="12"/>
  <c r="Y86" i="12" s="1"/>
  <c r="Z56" i="12"/>
  <c r="Y72" i="12"/>
  <c r="Y87" i="12" s="1"/>
  <c r="Z57" i="12"/>
  <c r="Y73" i="12"/>
  <c r="Y88" i="12" s="1"/>
  <c r="Z58" i="12"/>
  <c r="Y75" i="12"/>
  <c r="Y90" i="12" s="1"/>
  <c r="Z60" i="12"/>
  <c r="Z78" i="12"/>
  <c r="Z93" i="12" s="1"/>
  <c r="AA63" i="12"/>
  <c r="Z76" i="12"/>
  <c r="Z91" i="12" s="1"/>
  <c r="AA61" i="12"/>
  <c r="Z42" i="12"/>
  <c r="X52" i="12"/>
  <c r="Y51" i="12"/>
  <c r="AB274" i="22"/>
  <c r="Z21" i="22"/>
  <c r="AB238" i="22"/>
  <c r="X39" i="12"/>
  <c r="X38" i="12"/>
  <c r="X40" i="12"/>
  <c r="X48" i="12"/>
  <c r="W50" i="12"/>
  <c r="Z35" i="8"/>
  <c r="Y37" i="12"/>
  <c r="R283" i="22"/>
  <c r="S283" i="22" s="1"/>
  <c r="T283" i="22" s="1"/>
  <c r="U283" i="22" s="1"/>
  <c r="V283" i="22" s="1"/>
  <c r="W283" i="22" s="1"/>
  <c r="X283" i="22" s="1"/>
  <c r="Y283" i="22" s="1"/>
  <c r="Z283" i="22" s="1"/>
  <c r="AA283" i="22" s="1"/>
  <c r="AB283" i="22" s="1"/>
  <c r="H328" i="22" s="1"/>
  <c r="H15" i="22" s="1"/>
  <c r="AA24" i="2"/>
  <c r="AA92" i="11"/>
  <c r="AC73" i="8"/>
  <c r="AA61" i="16"/>
  <c r="P128" i="22"/>
  <c r="P138" i="22" s="1"/>
  <c r="Z42" i="16"/>
  <c r="AB29" i="8"/>
  <c r="AB28" i="8"/>
  <c r="AA39" i="16" s="1"/>
  <c r="AB38" i="8"/>
  <c r="Z45" i="16"/>
  <c r="X46" i="12"/>
  <c r="X7" i="11"/>
  <c r="X7" i="22" s="1"/>
  <c r="Z7" i="2"/>
  <c r="Z7" i="7"/>
  <c r="Z7" i="8"/>
  <c r="X7" i="6"/>
  <c r="X7" i="15"/>
  <c r="Y7" i="12"/>
  <c r="W269" i="22"/>
  <c r="W251" i="22"/>
  <c r="W233" i="22"/>
  <c r="W215" i="22"/>
  <c r="W197" i="22"/>
  <c r="AB191" i="22"/>
  <c r="AB202" i="22" s="1"/>
  <c r="R39" i="15"/>
  <c r="R40" i="15" s="1"/>
  <c r="S36" i="15" s="1"/>
  <c r="AA23" i="22"/>
  <c r="AA27" i="22"/>
  <c r="AB253" i="22"/>
  <c r="AB256" i="22" s="1"/>
  <c r="AB203" i="22"/>
  <c r="AB221" i="22"/>
  <c r="AB239" i="22"/>
  <c r="AB257" i="22"/>
  <c r="AB204" i="22"/>
  <c r="AB222" i="22"/>
  <c r="AB240" i="22"/>
  <c r="AB258" i="22"/>
  <c r="AB193" i="22"/>
  <c r="AB211" i="22"/>
  <c r="AB229" i="22"/>
  <c r="AB247" i="22"/>
  <c r="AB248" i="22"/>
  <c r="AB230" i="22"/>
  <c r="AB212" i="22"/>
  <c r="AB194" i="22"/>
  <c r="AA22" i="22"/>
  <c r="T12" i="15"/>
  <c r="Z112" i="16"/>
  <c r="Q143" i="22"/>
  <c r="Z77" i="12" l="1"/>
  <c r="Z92" i="12" s="1"/>
  <c r="AA62" i="12"/>
  <c r="Z80" i="12"/>
  <c r="Z95" i="12" s="1"/>
  <c r="AA65" i="12"/>
  <c r="T162" i="22"/>
  <c r="X178" i="22"/>
  <c r="AA64" i="12"/>
  <c r="Z79" i="12"/>
  <c r="Z94" i="12" s="1"/>
  <c r="AA67" i="12"/>
  <c r="Z82" i="12"/>
  <c r="Z97" i="12" s="1"/>
  <c r="AC57" i="8"/>
  <c r="AB56" i="8"/>
  <c r="Z83" i="12"/>
  <c r="Z98" i="12" s="1"/>
  <c r="AA68" i="12"/>
  <c r="Z81" i="12"/>
  <c r="Z96" i="12" s="1"/>
  <c r="AA66" i="12"/>
  <c r="AA76" i="12"/>
  <c r="AA91" i="12" s="1"/>
  <c r="AB61" i="12"/>
  <c r="AA78" i="12"/>
  <c r="AA93" i="12" s="1"/>
  <c r="AB63" i="12"/>
  <c r="Z75" i="12"/>
  <c r="Z90" i="12" s="1"/>
  <c r="AA60" i="12"/>
  <c r="Z73" i="12"/>
  <c r="Z88" i="12" s="1"/>
  <c r="AA58" i="12"/>
  <c r="Z72" i="12"/>
  <c r="Z87" i="12" s="1"/>
  <c r="AA57" i="12"/>
  <c r="Z71" i="12"/>
  <c r="Z86" i="12" s="1"/>
  <c r="AA56" i="12"/>
  <c r="Z74" i="12"/>
  <c r="Z89" i="12" s="1"/>
  <c r="AA59" i="12"/>
  <c r="AA42" i="12"/>
  <c r="Y52" i="12"/>
  <c r="Z51" i="12"/>
  <c r="Z49" i="12"/>
  <c r="Y40" i="12"/>
  <c r="Y38" i="12"/>
  <c r="Y39" i="12"/>
  <c r="X50" i="12"/>
  <c r="Y48" i="12"/>
  <c r="AA21" i="22"/>
  <c r="AA35" i="8"/>
  <c r="Z37" i="12"/>
  <c r="AA328" i="22"/>
  <c r="AB328" i="22"/>
  <c r="AB15" i="22" s="1"/>
  <c r="AD64" i="8" s="1"/>
  <c r="AB24" i="2"/>
  <c r="AB92" i="11"/>
  <c r="AD73" i="8"/>
  <c r="AB61" i="16"/>
  <c r="Y46" i="12"/>
  <c r="AC38" i="8"/>
  <c r="AA45" i="16"/>
  <c r="AC28" i="8"/>
  <c r="AB39" i="16" s="1"/>
  <c r="AA42" i="16"/>
  <c r="AC29" i="8"/>
  <c r="Q125" i="22"/>
  <c r="Y7" i="11"/>
  <c r="Y7" i="22" s="1"/>
  <c r="AA7" i="2"/>
  <c r="AA7" i="7"/>
  <c r="AA7" i="8"/>
  <c r="Y7" i="6"/>
  <c r="Y7" i="15"/>
  <c r="Z7" i="12"/>
  <c r="X269" i="22"/>
  <c r="X251" i="22"/>
  <c r="X233" i="22"/>
  <c r="X215" i="22"/>
  <c r="X197" i="22"/>
  <c r="S39" i="15"/>
  <c r="S40" i="15" s="1"/>
  <c r="T36" i="15" s="1"/>
  <c r="AB23" i="22"/>
  <c r="AB27" i="22"/>
  <c r="AB22" i="22"/>
  <c r="Q146" i="22"/>
  <c r="Q154" i="22" s="1"/>
  <c r="U12" i="15"/>
  <c r="AA112" i="16"/>
  <c r="AA77" i="12" l="1"/>
  <c r="AA92" i="12" s="1"/>
  <c r="AB62" i="12"/>
  <c r="AA80" i="12"/>
  <c r="AA95" i="12" s="1"/>
  <c r="AB65" i="12"/>
  <c r="U159" i="22"/>
  <c r="T170" i="22"/>
  <c r="Y175" i="22"/>
  <c r="X186" i="22"/>
  <c r="AB21" i="22"/>
  <c r="AA81" i="12"/>
  <c r="AA96" i="12" s="1"/>
  <c r="AB66" i="12"/>
  <c r="AA83" i="12"/>
  <c r="AA98" i="12" s="1"/>
  <c r="AB68" i="12"/>
  <c r="AD57" i="8"/>
  <c r="AD56" i="8" s="1"/>
  <c r="AC56" i="8"/>
  <c r="AB67" i="12"/>
  <c r="AA82" i="12"/>
  <c r="AA97" i="12" s="1"/>
  <c r="AB64" i="12"/>
  <c r="AA79" i="12"/>
  <c r="AA94" i="12" s="1"/>
  <c r="AA74" i="12"/>
  <c r="AA89" i="12" s="1"/>
  <c r="AB59" i="12"/>
  <c r="AA71" i="12"/>
  <c r="AA86" i="12" s="1"/>
  <c r="AB56" i="12"/>
  <c r="AA72" i="12"/>
  <c r="AA87" i="12" s="1"/>
  <c r="AB57" i="12"/>
  <c r="AA73" i="12"/>
  <c r="AA88" i="12" s="1"/>
  <c r="AB58" i="12"/>
  <c r="AA75" i="12"/>
  <c r="AA90" i="12" s="1"/>
  <c r="AB60" i="12"/>
  <c r="AB78" i="12"/>
  <c r="AB93" i="12" s="1"/>
  <c r="AC63" i="12"/>
  <c r="AC78" i="12" s="1"/>
  <c r="AC93" i="12" s="1"/>
  <c r="AB76" i="12"/>
  <c r="AB91" i="12" s="1"/>
  <c r="AC61" i="12"/>
  <c r="AC76" i="12" s="1"/>
  <c r="AC91" i="12" s="1"/>
  <c r="AB42" i="12"/>
  <c r="Z52" i="12"/>
  <c r="AA51" i="12"/>
  <c r="AA49" i="12"/>
  <c r="Z39" i="12"/>
  <c r="Z38" i="12"/>
  <c r="Z40" i="12"/>
  <c r="Z48" i="12"/>
  <c r="Y50" i="12"/>
  <c r="AB35" i="8"/>
  <c r="AA37" i="12"/>
  <c r="AC24" i="2"/>
  <c r="Q128" i="22"/>
  <c r="Q138" i="22" s="1"/>
  <c r="AB42" i="16"/>
  <c r="AD29" i="8"/>
  <c r="AD28" i="8"/>
  <c r="AD38" i="8"/>
  <c r="AB45" i="16"/>
  <c r="Z46" i="12"/>
  <c r="Z7" i="11"/>
  <c r="Z7" i="22" s="1"/>
  <c r="AB7" i="2"/>
  <c r="AB7" i="7"/>
  <c r="AB7" i="8"/>
  <c r="Z7" i="6"/>
  <c r="Z7" i="15"/>
  <c r="AA7" i="12"/>
  <c r="Y269" i="22"/>
  <c r="Y251" i="22"/>
  <c r="Y233" i="22"/>
  <c r="Y215" i="22"/>
  <c r="Y197" i="22"/>
  <c r="T39" i="15"/>
  <c r="T40" i="15" s="1"/>
  <c r="U36" i="15" s="1"/>
  <c r="V12" i="15"/>
  <c r="AB112" i="16"/>
  <c r="R143" i="22"/>
  <c r="AB77" i="12" l="1"/>
  <c r="AB92" i="12" s="1"/>
  <c r="AC62" i="12"/>
  <c r="AC77" i="12" s="1"/>
  <c r="AC92" i="12" s="1"/>
  <c r="AB80" i="12"/>
  <c r="AB95" i="12" s="1"/>
  <c r="AC65" i="12"/>
  <c r="AC80" i="12" s="1"/>
  <c r="AC95" i="12" s="1"/>
  <c r="AB49" i="12"/>
  <c r="AC49" i="12"/>
  <c r="U162" i="22"/>
  <c r="V159" i="22" s="1"/>
  <c r="U170" i="22"/>
  <c r="Y178" i="22"/>
  <c r="AB83" i="12"/>
  <c r="AB98" i="12" s="1"/>
  <c r="AC68" i="12"/>
  <c r="AC83" i="12" s="1"/>
  <c r="AC98" i="12" s="1"/>
  <c r="AB81" i="12"/>
  <c r="AB96" i="12" s="1"/>
  <c r="AC66" i="12"/>
  <c r="AC81" i="12" s="1"/>
  <c r="AC96" i="12" s="1"/>
  <c r="AC64" i="12"/>
  <c r="AC79" i="12" s="1"/>
  <c r="AC94" i="12" s="1"/>
  <c r="AB79" i="12"/>
  <c r="AB94" i="12" s="1"/>
  <c r="AB82" i="12"/>
  <c r="AB97" i="12" s="1"/>
  <c r="AC67" i="12"/>
  <c r="AC82" i="12" s="1"/>
  <c r="AC97" i="12" s="1"/>
  <c r="AB75" i="12"/>
  <c r="AB90" i="12" s="1"/>
  <c r="AC60" i="12"/>
  <c r="AC75" i="12" s="1"/>
  <c r="AC90" i="12" s="1"/>
  <c r="AB73" i="12"/>
  <c r="AB88" i="12" s="1"/>
  <c r="AC58" i="12"/>
  <c r="AC73" i="12" s="1"/>
  <c r="AC88" i="12" s="1"/>
  <c r="AB72" i="12"/>
  <c r="AB87" i="12" s="1"/>
  <c r="AC57" i="12"/>
  <c r="AC72" i="12" s="1"/>
  <c r="AC87" i="12" s="1"/>
  <c r="AB71" i="12"/>
  <c r="AB86" i="12" s="1"/>
  <c r="AC56" i="12"/>
  <c r="AC71" i="12" s="1"/>
  <c r="AC86" i="12" s="1"/>
  <c r="AB74" i="12"/>
  <c r="AB89" i="12" s="1"/>
  <c r="AC59" i="12"/>
  <c r="AC74" i="12" s="1"/>
  <c r="AC89" i="12" s="1"/>
  <c r="AC42" i="12"/>
  <c r="AB51" i="12"/>
  <c r="AA40" i="12"/>
  <c r="AA38" i="12"/>
  <c r="AA39" i="12"/>
  <c r="Z50" i="12"/>
  <c r="AA48" i="12"/>
  <c r="AC35" i="8"/>
  <c r="AA46" i="12"/>
  <c r="R125" i="22"/>
  <c r="AA7" i="11"/>
  <c r="AA7" i="22" s="1"/>
  <c r="AC7" i="2"/>
  <c r="AC7" i="7"/>
  <c r="AC7" i="8"/>
  <c r="AA7" i="6"/>
  <c r="AA7" i="15"/>
  <c r="AB7" i="12"/>
  <c r="Z269" i="22"/>
  <c r="Z251" i="22"/>
  <c r="Z233" i="22"/>
  <c r="Z215" i="22"/>
  <c r="Z197" i="22"/>
  <c r="U39" i="15"/>
  <c r="U40" i="15" s="1"/>
  <c r="V36" i="15" s="1"/>
  <c r="R146" i="22"/>
  <c r="R154" i="22" s="1"/>
  <c r="Y27" i="8"/>
  <c r="X38" i="16" s="1"/>
  <c r="W12" i="15"/>
  <c r="Z175" i="22" l="1"/>
  <c r="Y186" i="22"/>
  <c r="V162" i="22"/>
  <c r="AC51" i="12"/>
  <c r="AA50" i="12"/>
  <c r="AB39" i="12"/>
  <c r="AB38" i="12"/>
  <c r="AB37" i="12"/>
  <c r="AC37" i="12" s="1"/>
  <c r="AB40" i="12"/>
  <c r="AB48" i="12"/>
  <c r="AD35" i="8"/>
  <c r="AC39" i="12"/>
  <c r="AC38" i="12"/>
  <c r="AC48" i="12"/>
  <c r="R128" i="22"/>
  <c r="R138" i="22" s="1"/>
  <c r="AB46" i="12"/>
  <c r="AC46" i="12"/>
  <c r="AB7" i="11"/>
  <c r="AB7" i="22" s="1"/>
  <c r="AD7" i="7"/>
  <c r="AD7" i="8"/>
  <c r="AB7" i="6"/>
  <c r="AB7" i="15"/>
  <c r="AC7" i="12"/>
  <c r="AA269" i="22"/>
  <c r="AA251" i="22"/>
  <c r="AA233" i="22"/>
  <c r="AA215" i="22"/>
  <c r="AA197" i="22"/>
  <c r="V39" i="15"/>
  <c r="V40" i="15" s="1"/>
  <c r="W36" i="15" s="1"/>
  <c r="Z27" i="8"/>
  <c r="Y38" i="16" s="1"/>
  <c r="X12" i="15"/>
  <c r="S143" i="22"/>
  <c r="Z178" i="22" l="1"/>
  <c r="AB14" i="22"/>
  <c r="AD50" i="8" s="1"/>
  <c r="W159" i="22"/>
  <c r="V170" i="22"/>
  <c r="AC40" i="12"/>
  <c r="AB50" i="12"/>
  <c r="S125" i="22"/>
  <c r="AB269" i="22"/>
  <c r="AB251" i="22"/>
  <c r="AB233" i="22"/>
  <c r="AB215" i="22"/>
  <c r="AB197" i="22"/>
  <c r="W39" i="15"/>
  <c r="W40" i="15" s="1"/>
  <c r="X36" i="15" s="1"/>
  <c r="S146" i="22"/>
  <c r="S154" i="22" s="1"/>
  <c r="AA27" i="8"/>
  <c r="Z38" i="16" s="1"/>
  <c r="Y12" i="15"/>
  <c r="AA175" i="22" l="1"/>
  <c r="Z186" i="22"/>
  <c r="W162" i="22"/>
  <c r="AC50" i="12"/>
  <c r="S128" i="22"/>
  <c r="S138" i="22" s="1"/>
  <c r="X39" i="15"/>
  <c r="X40" i="15" s="1"/>
  <c r="Y36" i="15" s="1"/>
  <c r="AB27" i="8"/>
  <c r="AA38" i="16" s="1"/>
  <c r="Z12" i="15"/>
  <c r="T143" i="22"/>
  <c r="AA178" i="22" l="1"/>
  <c r="X159" i="22"/>
  <c r="X162" i="22" s="1"/>
  <c r="W170" i="22"/>
  <c r="T125" i="22"/>
  <c r="Y39" i="15"/>
  <c r="Y40" i="15" s="1"/>
  <c r="Z36" i="15" s="1"/>
  <c r="T146" i="22"/>
  <c r="T154" i="22" s="1"/>
  <c r="AD27" i="8"/>
  <c r="AB12" i="15"/>
  <c r="AC27" i="8"/>
  <c r="AB38" i="16" s="1"/>
  <c r="AA12" i="15"/>
  <c r="AB175" i="22" l="1"/>
  <c r="AB178" i="22" s="1"/>
  <c r="AB186" i="22" s="1"/>
  <c r="AA186" i="22"/>
  <c r="Y159" i="22"/>
  <c r="X170" i="22"/>
  <c r="T128" i="22"/>
  <c r="T138" i="22" s="1"/>
  <c r="Z39" i="15"/>
  <c r="Z40" i="15" s="1"/>
  <c r="AA36" i="15" s="1"/>
  <c r="U143" i="22"/>
  <c r="Y162" i="22" l="1"/>
  <c r="U125" i="22"/>
  <c r="AB39" i="15"/>
  <c r="AA39" i="15"/>
  <c r="AA40" i="15" s="1"/>
  <c r="AB36" i="15" s="1"/>
  <c r="U146" i="22"/>
  <c r="U154" i="22" s="1"/>
  <c r="Z159" i="22" l="1"/>
  <c r="Y170" i="22"/>
  <c r="AB40" i="15"/>
  <c r="U128" i="22"/>
  <c r="U138" i="22" s="1"/>
  <c r="V143" i="22"/>
  <c r="Z162" i="22" l="1"/>
  <c r="V125" i="22"/>
  <c r="V146" i="22"/>
  <c r="V154" i="22" s="1"/>
  <c r="AA159" i="22" l="1"/>
  <c r="AA162" i="22" s="1"/>
  <c r="Z170" i="22"/>
  <c r="V128" i="22"/>
  <c r="V138" i="22" s="1"/>
  <c r="W143" i="22"/>
  <c r="AB159" i="22" l="1"/>
  <c r="AB162" i="22" s="1"/>
  <c r="AB170" i="22" s="1"/>
  <c r="AA170" i="22"/>
  <c r="W125" i="22"/>
  <c r="W146" i="22"/>
  <c r="W154" i="22" s="1"/>
  <c r="W128" i="22" l="1"/>
  <c r="W138" i="22" s="1"/>
  <c r="X143" i="22"/>
  <c r="X125" i="22" l="1"/>
  <c r="X146" i="22"/>
  <c r="X154" i="22" s="1"/>
  <c r="X128" i="22" l="1"/>
  <c r="X138" i="22" s="1"/>
  <c r="Y143" i="22"/>
  <c r="Y125" i="22" l="1"/>
  <c r="Y146" i="22"/>
  <c r="Y154" i="22" s="1"/>
  <c r="Y128" i="22" l="1"/>
  <c r="Y138" i="22" s="1"/>
  <c r="Z143" i="22"/>
  <c r="Z125" i="22" l="1"/>
  <c r="Z146" i="22"/>
  <c r="Z154" i="22" s="1"/>
  <c r="Z128" i="22" l="1"/>
  <c r="Z138" i="22" s="1"/>
  <c r="AA143" i="22"/>
  <c r="AA125" i="22" l="1"/>
  <c r="AA146" i="22"/>
  <c r="AA154" i="22" s="1"/>
  <c r="AA128" i="22" l="1"/>
  <c r="AA138" i="22" s="1"/>
  <c r="AB143" i="22"/>
  <c r="AB125" i="22" l="1"/>
  <c r="AB146" i="22"/>
  <c r="AB128" i="22" l="1"/>
  <c r="AB138" i="22" s="1"/>
  <c r="AB154" i="22"/>
  <c r="H211" i="16" l="1"/>
  <c r="H117" i="16" l="1"/>
  <c r="AF14" i="16"/>
  <c r="H210" i="16"/>
  <c r="H66" i="16" l="1"/>
  <c r="H67" i="16" l="1"/>
  <c r="AR20" i="16" l="1"/>
  <c r="AQ20" i="16"/>
  <c r="AR26" i="16"/>
  <c r="AQ26" i="16"/>
  <c r="AW36" i="16"/>
  <c r="AV36" i="16"/>
  <c r="AU36" i="16"/>
  <c r="AT36" i="16"/>
  <c r="AS36" i="16"/>
  <c r="AR36" i="16"/>
  <c r="AQ36" i="16"/>
  <c r="AR44" i="16"/>
  <c r="AQ44" i="16"/>
  <c r="AR15" i="16"/>
  <c r="AQ15" i="16"/>
  <c r="X27" i="8" l="1"/>
  <c r="W38" i="16" s="1"/>
  <c r="W27" i="8"/>
  <c r="V38" i="16" s="1"/>
  <c r="V27" i="8"/>
  <c r="U38" i="16" s="1"/>
  <c r="U27" i="8"/>
  <c r="T38" i="16" s="1"/>
  <c r="T27" i="8"/>
  <c r="S38" i="16" s="1"/>
  <c r="S27" i="8"/>
  <c r="R38" i="16" s="1"/>
  <c r="R27" i="8"/>
  <c r="Q38" i="16" s="1"/>
  <c r="Q27" i="8"/>
  <c r="P38" i="16" s="1"/>
  <c r="P27" i="8"/>
  <c r="O38" i="16" s="1"/>
  <c r="O27" i="8"/>
  <c r="N38" i="16" s="1"/>
  <c r="N27" i="8"/>
  <c r="M38" i="16" s="1"/>
  <c r="M27" i="8"/>
  <c r="L38" i="16" s="1"/>
  <c r="H52" i="6" l="1"/>
  <c r="H43" i="6" s="1"/>
  <c r="I120" i="16" l="1"/>
  <c r="I122" i="16" l="1"/>
  <c r="J27" i="8" l="1"/>
  <c r="I38" i="16" s="1"/>
  <c r="H215" i="16"/>
  <c r="P120" i="22" l="1"/>
  <c r="P111" i="22"/>
  <c r="Q120" i="22" l="1"/>
  <c r="Q111" i="22"/>
  <c r="R120" i="22" l="1"/>
  <c r="R111" i="22"/>
  <c r="S120" i="22" l="1"/>
  <c r="S111" i="22"/>
  <c r="T120" i="22" l="1"/>
  <c r="T111" i="22"/>
  <c r="U120" i="22" l="1"/>
  <c r="U111" i="22"/>
  <c r="V120" i="22" l="1"/>
  <c r="V111" i="22"/>
  <c r="W120" i="22" l="1"/>
  <c r="W111" i="22"/>
  <c r="X120" i="22" l="1"/>
  <c r="X111" i="22"/>
  <c r="Y120" i="22" l="1"/>
  <c r="Y111" i="22"/>
  <c r="Z120" i="22" l="1"/>
  <c r="Z111" i="22"/>
  <c r="AA120" i="22" l="1"/>
  <c r="AA111" i="22"/>
  <c r="AB120" i="22" l="1"/>
  <c r="AB111" i="22"/>
  <c r="AA15" i="22" s="1"/>
  <c r="AC64" i="8" s="1"/>
  <c r="AB59" i="16" l="1"/>
  <c r="AB19" i="16"/>
  <c r="L27" i="8" l="1"/>
  <c r="K38" i="16" s="1"/>
  <c r="K27" i="8"/>
  <c r="J38" i="16" s="1"/>
  <c r="J57" i="2" l="1"/>
  <c r="I28" i="11" l="1"/>
  <c r="I104" i="11" s="1"/>
  <c r="I14" i="6"/>
  <c r="I24" i="11"/>
  <c r="K39" i="8" s="1"/>
  <c r="J102" i="16" l="1"/>
  <c r="J45" i="16"/>
  <c r="K44" i="7"/>
  <c r="I117" i="11"/>
  <c r="I128" i="11" s="1"/>
  <c r="I33" i="11"/>
  <c r="J82" i="16" l="1"/>
  <c r="I130" i="11"/>
  <c r="I141" i="11" s="1"/>
  <c r="I37" i="11"/>
  <c r="I282" i="22"/>
  <c r="I28" i="22" s="1"/>
  <c r="I115" i="11"/>
  <c r="J17" i="16" l="1"/>
  <c r="I35" i="11"/>
  <c r="I36" i="6" s="1"/>
  <c r="I51" i="6"/>
  <c r="I329" i="22"/>
  <c r="I284" i="22"/>
  <c r="I337" i="22"/>
  <c r="I12" i="11"/>
  <c r="I10" i="11" s="1"/>
  <c r="J51" i="11"/>
  <c r="J79" i="11" s="1"/>
  <c r="J119" i="16" l="1"/>
  <c r="I338" i="22"/>
  <c r="K37" i="8"/>
  <c r="J284" i="22"/>
  <c r="I326" i="22"/>
  <c r="I32" i="11"/>
  <c r="K34" i="8" l="1"/>
  <c r="J44" i="16"/>
  <c r="K284" i="22"/>
  <c r="L284" i="22" s="1"/>
  <c r="M284" i="22" s="1"/>
  <c r="N284" i="22" s="1"/>
  <c r="I327" i="22"/>
  <c r="I14" i="22" s="1"/>
  <c r="K50" i="8" s="1"/>
  <c r="J109" i="16"/>
  <c r="I34" i="6"/>
  <c r="J43" i="16" l="1"/>
  <c r="J53" i="16"/>
  <c r="J18" i="16"/>
  <c r="O284" i="22"/>
  <c r="P284" i="22" s="1"/>
  <c r="Q284" i="22" s="1"/>
  <c r="J113" i="16"/>
  <c r="R284" i="22" l="1"/>
  <c r="S284" i="22" s="1"/>
  <c r="T284" i="22" l="1"/>
  <c r="U284" i="22" s="1"/>
  <c r="V284" i="22" s="1"/>
  <c r="W284" i="22" l="1"/>
  <c r="X284" i="22" s="1"/>
  <c r="Y284" i="22" s="1"/>
  <c r="Z284" i="22" s="1"/>
  <c r="AA284" i="22" l="1"/>
  <c r="AB284" i="22" s="1"/>
  <c r="I328" i="22" l="1"/>
  <c r="J77" i="11"/>
  <c r="K57" i="2" s="1"/>
  <c r="J24" i="11" l="1"/>
  <c r="L39" i="8" s="1"/>
  <c r="J28" i="11"/>
  <c r="J14" i="6"/>
  <c r="K45" i="16" l="1"/>
  <c r="K102" i="16"/>
  <c r="J33" i="11"/>
  <c r="J104" i="11"/>
  <c r="J117" i="11" s="1"/>
  <c r="J128" i="11" s="1"/>
  <c r="L44" i="7"/>
  <c r="K82" i="16" l="1"/>
  <c r="J130" i="11"/>
  <c r="J141" i="11" s="1"/>
  <c r="J282" i="22"/>
  <c r="J115" i="11"/>
  <c r="J37" i="11"/>
  <c r="K17" i="16" l="1"/>
  <c r="J329" i="22"/>
  <c r="J285" i="22"/>
  <c r="J28" i="22"/>
  <c r="J51" i="6" s="1"/>
  <c r="J337" i="22"/>
  <c r="J35" i="11"/>
  <c r="K51" i="11"/>
  <c r="K79" i="11" s="1"/>
  <c r="J12" i="11"/>
  <c r="J10" i="11" s="1"/>
  <c r="L37" i="8" s="1"/>
  <c r="K119" i="16" l="1"/>
  <c r="L34" i="8"/>
  <c r="J338" i="22"/>
  <c r="K285" i="22"/>
  <c r="J326" i="22"/>
  <c r="K44" i="16"/>
  <c r="K77" i="11"/>
  <c r="L57" i="2" s="1"/>
  <c r="J36" i="6"/>
  <c r="J32" i="11"/>
  <c r="K43" i="16" l="1"/>
  <c r="L285" i="22"/>
  <c r="M285" i="22" s="1"/>
  <c r="N285" i="22" s="1"/>
  <c r="J327" i="22"/>
  <c r="K109" i="16"/>
  <c r="J34" i="6"/>
  <c r="K14" i="6"/>
  <c r="K28" i="11"/>
  <c r="K104" i="11" s="1"/>
  <c r="K115" i="11" s="1"/>
  <c r="K24" i="11"/>
  <c r="M39" i="8" s="1"/>
  <c r="L102" i="16" l="1"/>
  <c r="L45" i="16"/>
  <c r="K282" i="22"/>
  <c r="K329" i="22" s="1"/>
  <c r="K130" i="11"/>
  <c r="K117" i="11"/>
  <c r="K128" i="11" s="1"/>
  <c r="O285" i="22"/>
  <c r="K33" i="11"/>
  <c r="M44" i="7"/>
  <c r="K113" i="16"/>
  <c r="K286" i="22" l="1"/>
  <c r="L286" i="22" s="1"/>
  <c r="K28" i="22"/>
  <c r="K51" i="6" s="1"/>
  <c r="K337" i="22"/>
  <c r="K338" i="22" s="1"/>
  <c r="P285" i="22"/>
  <c r="Q285" i="22" s="1"/>
  <c r="R285" i="22" s="1"/>
  <c r="L82" i="16"/>
  <c r="K141" i="11"/>
  <c r="K37" i="11"/>
  <c r="L119" i="16" l="1"/>
  <c r="L17" i="16"/>
  <c r="K326" i="22"/>
  <c r="S285" i="22"/>
  <c r="K35" i="11"/>
  <c r="L51" i="11"/>
  <c r="L79" i="11" s="1"/>
  <c r="K12" i="11"/>
  <c r="M286" i="22"/>
  <c r="K327" i="22"/>
  <c r="T285" i="22" l="1"/>
  <c r="N286" i="22"/>
  <c r="K10" i="11"/>
  <c r="L77" i="11"/>
  <c r="M57" i="2" s="1"/>
  <c r="K36" i="6"/>
  <c r="K32" i="11"/>
  <c r="M37" i="8" l="1"/>
  <c r="U285" i="22"/>
  <c r="L109" i="16"/>
  <c r="K34" i="6"/>
  <c r="L14" i="6"/>
  <c r="L28" i="11"/>
  <c r="L104" i="11" s="1"/>
  <c r="L282" i="22" s="1"/>
  <c r="L24" i="11"/>
  <c r="O286" i="22"/>
  <c r="P286" i="22" s="1"/>
  <c r="M34" i="8" l="1"/>
  <c r="M102" i="16"/>
  <c r="L44" i="16"/>
  <c r="L115" i="11"/>
  <c r="L130" i="11"/>
  <c r="L117" i="11"/>
  <c r="L128" i="11" s="1"/>
  <c r="V285" i="22"/>
  <c r="Q286" i="22"/>
  <c r="R286" i="22" s="1"/>
  <c r="L329" i="22"/>
  <c r="L28" i="22"/>
  <c r="L51" i="6" s="1"/>
  <c r="L337" i="22"/>
  <c r="L287" i="22"/>
  <c r="N39" i="8"/>
  <c r="L33" i="11"/>
  <c r="N44" i="7"/>
  <c r="L113" i="16"/>
  <c r="L43" i="16" l="1"/>
  <c r="M119" i="16"/>
  <c r="M45" i="16"/>
  <c r="W285" i="22"/>
  <c r="X285" i="22" s="1"/>
  <c r="L338" i="22"/>
  <c r="M82" i="16"/>
  <c r="M287" i="22"/>
  <c r="L326" i="22"/>
  <c r="L141" i="11"/>
  <c r="L37" i="11"/>
  <c r="S286" i="22"/>
  <c r="M17" i="16" l="1"/>
  <c r="Y285" i="22"/>
  <c r="T286" i="22"/>
  <c r="L35" i="11"/>
  <c r="M51" i="11"/>
  <c r="M79" i="11" s="1"/>
  <c r="L12" i="11"/>
  <c r="N287" i="22"/>
  <c r="L327" i="22"/>
  <c r="Z285" i="22" l="1"/>
  <c r="AA285" i="22" s="1"/>
  <c r="O287" i="22"/>
  <c r="P287" i="22" s="1"/>
  <c r="L10" i="11"/>
  <c r="M77" i="11"/>
  <c r="N57" i="2" s="1"/>
  <c r="L36" i="6"/>
  <c r="L32" i="11"/>
  <c r="U286" i="22"/>
  <c r="N37" i="8" l="1"/>
  <c r="AB285" i="22"/>
  <c r="J328" i="22"/>
  <c r="V286" i="22"/>
  <c r="M109" i="16"/>
  <c r="L34" i="6"/>
  <c r="M14" i="6"/>
  <c r="M28" i="11"/>
  <c r="M104" i="11" s="1"/>
  <c r="M115" i="11" s="1"/>
  <c r="M24" i="11"/>
  <c r="Q287" i="22"/>
  <c r="N34" i="8" l="1"/>
  <c r="N102" i="16"/>
  <c r="M282" i="22"/>
  <c r="M329" i="22" s="1"/>
  <c r="M44" i="16"/>
  <c r="M130" i="11"/>
  <c r="M117" i="11"/>
  <c r="M128" i="11" s="1"/>
  <c r="R287" i="22"/>
  <c r="O39" i="8"/>
  <c r="M33" i="11"/>
  <c r="O44" i="7"/>
  <c r="M113" i="16"/>
  <c r="W286" i="22"/>
  <c r="M43" i="16" l="1"/>
  <c r="N45" i="16"/>
  <c r="M288" i="22"/>
  <c r="N288" i="22" s="1"/>
  <c r="M337" i="22"/>
  <c r="M338" i="22" s="1"/>
  <c r="M28" i="22"/>
  <c r="M51" i="6" s="1"/>
  <c r="X286" i="22"/>
  <c r="N82" i="16"/>
  <c r="M141" i="11"/>
  <c r="M37" i="11"/>
  <c r="S287" i="22"/>
  <c r="T287" i="22" s="1"/>
  <c r="U287" i="22" s="1"/>
  <c r="V287" i="22" s="1"/>
  <c r="N119" i="16" l="1"/>
  <c r="N17" i="16"/>
  <c r="M326" i="22"/>
  <c r="W287" i="22"/>
  <c r="X287" i="22" s="1"/>
  <c r="Y287" i="22" s="1"/>
  <c r="Z287" i="22" s="1"/>
  <c r="AA287" i="22" s="1"/>
  <c r="AB287" i="22" s="1"/>
  <c r="M35" i="11"/>
  <c r="N51" i="11"/>
  <c r="N79" i="11" s="1"/>
  <c r="M12" i="11"/>
  <c r="O288" i="22"/>
  <c r="M327" i="22"/>
  <c r="M14" i="22" s="1"/>
  <c r="O50" i="8" s="1"/>
  <c r="Y286" i="22"/>
  <c r="N53" i="16" l="1"/>
  <c r="Z286" i="22"/>
  <c r="AA286" i="22" s="1"/>
  <c r="N18" i="16"/>
  <c r="P288" i="22"/>
  <c r="Q288" i="22" s="1"/>
  <c r="R288" i="22" s="1"/>
  <c r="M10" i="11"/>
  <c r="N77" i="11"/>
  <c r="O57" i="2" s="1"/>
  <c r="M36" i="6"/>
  <c r="M32" i="11"/>
  <c r="O37" i="8" l="1"/>
  <c r="K328" i="22"/>
  <c r="AB286" i="22"/>
  <c r="L328" i="22"/>
  <c r="S288" i="22"/>
  <c r="T288" i="22" s="1"/>
  <c r="N109" i="16"/>
  <c r="M34" i="6"/>
  <c r="N14" i="6"/>
  <c r="N28" i="11"/>
  <c r="N104" i="11" s="1"/>
  <c r="N115" i="11" s="1"/>
  <c r="N24" i="11"/>
  <c r="O34" i="8" l="1"/>
  <c r="O102" i="16"/>
  <c r="N282" i="22"/>
  <c r="N28" i="22" s="1"/>
  <c r="N51" i="6" s="1"/>
  <c r="H103" i="11"/>
  <c r="N44" i="16"/>
  <c r="N130" i="11"/>
  <c r="N117" i="11"/>
  <c r="N128" i="11" s="1"/>
  <c r="U288" i="22"/>
  <c r="P39" i="8"/>
  <c r="P44" i="7"/>
  <c r="N33" i="11"/>
  <c r="N113" i="16"/>
  <c r="N43" i="16" l="1"/>
  <c r="O119" i="16"/>
  <c r="O45" i="16"/>
  <c r="N289" i="22"/>
  <c r="O289" i="22" s="1"/>
  <c r="N337" i="22"/>
  <c r="N329" i="22"/>
  <c r="V288" i="22"/>
  <c r="W288" i="22" s="1"/>
  <c r="X288" i="22" s="1"/>
  <c r="O82" i="16"/>
  <c r="N141" i="11"/>
  <c r="N37" i="11"/>
  <c r="O17" i="16" l="1"/>
  <c r="N338" i="22"/>
  <c r="N326" i="22"/>
  <c r="Y288" i="22"/>
  <c r="Z288" i="22" s="1"/>
  <c r="AA288" i="22" s="1"/>
  <c r="AB288" i="22" s="1"/>
  <c r="N35" i="11"/>
  <c r="O51" i="11"/>
  <c r="O79" i="11" s="1"/>
  <c r="N12" i="11"/>
  <c r="P289" i="22"/>
  <c r="N327" i="22"/>
  <c r="N14" i="22" s="1"/>
  <c r="P50" i="8" s="1"/>
  <c r="O53" i="16" l="1"/>
  <c r="M328" i="22"/>
  <c r="O18" i="16"/>
  <c r="Q289" i="22"/>
  <c r="R289" i="22" s="1"/>
  <c r="S289" i="22" s="1"/>
  <c r="N10" i="11"/>
  <c r="O77" i="11"/>
  <c r="P57" i="2" s="1"/>
  <c r="N36" i="6"/>
  <c r="N32" i="11"/>
  <c r="P37" i="8" l="1"/>
  <c r="T289" i="22"/>
  <c r="O109" i="16"/>
  <c r="N34" i="6"/>
  <c r="O28" i="11"/>
  <c r="O104" i="11" s="1"/>
  <c r="O14" i="6"/>
  <c r="O24" i="11"/>
  <c r="P34" i="8" l="1"/>
  <c r="O282" i="22"/>
  <c r="P102" i="16"/>
  <c r="P17" i="16"/>
  <c r="O44" i="16"/>
  <c r="O115" i="11"/>
  <c r="O130" i="11"/>
  <c r="O117" i="11"/>
  <c r="O128" i="11" s="1"/>
  <c r="U289" i="22"/>
  <c r="V289" i="22" s="1"/>
  <c r="W289" i="22" s="1"/>
  <c r="X289" i="22" s="1"/>
  <c r="Y289" i="22" s="1"/>
  <c r="Q39" i="8"/>
  <c r="O33" i="11"/>
  <c r="Q44" i="7"/>
  <c r="O113" i="16"/>
  <c r="O28" i="22" l="1"/>
  <c r="O51" i="6" s="1"/>
  <c r="O329" i="22"/>
  <c r="O337" i="22"/>
  <c r="O290" i="22"/>
  <c r="O43" i="16"/>
  <c r="Z289" i="22"/>
  <c r="P82" i="16"/>
  <c r="O141" i="11"/>
  <c r="O37" i="11"/>
  <c r="O338" i="22" l="1"/>
  <c r="P290" i="22"/>
  <c r="O326" i="22"/>
  <c r="P119" i="16"/>
  <c r="AA289" i="22"/>
  <c r="N328" i="22" s="1"/>
  <c r="O35" i="11"/>
  <c r="P51" i="11"/>
  <c r="P79" i="11" s="1"/>
  <c r="O12" i="11"/>
  <c r="Q290" i="22" l="1"/>
  <c r="R290" i="22" s="1"/>
  <c r="S290" i="22" s="1"/>
  <c r="O327" i="22"/>
  <c r="O14" i="22" s="1"/>
  <c r="Q50" i="8" s="1"/>
  <c r="AB289" i="22"/>
  <c r="O10" i="11"/>
  <c r="Q37" i="8" s="1"/>
  <c r="P77" i="11"/>
  <c r="Q57" i="2" s="1"/>
  <c r="O36" i="6"/>
  <c r="O32" i="11"/>
  <c r="P53" i="16" l="1"/>
  <c r="P18" i="16"/>
  <c r="Q34" i="8"/>
  <c r="P109" i="16"/>
  <c r="O34" i="6"/>
  <c r="P28" i="11"/>
  <c r="P104" i="11" s="1"/>
  <c r="P14" i="6"/>
  <c r="P24" i="11"/>
  <c r="P46" i="16"/>
  <c r="T290" i="22"/>
  <c r="P43" i="16" l="1"/>
  <c r="P282" i="22"/>
  <c r="Q102" i="16"/>
  <c r="Q17" i="16"/>
  <c r="P115" i="11"/>
  <c r="P130" i="11"/>
  <c r="P117" i="11"/>
  <c r="U290" i="22"/>
  <c r="V290" i="22" s="1"/>
  <c r="W290" i="22" s="1"/>
  <c r="R39" i="8"/>
  <c r="R44" i="7"/>
  <c r="P33" i="11"/>
  <c r="P113" i="16"/>
  <c r="P329" i="22" l="1"/>
  <c r="P28" i="22"/>
  <c r="P51" i="6" s="1"/>
  <c r="P337" i="22"/>
  <c r="P291" i="22"/>
  <c r="X290" i="22"/>
  <c r="Q82" i="16"/>
  <c r="Q119" i="16" l="1"/>
  <c r="P338" i="22"/>
  <c r="Q291" i="22"/>
  <c r="P326" i="22"/>
  <c r="Y290" i="22"/>
  <c r="Z290" i="22" s="1"/>
  <c r="AA290" i="22" s="1"/>
  <c r="R291" i="22" l="1"/>
  <c r="S291" i="22" s="1"/>
  <c r="T291" i="22" s="1"/>
  <c r="U291" i="22" s="1"/>
  <c r="V291" i="22" s="1"/>
  <c r="P327" i="22"/>
  <c r="P14" i="22" s="1"/>
  <c r="R50" i="8" s="1"/>
  <c r="AB290" i="22"/>
  <c r="O328" i="22"/>
  <c r="O15" i="22" s="1"/>
  <c r="Q64" i="8" s="1"/>
  <c r="Q53" i="16" l="1"/>
  <c r="Q18" i="16"/>
  <c r="P19" i="16"/>
  <c r="P59" i="16"/>
  <c r="W291" i="22"/>
  <c r="X291" i="22" l="1"/>
  <c r="Y291" i="22" s="1"/>
  <c r="Z291" i="22" l="1"/>
  <c r="AA291" i="22" s="1"/>
  <c r="P328" i="22" s="1"/>
  <c r="P15" i="22" s="1"/>
  <c r="R64" i="8" s="1"/>
  <c r="Q19" i="16" l="1"/>
  <c r="Q59" i="16"/>
  <c r="AB291" i="22"/>
  <c r="K67" i="22" l="1"/>
  <c r="L67" i="22" s="1"/>
  <c r="H119" i="22"/>
  <c r="H120" i="22" s="1"/>
  <c r="I18" i="16" l="1"/>
  <c r="M67" i="22"/>
  <c r="J66" i="22" l="1"/>
  <c r="J111" i="22" s="1"/>
  <c r="K112" i="22" s="1"/>
  <c r="J14" i="22" s="1"/>
  <c r="L50" i="8" s="1"/>
  <c r="J64" i="8"/>
  <c r="N67" i="22"/>
  <c r="O67" i="22" s="1"/>
  <c r="K53" i="16" l="1"/>
  <c r="I19" i="16"/>
  <c r="I59" i="16"/>
  <c r="J120" i="22"/>
  <c r="P67" i="22"/>
  <c r="Q67" i="22" s="1"/>
  <c r="K18" i="16"/>
  <c r="I15" i="22"/>
  <c r="K64" i="8" s="1"/>
  <c r="K66" i="22"/>
  <c r="J59" i="16" l="1"/>
  <c r="R67" i="22"/>
  <c r="S67" i="22" s="1"/>
  <c r="K120" i="22"/>
  <c r="K111" i="22"/>
  <c r="L112" i="22" s="1"/>
  <c r="K14" i="22" s="1"/>
  <c r="M50" i="8" s="1"/>
  <c r="J19" i="16"/>
  <c r="L53" i="16" l="1"/>
  <c r="T67" i="22"/>
  <c r="U67" i="22" s="1"/>
  <c r="V67" i="22" s="1"/>
  <c r="W67" i="22" s="1"/>
  <c r="L18" i="16"/>
  <c r="J15" i="22"/>
  <c r="L64" i="8" s="1"/>
  <c r="L66" i="22"/>
  <c r="K59" i="16" l="1"/>
  <c r="X67" i="22"/>
  <c r="Y67" i="22" s="1"/>
  <c r="L120" i="22"/>
  <c r="L111" i="22"/>
  <c r="M112" i="22" s="1"/>
  <c r="L14" i="22" s="1"/>
  <c r="N50" i="8" s="1"/>
  <c r="K19" i="16"/>
  <c r="M53" i="16" l="1"/>
  <c r="Z67" i="22"/>
  <c r="AA67" i="22" s="1"/>
  <c r="M18" i="16"/>
  <c r="K15" i="22"/>
  <c r="M64" i="8" s="1"/>
  <c r="M66" i="22"/>
  <c r="L59" i="16" l="1"/>
  <c r="AB67" i="22"/>
  <c r="M120" i="22"/>
  <c r="M111" i="22"/>
  <c r="L19" i="16"/>
  <c r="L15" i="22" l="1"/>
  <c r="N64" i="8" s="1"/>
  <c r="N66" i="22"/>
  <c r="M59" i="16" l="1"/>
  <c r="N120" i="22"/>
  <c r="N111" i="22"/>
  <c r="M19" i="16"/>
  <c r="M15" i="22" l="1"/>
  <c r="O64" i="8" s="1"/>
  <c r="O66" i="22"/>
  <c r="N59" i="16" l="1"/>
  <c r="O120" i="22"/>
  <c r="O111" i="22"/>
  <c r="N15" i="22" s="1"/>
  <c r="P64" i="8" s="1"/>
  <c r="N19" i="16"/>
  <c r="O59" i="16" l="1"/>
  <c r="O19" i="16"/>
  <c r="H138" i="22" l="1"/>
  <c r="H20" i="22" l="1"/>
  <c r="J64" i="7" s="1"/>
  <c r="J63" i="7" s="1"/>
  <c r="I88" i="16" l="1"/>
  <c r="AD19" i="7"/>
  <c r="AC19" i="7" l="1"/>
  <c r="AB19" i="7"/>
  <c r="AA19" i="7"/>
  <c r="Z19" i="7"/>
  <c r="Y19" i="7"/>
  <c r="X19" i="7"/>
  <c r="W19" i="7"/>
  <c r="V19" i="7"/>
  <c r="U19" i="7"/>
  <c r="T19" i="7"/>
  <c r="S19" i="7"/>
  <c r="R19" i="7"/>
  <c r="AD20" i="8" l="1"/>
  <c r="J20" i="8" l="1"/>
  <c r="K20" i="8" l="1"/>
  <c r="L20" i="8"/>
  <c r="M20" i="8"/>
  <c r="N20" i="8"/>
  <c r="O20" i="8"/>
  <c r="P20" i="8"/>
  <c r="Q20" i="8"/>
  <c r="P36" i="16" s="1"/>
  <c r="R20" i="8"/>
  <c r="Q36" i="16" s="1"/>
  <c r="S20" i="8"/>
  <c r="R36" i="16" s="1"/>
  <c r="T20" i="8"/>
  <c r="S36" i="16" s="1"/>
  <c r="U20" i="8"/>
  <c r="T36" i="16" s="1"/>
  <c r="V20" i="8"/>
  <c r="U36" i="16" s="1"/>
  <c r="W20" i="8"/>
  <c r="V36" i="16" s="1"/>
  <c r="X20" i="8"/>
  <c r="W36" i="16" s="1"/>
  <c r="Y20" i="8"/>
  <c r="X36" i="16" s="1"/>
  <c r="Z20" i="8"/>
  <c r="Y36" i="16" s="1"/>
  <c r="AA20" i="8"/>
  <c r="Z36" i="16" s="1"/>
  <c r="AB20" i="8"/>
  <c r="AA36" i="16" s="1"/>
  <c r="AC20" i="8"/>
  <c r="AB36" i="16" s="1"/>
  <c r="H36" i="7" l="1"/>
  <c r="I36" i="7"/>
  <c r="I42" i="7" s="1"/>
  <c r="I61" i="7" s="1"/>
  <c r="G49" i="2"/>
  <c r="H49" i="2"/>
  <c r="G53" i="2"/>
  <c r="H53" i="2"/>
  <c r="I53" i="2" s="1"/>
  <c r="G65" i="2"/>
  <c r="H65" i="2"/>
  <c r="G33" i="12"/>
  <c r="H33" i="12"/>
  <c r="J53" i="2" l="1"/>
  <c r="K53" i="2" s="1"/>
  <c r="I54" i="2"/>
  <c r="H35" i="7"/>
  <c r="G78" i="16" s="1"/>
  <c r="G79" i="16" s="1"/>
  <c r="H42" i="7"/>
  <c r="H61" i="7" s="1"/>
  <c r="I47" i="12"/>
  <c r="I35" i="7"/>
  <c r="H78" i="16" s="1"/>
  <c r="H79" i="16" s="1"/>
  <c r="I70" i="7"/>
  <c r="I81" i="7" s="1"/>
  <c r="K54" i="2" l="1"/>
  <c r="J54" i="2"/>
  <c r="L53" i="2"/>
  <c r="M53" i="2" s="1"/>
  <c r="G44" i="15"/>
  <c r="G45" i="15"/>
  <c r="H90" i="16"/>
  <c r="G12" i="16"/>
  <c r="AE12" i="16" s="1"/>
  <c r="AE13" i="16" s="1"/>
  <c r="AE15" i="16" s="1"/>
  <c r="H86" i="16"/>
  <c r="H87" i="16" s="1"/>
  <c r="H80" i="16"/>
  <c r="H81" i="16" s="1"/>
  <c r="H12" i="16"/>
  <c r="G80" i="16"/>
  <c r="G81" i="16" s="1"/>
  <c r="H94" i="16"/>
  <c r="H16" i="16"/>
  <c r="G14" i="16" l="1"/>
  <c r="G13" i="16"/>
  <c r="L54" i="2"/>
  <c r="N53" i="2"/>
  <c r="O53" i="2" s="1"/>
  <c r="M54" i="2"/>
  <c r="K55" i="2"/>
  <c r="I55" i="2"/>
  <c r="I52" i="2"/>
  <c r="G27" i="16"/>
  <c r="G23" i="16"/>
  <c r="G212" i="16" s="1"/>
  <c r="G86" i="16"/>
  <c r="G87" i="16" s="1"/>
  <c r="H70" i="7"/>
  <c r="G208" i="16"/>
  <c r="H208" i="16"/>
  <c r="H24" i="16"/>
  <c r="H14" i="16"/>
  <c r="H13" i="16"/>
  <c r="H23" i="16"/>
  <c r="AF12" i="16"/>
  <c r="AF13" i="16" s="1"/>
  <c r="AF15" i="16" s="1"/>
  <c r="H27" i="16"/>
  <c r="J47" i="12"/>
  <c r="H95" i="16"/>
  <c r="H212" i="16" l="1"/>
  <c r="N54" i="2"/>
  <c r="P53" i="2"/>
  <c r="Q53" i="2" s="1"/>
  <c r="O54" i="2"/>
  <c r="K47" i="12"/>
  <c r="H81" i="7"/>
  <c r="G94" i="16" s="1"/>
  <c r="I48" i="2"/>
  <c r="G90" i="16"/>
  <c r="F44" i="15"/>
  <c r="M55" i="2"/>
  <c r="L55" i="2"/>
  <c r="G16" i="16" l="1"/>
  <c r="P54" i="2"/>
  <c r="R53" i="2"/>
  <c r="Q54" i="2"/>
  <c r="L47" i="12"/>
  <c r="G95" i="16"/>
  <c r="R54" i="2" l="1"/>
  <c r="S53" i="2"/>
  <c r="T53" i="2" s="1"/>
  <c r="M47" i="12"/>
  <c r="P55" i="2"/>
  <c r="O55" i="2"/>
  <c r="T54" i="2" l="1"/>
  <c r="U53" i="2"/>
  <c r="S54" i="2"/>
  <c r="N47" i="12"/>
  <c r="Q55" i="2"/>
  <c r="U54" i="2" l="1"/>
  <c r="V53" i="2"/>
  <c r="W53" i="2" s="1"/>
  <c r="O47" i="12"/>
  <c r="R55" i="2"/>
  <c r="V54" i="2" l="1"/>
  <c r="X53" i="2"/>
  <c r="Y53" i="2" s="1"/>
  <c r="W54" i="2"/>
  <c r="P47" i="12"/>
  <c r="T55" i="2"/>
  <c r="S55" i="2"/>
  <c r="X54" i="2" l="1"/>
  <c r="Z53" i="2"/>
  <c r="AA53" i="2" s="1"/>
  <c r="Y54" i="2"/>
  <c r="Q47" i="12"/>
  <c r="U55" i="2"/>
  <c r="W55" i="2"/>
  <c r="AA54" i="2" l="1"/>
  <c r="Z54" i="2"/>
  <c r="AB53" i="2"/>
  <c r="AB54" i="2" s="1"/>
  <c r="AB55" i="2" s="1"/>
  <c r="R47" i="12"/>
  <c r="V55" i="2"/>
  <c r="AC53" i="2" l="1"/>
  <c r="AC54" i="2" s="1"/>
  <c r="AC55" i="2" s="1"/>
  <c r="S47" i="12"/>
  <c r="X55" i="2"/>
  <c r="T47" i="12" l="1"/>
  <c r="Y55" i="2"/>
  <c r="U47" i="12" l="1"/>
  <c r="AA55" i="2"/>
  <c r="Z55" i="2"/>
  <c r="V47" i="12"/>
  <c r="W47" i="12" l="1"/>
  <c r="X47" i="12" l="1"/>
  <c r="Y47" i="12" l="1"/>
  <c r="Z47" i="12" l="1"/>
  <c r="AA47" i="12" l="1"/>
  <c r="AB47" i="12" l="1"/>
  <c r="AC47" i="12" l="1"/>
  <c r="M28" i="2"/>
  <c r="M34" i="2" s="1"/>
  <c r="N28" i="2"/>
  <c r="N34" i="2" s="1"/>
  <c r="J34" i="2"/>
  <c r="K28" i="2"/>
  <c r="K34" i="2" s="1"/>
  <c r="L28" i="2"/>
  <c r="O28" i="2"/>
  <c r="O34" i="2" s="1"/>
  <c r="P28" i="2"/>
  <c r="P34" i="2" s="1"/>
  <c r="P58" i="2" l="1"/>
  <c r="I31" i="12"/>
  <c r="N19" i="7"/>
  <c r="N17" i="7" s="1"/>
  <c r="M72" i="16" s="1"/>
  <c r="Q19" i="7"/>
  <c r="Q17" i="7" s="1"/>
  <c r="P72" i="16" s="1"/>
  <c r="O35" i="2"/>
  <c r="O52" i="2"/>
  <c r="O31" i="12"/>
  <c r="O58" i="2"/>
  <c r="P31" i="12"/>
  <c r="P35" i="2"/>
  <c r="P52" i="2"/>
  <c r="P48" i="2" s="1"/>
  <c r="J58" i="2"/>
  <c r="J35" i="2"/>
  <c r="J31" i="12"/>
  <c r="M19" i="7"/>
  <c r="M17" i="7" s="1"/>
  <c r="L34" i="2"/>
  <c r="K35" i="2"/>
  <c r="K52" i="2"/>
  <c r="K58" i="2"/>
  <c r="N58" i="2"/>
  <c r="N35" i="2"/>
  <c r="I58" i="2"/>
  <c r="I38" i="2"/>
  <c r="M35" i="2"/>
  <c r="M52" i="2"/>
  <c r="M58" i="2"/>
  <c r="M31" i="12"/>
  <c r="P19" i="7"/>
  <c r="P17" i="7" s="1"/>
  <c r="K19" i="7"/>
  <c r="K17" i="7" s="1"/>
  <c r="O19" i="7"/>
  <c r="O17" i="7" s="1"/>
  <c r="K31" i="12"/>
  <c r="J19" i="7"/>
  <c r="J17" i="7" s="1"/>
  <c r="L19" i="7"/>
  <c r="L17" i="7" s="1"/>
  <c r="N31" i="12"/>
  <c r="N18" i="12" l="1"/>
  <c r="N21" i="12"/>
  <c r="N22" i="12"/>
  <c r="K18" i="12"/>
  <c r="L19" i="8" s="1"/>
  <c r="K37" i="16" s="1"/>
  <c r="K21" i="12"/>
  <c r="K22" i="12"/>
  <c r="M18" i="12"/>
  <c r="N19" i="8" s="1"/>
  <c r="M37" i="16" s="1"/>
  <c r="M21" i="12"/>
  <c r="M22" i="12"/>
  <c r="J18" i="12"/>
  <c r="J21" i="12"/>
  <c r="J25" i="12"/>
  <c r="J22" i="12"/>
  <c r="P21" i="12"/>
  <c r="P22" i="12"/>
  <c r="O18" i="12"/>
  <c r="P19" i="8" s="1"/>
  <c r="O37" i="16" s="1"/>
  <c r="O21" i="12"/>
  <c r="O22" i="12"/>
  <c r="I13" i="12"/>
  <c r="I23" i="12"/>
  <c r="H28" i="6" s="1"/>
  <c r="I39" i="2"/>
  <c r="I64" i="2"/>
  <c r="I65" i="2" s="1"/>
  <c r="P18" i="12"/>
  <c r="Q19" i="8" s="1"/>
  <c r="I18" i="12"/>
  <c r="I21" i="12"/>
  <c r="H26" i="6" s="1"/>
  <c r="I22" i="12"/>
  <c r="H27" i="6" s="1"/>
  <c r="N13" i="12"/>
  <c r="N16" i="12"/>
  <c r="N14" i="12"/>
  <c r="N15" i="12"/>
  <c r="K13" i="12"/>
  <c r="K15" i="12"/>
  <c r="K14" i="12"/>
  <c r="K16" i="12"/>
  <c r="M13" i="12"/>
  <c r="M20" i="6" s="1"/>
  <c r="M15" i="12"/>
  <c r="M14" i="12"/>
  <c r="M16" i="12"/>
  <c r="J13" i="12"/>
  <c r="J16" i="12"/>
  <c r="J14" i="12"/>
  <c r="J15" i="12"/>
  <c r="P13" i="12"/>
  <c r="P16" i="12"/>
  <c r="P14" i="12"/>
  <c r="P15" i="12"/>
  <c r="O13" i="12"/>
  <c r="O15" i="12"/>
  <c r="O14" i="12"/>
  <c r="O16" i="12"/>
  <c r="I15" i="12"/>
  <c r="I16" i="12"/>
  <c r="K48" i="2"/>
  <c r="L35" i="7" s="1"/>
  <c r="K78" i="16" s="1"/>
  <c r="O48" i="2"/>
  <c r="O49" i="2" s="1"/>
  <c r="M48" i="2"/>
  <c r="M26" i="12"/>
  <c r="J26" i="12"/>
  <c r="O26" i="12"/>
  <c r="N26" i="12"/>
  <c r="K26" i="12"/>
  <c r="P26" i="12"/>
  <c r="O31" i="6" s="1"/>
  <c r="I26" i="12"/>
  <c r="H31" i="6" s="1"/>
  <c r="I25" i="12"/>
  <c r="I14" i="12"/>
  <c r="I49" i="2"/>
  <c r="I24" i="12"/>
  <c r="N24" i="7"/>
  <c r="M10" i="16" s="1"/>
  <c r="Q24" i="7"/>
  <c r="P10" i="16" s="1"/>
  <c r="N25" i="12"/>
  <c r="N23" i="12"/>
  <c r="N24" i="12"/>
  <c r="O52" i="8" s="1"/>
  <c r="N55" i="16" s="1"/>
  <c r="K72" i="16"/>
  <c r="L24" i="7"/>
  <c r="J72" i="16"/>
  <c r="K24" i="7"/>
  <c r="M24" i="12"/>
  <c r="N52" i="8" s="1"/>
  <c r="M55" i="16" s="1"/>
  <c r="M23" i="12"/>
  <c r="M25" i="12"/>
  <c r="L72" i="16"/>
  <c r="M24" i="7"/>
  <c r="J24" i="12"/>
  <c r="J23" i="12"/>
  <c r="P49" i="2"/>
  <c r="Q35" i="7"/>
  <c r="P78" i="16" s="1"/>
  <c r="P33" i="12"/>
  <c r="Q36" i="7"/>
  <c r="P24" i="12"/>
  <c r="Q52" i="8" s="1"/>
  <c r="P55" i="16" s="1"/>
  <c r="P25" i="12"/>
  <c r="P23" i="12"/>
  <c r="I72" i="16"/>
  <c r="J24" i="7"/>
  <c r="K25" i="12"/>
  <c r="K24" i="12"/>
  <c r="L52" i="8" s="1"/>
  <c r="K55" i="16" s="1"/>
  <c r="K23" i="12"/>
  <c r="N72" i="16"/>
  <c r="O24" i="7"/>
  <c r="O72" i="16"/>
  <c r="P24" i="7"/>
  <c r="J27" i="7"/>
  <c r="J26" i="7" s="1"/>
  <c r="I74" i="16" s="1"/>
  <c r="I32" i="12"/>
  <c r="I33" i="12"/>
  <c r="J36" i="7"/>
  <c r="J35" i="7" s="1"/>
  <c r="I78" i="16" s="1"/>
  <c r="L35" i="2"/>
  <c r="L58" i="2"/>
  <c r="L52" i="2"/>
  <c r="L31" i="12"/>
  <c r="O25" i="12"/>
  <c r="O24" i="12"/>
  <c r="O23" i="12"/>
  <c r="N30" i="6" l="1"/>
  <c r="M22" i="6"/>
  <c r="O22" i="6"/>
  <c r="M21" i="6"/>
  <c r="J20" i="6"/>
  <c r="J21" i="6"/>
  <c r="O21" i="6"/>
  <c r="J30" i="6"/>
  <c r="O19" i="8"/>
  <c r="N37" i="16" s="1"/>
  <c r="N25" i="6"/>
  <c r="K19" i="8"/>
  <c r="J37" i="16" s="1"/>
  <c r="J25" i="6"/>
  <c r="I30" i="6"/>
  <c r="O20" i="6"/>
  <c r="O25" i="6"/>
  <c r="M25" i="6"/>
  <c r="J22" i="6"/>
  <c r="M31" i="6"/>
  <c r="L18" i="12"/>
  <c r="M19" i="8" s="1"/>
  <c r="L37" i="16" s="1"/>
  <c r="L21" i="12"/>
  <c r="L22" i="12"/>
  <c r="N29" i="6"/>
  <c r="P52" i="8"/>
  <c r="O55" i="16" s="1"/>
  <c r="I29" i="6"/>
  <c r="K52" i="8"/>
  <c r="J55" i="16" s="1"/>
  <c r="H29" i="6"/>
  <c r="J52" i="8"/>
  <c r="I55" i="16" s="1"/>
  <c r="J29" i="6"/>
  <c r="P49" i="8"/>
  <c r="O52" i="16" s="1"/>
  <c r="N28" i="6"/>
  <c r="L49" i="8"/>
  <c r="K52" i="16" s="1"/>
  <c r="J28" i="6"/>
  <c r="Q49" i="8"/>
  <c r="P52" i="16" s="1"/>
  <c r="O28" i="6"/>
  <c r="K49" i="8"/>
  <c r="J52" i="16" s="1"/>
  <c r="I28" i="6"/>
  <c r="N49" i="8"/>
  <c r="M52" i="16" s="1"/>
  <c r="O49" i="8"/>
  <c r="N52" i="16" s="1"/>
  <c r="M28" i="6"/>
  <c r="J14" i="8"/>
  <c r="I20" i="6"/>
  <c r="I21" i="6"/>
  <c r="H21" i="6"/>
  <c r="J71" i="8"/>
  <c r="J66" i="8" s="1"/>
  <c r="I60" i="16" s="1"/>
  <c r="H30" i="6"/>
  <c r="L65" i="8"/>
  <c r="J31" i="6"/>
  <c r="P65" i="8"/>
  <c r="N31" i="6"/>
  <c r="K65" i="8"/>
  <c r="I31" i="6"/>
  <c r="N65" i="8"/>
  <c r="J17" i="8"/>
  <c r="I23" i="6"/>
  <c r="H23" i="6"/>
  <c r="I22" i="6"/>
  <c r="H22" i="6"/>
  <c r="P17" i="8"/>
  <c r="O23" i="6"/>
  <c r="Q17" i="8"/>
  <c r="P44" i="16" s="1"/>
  <c r="K17" i="8"/>
  <c r="J23" i="6"/>
  <c r="N17" i="8"/>
  <c r="M23" i="6"/>
  <c r="L17" i="8"/>
  <c r="O17" i="8"/>
  <c r="N23" i="6"/>
  <c r="J19" i="8"/>
  <c r="I37" i="16" s="1"/>
  <c r="I25" i="6"/>
  <c r="H25" i="6"/>
  <c r="O30" i="6"/>
  <c r="O29" i="6"/>
  <c r="M29" i="6"/>
  <c r="M30" i="6"/>
  <c r="N22" i="6"/>
  <c r="N21" i="6"/>
  <c r="N20" i="6"/>
  <c r="L13" i="12"/>
  <c r="L20" i="6" s="1"/>
  <c r="L16" i="12"/>
  <c r="L14" i="12"/>
  <c r="L21" i="6" s="1"/>
  <c r="L15" i="12"/>
  <c r="L22" i="6" s="1"/>
  <c r="L36" i="7"/>
  <c r="K49" i="2"/>
  <c r="P35" i="7"/>
  <c r="O78" i="16" s="1"/>
  <c r="P36" i="7"/>
  <c r="O33" i="12"/>
  <c r="K33" i="12"/>
  <c r="L48" i="2"/>
  <c r="L49" i="2" s="1"/>
  <c r="N36" i="7"/>
  <c r="M49" i="2"/>
  <c r="N35" i="7"/>
  <c r="M78" i="16" s="1"/>
  <c r="M33" i="12"/>
  <c r="Q65" i="8"/>
  <c r="O65" i="8"/>
  <c r="L26" i="12"/>
  <c r="J15" i="8"/>
  <c r="I33" i="16" s="1"/>
  <c r="J65" i="8"/>
  <c r="J49" i="8"/>
  <c r="I52" i="16" s="1"/>
  <c r="J48" i="8"/>
  <c r="I51" i="16" s="1"/>
  <c r="H20" i="6"/>
  <c r="M73" i="16"/>
  <c r="P73" i="16"/>
  <c r="P79" i="16" s="1"/>
  <c r="P14" i="8"/>
  <c r="L14" i="8"/>
  <c r="L15" i="8"/>
  <c r="K33" i="16" s="1"/>
  <c r="I73" i="16"/>
  <c r="J33" i="7"/>
  <c r="J42" i="7" s="1"/>
  <c r="I10" i="16"/>
  <c r="I11" i="16" s="1"/>
  <c r="Q14" i="8"/>
  <c r="Q71" i="8"/>
  <c r="Q48" i="8"/>
  <c r="P51" i="16" s="1"/>
  <c r="K71" i="8"/>
  <c r="K15" i="8"/>
  <c r="J33" i="16" s="1"/>
  <c r="L73" i="16"/>
  <c r="L10" i="16"/>
  <c r="M11" i="16" s="1"/>
  <c r="N71" i="8"/>
  <c r="K73" i="16"/>
  <c r="K10" i="16"/>
  <c r="O14" i="8"/>
  <c r="O15" i="8"/>
  <c r="N33" i="16" s="1"/>
  <c r="P15" i="8"/>
  <c r="O33" i="16" s="1"/>
  <c r="P71" i="8"/>
  <c r="L25" i="12"/>
  <c r="K30" i="6" s="1"/>
  <c r="L24" i="12"/>
  <c r="L23" i="12"/>
  <c r="O10" i="16"/>
  <c r="O73" i="16"/>
  <c r="N73" i="16"/>
  <c r="N10" i="16"/>
  <c r="N11" i="16" s="1"/>
  <c r="L71" i="8"/>
  <c r="Q15" i="8"/>
  <c r="K14" i="8"/>
  <c r="N15" i="8"/>
  <c r="M33" i="16" s="1"/>
  <c r="N14" i="8"/>
  <c r="J10" i="16"/>
  <c r="J73" i="16"/>
  <c r="O71" i="8"/>
  <c r="K25" i="6" l="1"/>
  <c r="L25" i="6"/>
  <c r="P34" i="16"/>
  <c r="P33" i="16"/>
  <c r="N35" i="16"/>
  <c r="K35" i="16"/>
  <c r="M35" i="16"/>
  <c r="J35" i="16"/>
  <c r="O35" i="16"/>
  <c r="I35" i="16"/>
  <c r="K29" i="6"/>
  <c r="M52" i="8"/>
  <c r="L55" i="16" s="1"/>
  <c r="M49" i="8"/>
  <c r="L52" i="16" s="1"/>
  <c r="K28" i="6"/>
  <c r="M65" i="8"/>
  <c r="K31" i="6"/>
  <c r="L48" i="8"/>
  <c r="K51" i="16" s="1"/>
  <c r="P48" i="8"/>
  <c r="O51" i="16" s="1"/>
  <c r="M17" i="8"/>
  <c r="L23" i="6"/>
  <c r="K20" i="6"/>
  <c r="K22" i="6"/>
  <c r="K21" i="6"/>
  <c r="L29" i="6"/>
  <c r="L30" i="6"/>
  <c r="O27" i="6"/>
  <c r="K23" i="6"/>
  <c r="L31" i="6"/>
  <c r="L28" i="6"/>
  <c r="M36" i="7"/>
  <c r="L33" i="12"/>
  <c r="K27" i="6" s="1"/>
  <c r="M35" i="7"/>
  <c r="L78" i="16" s="1"/>
  <c r="L79" i="16" s="1"/>
  <c r="N48" i="8"/>
  <c r="M51" i="16" s="1"/>
  <c r="J11" i="16"/>
  <c r="J63" i="8"/>
  <c r="I58" i="16" s="1"/>
  <c r="M79" i="16"/>
  <c r="N66" i="8"/>
  <c r="I79" i="16"/>
  <c r="K79" i="16"/>
  <c r="K11" i="16"/>
  <c r="K66" i="8"/>
  <c r="Q66" i="8"/>
  <c r="M15" i="8"/>
  <c r="L33" i="16" s="1"/>
  <c r="J16" i="8"/>
  <c r="I34" i="16" s="1"/>
  <c r="M14" i="8"/>
  <c r="M71" i="8"/>
  <c r="I76" i="16"/>
  <c r="I77" i="16" s="1"/>
  <c r="J47" i="8"/>
  <c r="I50" i="16" s="1"/>
  <c r="O11" i="16"/>
  <c r="O79" i="16"/>
  <c r="I75" i="16"/>
  <c r="P11" i="16"/>
  <c r="L66" i="8"/>
  <c r="P66" i="8"/>
  <c r="O66" i="8"/>
  <c r="L11" i="16"/>
  <c r="O63" i="8" l="1"/>
  <c r="N60" i="16"/>
  <c r="P63" i="8"/>
  <c r="O60" i="16"/>
  <c r="L63" i="8"/>
  <c r="K60" i="16"/>
  <c r="Q63" i="8"/>
  <c r="P60" i="16"/>
  <c r="K63" i="8"/>
  <c r="J60" i="16"/>
  <c r="N63" i="8"/>
  <c r="M60" i="16"/>
  <c r="L35" i="16"/>
  <c r="L27" i="6"/>
  <c r="M48" i="8"/>
  <c r="L51" i="16" s="1"/>
  <c r="I12" i="16"/>
  <c r="J61" i="7"/>
  <c r="I80" i="16"/>
  <c r="M66" i="8"/>
  <c r="N58" i="16" l="1"/>
  <c r="O58" i="16"/>
  <c r="K58" i="16"/>
  <c r="P58" i="16"/>
  <c r="J58" i="16"/>
  <c r="M58" i="16"/>
  <c r="M63" i="8"/>
  <c r="L60" i="16"/>
  <c r="I81" i="16"/>
  <c r="I208" i="16"/>
  <c r="I13" i="16"/>
  <c r="AG12" i="16"/>
  <c r="AG13" i="16" s="1"/>
  <c r="I14" i="16"/>
  <c r="I27" i="16"/>
  <c r="I86" i="16"/>
  <c r="I87" i="16" s="1"/>
  <c r="J70" i="7"/>
  <c r="L58" i="16" l="1"/>
  <c r="J73" i="7"/>
  <c r="I90" i="16"/>
  <c r="H44" i="15"/>
  <c r="J72" i="7" l="1"/>
  <c r="J81" i="7" s="1"/>
  <c r="I91" i="16"/>
  <c r="I211" i="16" s="1"/>
  <c r="I94" i="16" l="1"/>
  <c r="H52" i="15"/>
  <c r="H55" i="15" s="1"/>
  <c r="J53" i="8" s="1"/>
  <c r="I16" i="16"/>
  <c r="H12" i="6"/>
  <c r="I100" i="16" l="1"/>
  <c r="I95" i="16"/>
  <c r="H15" i="15"/>
  <c r="I45" i="6" l="1"/>
  <c r="J80" i="8"/>
  <c r="I65" i="16" l="1"/>
  <c r="J77" i="8"/>
  <c r="J115" i="16"/>
  <c r="I62" i="16" l="1"/>
  <c r="J41" i="2"/>
  <c r="J38" i="2" s="1"/>
  <c r="K41" i="2"/>
  <c r="K38" i="2" s="1"/>
  <c r="K64" i="2" s="1"/>
  <c r="K27" i="7" l="1"/>
  <c r="K26" i="7" s="1"/>
  <c r="K33" i="7" s="1"/>
  <c r="K39" i="2"/>
  <c r="K65" i="2"/>
  <c r="K32" i="12"/>
  <c r="L27" i="7"/>
  <c r="L26" i="7" s="1"/>
  <c r="J39" i="2"/>
  <c r="J32" i="12"/>
  <c r="I26" i="6"/>
  <c r="J74" i="16" l="1"/>
  <c r="J75" i="16" s="1"/>
  <c r="J26" i="6"/>
  <c r="J76" i="16"/>
  <c r="J77" i="16" s="1"/>
  <c r="L41" i="2"/>
  <c r="L38" i="2" s="1"/>
  <c r="L64" i="2" s="1"/>
  <c r="K47" i="8"/>
  <c r="J50" i="16" s="1"/>
  <c r="K16" i="8"/>
  <c r="J34" i="16" s="1"/>
  <c r="K74" i="16"/>
  <c r="K75" i="16" s="1"/>
  <c r="L33" i="7"/>
  <c r="L42" i="7" s="1"/>
  <c r="L47" i="8"/>
  <c r="K50" i="16" s="1"/>
  <c r="L16" i="8"/>
  <c r="K34" i="16" s="1"/>
  <c r="K76" i="16" l="1"/>
  <c r="K77" i="16" s="1"/>
  <c r="M41" i="2"/>
  <c r="M38" i="2" s="1"/>
  <c r="M64" i="2" s="1"/>
  <c r="L39" i="2"/>
  <c r="L65" i="2"/>
  <c r="L32" i="12"/>
  <c r="K26" i="6"/>
  <c r="M27" i="7"/>
  <c r="M26" i="7" s="1"/>
  <c r="N41" i="2" l="1"/>
  <c r="N38" i="2" s="1"/>
  <c r="L74" i="16"/>
  <c r="L75" i="16" s="1"/>
  <c r="M33" i="7"/>
  <c r="M42" i="7" s="1"/>
  <c r="M47" i="8"/>
  <c r="L50" i="16" s="1"/>
  <c r="M16" i="8"/>
  <c r="L34" i="16" s="1"/>
  <c r="M39" i="2"/>
  <c r="M65" i="2"/>
  <c r="M32" i="12"/>
  <c r="L26" i="6"/>
  <c r="N27" i="7"/>
  <c r="N26" i="7" s="1"/>
  <c r="K80" i="16"/>
  <c r="K12" i="16"/>
  <c r="L61" i="7"/>
  <c r="O41" i="2" l="1"/>
  <c r="O38" i="2" s="1"/>
  <c r="O64" i="2" s="1"/>
  <c r="K86" i="16"/>
  <c r="K87" i="16" s="1"/>
  <c r="K14" i="16"/>
  <c r="AI12" i="16"/>
  <c r="AI13" i="16" s="1"/>
  <c r="K81" i="16"/>
  <c r="K208" i="16"/>
  <c r="M74" i="16"/>
  <c r="M75" i="16" s="1"/>
  <c r="N33" i="7"/>
  <c r="N42" i="7" s="1"/>
  <c r="N47" i="8"/>
  <c r="M50" i="16" s="1"/>
  <c r="N16" i="8"/>
  <c r="M34" i="16" s="1"/>
  <c r="L76" i="16"/>
  <c r="L77" i="16" s="1"/>
  <c r="N39" i="2"/>
  <c r="N32" i="12"/>
  <c r="M26" i="6"/>
  <c r="O27" i="7"/>
  <c r="O26" i="7" s="1"/>
  <c r="P41" i="2" l="1"/>
  <c r="P38" i="2" s="1"/>
  <c r="P64" i="2" s="1"/>
  <c r="N74" i="16"/>
  <c r="N75" i="16" s="1"/>
  <c r="O33" i="7"/>
  <c r="O47" i="8"/>
  <c r="N50" i="16" s="1"/>
  <c r="O16" i="8"/>
  <c r="N34" i="16" s="1"/>
  <c r="L80" i="16"/>
  <c r="L12" i="16"/>
  <c r="M61" i="7"/>
  <c r="M76" i="16"/>
  <c r="M77" i="16" s="1"/>
  <c r="O39" i="2"/>
  <c r="O65" i="2"/>
  <c r="O32" i="12"/>
  <c r="N26" i="6"/>
  <c r="P27" i="7"/>
  <c r="P26" i="7" s="1"/>
  <c r="O74" i="16" l="1"/>
  <c r="O75" i="16" s="1"/>
  <c r="P33" i="7"/>
  <c r="P42" i="7" s="1"/>
  <c r="P47" i="8"/>
  <c r="O50" i="16" s="1"/>
  <c r="P16" i="8"/>
  <c r="O34" i="16" s="1"/>
  <c r="M80" i="16"/>
  <c r="M12" i="16"/>
  <c r="N61" i="7"/>
  <c r="L86" i="16"/>
  <c r="L87" i="16" s="1"/>
  <c r="L14" i="16"/>
  <c r="L13" i="16"/>
  <c r="AJ12" i="16"/>
  <c r="AJ13" i="16" s="1"/>
  <c r="L208" i="16"/>
  <c r="L81" i="16"/>
  <c r="N76" i="16"/>
  <c r="N77" i="16" s="1"/>
  <c r="P39" i="2"/>
  <c r="P65" i="2"/>
  <c r="P32" i="12"/>
  <c r="O26" i="6"/>
  <c r="Q27" i="7"/>
  <c r="Q26" i="7" s="1"/>
  <c r="P74" i="16" l="1"/>
  <c r="P75" i="16" s="1"/>
  <c r="Q33" i="7"/>
  <c r="Q42" i="7" s="1"/>
  <c r="Q47" i="8"/>
  <c r="P50" i="16" s="1"/>
  <c r="Q16" i="8"/>
  <c r="P35" i="16" s="1"/>
  <c r="M86" i="16"/>
  <c r="M87" i="16" s="1"/>
  <c r="M14" i="16"/>
  <c r="M13" i="16"/>
  <c r="AK12" i="16"/>
  <c r="AK13" i="16" s="1"/>
  <c r="M81" i="16"/>
  <c r="M208" i="16"/>
  <c r="O76" i="16"/>
  <c r="O77" i="16" s="1"/>
  <c r="O12" i="16" l="1"/>
  <c r="O80" i="16"/>
  <c r="P61" i="7"/>
  <c r="P76" i="16"/>
  <c r="P77" i="16" s="1"/>
  <c r="P12" i="16" l="1"/>
  <c r="P80" i="16"/>
  <c r="Q61" i="7"/>
  <c r="O86" i="16"/>
  <c r="O87" i="16" s="1"/>
  <c r="O208" i="16"/>
  <c r="O81" i="16"/>
  <c r="O14" i="16"/>
  <c r="AY14" i="16" s="1"/>
  <c r="P86" i="16" l="1"/>
  <c r="P87" i="16" s="1"/>
  <c r="P81" i="16"/>
  <c r="P208" i="16"/>
  <c r="P14" i="16"/>
  <c r="AZ14" i="16" s="1"/>
  <c r="P13" i="16"/>
  <c r="P141" i="11" l="1"/>
  <c r="Q10" i="2" l="1"/>
  <c r="R10" i="7" s="1"/>
  <c r="Q71" i="16" l="1"/>
  <c r="Q23" i="2"/>
  <c r="R18" i="7" s="1"/>
  <c r="R17" i="7" s="1"/>
  <c r="Q72" i="16" s="1"/>
  <c r="R24" i="7" l="1"/>
  <c r="Q10" i="16" s="1"/>
  <c r="Q11" i="16" s="1"/>
  <c r="P128" i="11"/>
  <c r="P37" i="11"/>
  <c r="Q34" i="2"/>
  <c r="Q73" i="16" l="1"/>
  <c r="Q58" i="2"/>
  <c r="Q41" i="2"/>
  <c r="Q38" i="2" s="1"/>
  <c r="Q31" i="12"/>
  <c r="Q52" i="2"/>
  <c r="Q48" i="2" s="1"/>
  <c r="Q35" i="2"/>
  <c r="P35" i="11"/>
  <c r="Q51" i="11"/>
  <c r="Q79" i="11" s="1"/>
  <c r="Q77" i="11" s="1"/>
  <c r="P12" i="11"/>
  <c r="Q21" i="12" l="1"/>
  <c r="P26" i="6" s="1"/>
  <c r="Q15" i="12"/>
  <c r="Q22" i="12"/>
  <c r="Q18" i="12"/>
  <c r="R19" i="8" s="1"/>
  <c r="Q23" i="12"/>
  <c r="P28" i="6" s="1"/>
  <c r="Q64" i="2"/>
  <c r="Q65" i="2" s="1"/>
  <c r="Q13" i="12"/>
  <c r="Q14" i="12"/>
  <c r="Q16" i="12"/>
  <c r="Q25" i="12"/>
  <c r="P30" i="6" s="1"/>
  <c r="Q26" i="12"/>
  <c r="P31" i="6" s="1"/>
  <c r="Q24" i="12"/>
  <c r="P10" i="11"/>
  <c r="R37" i="8" s="1"/>
  <c r="Q24" i="11"/>
  <c r="Q28" i="11"/>
  <c r="Q104" i="11" s="1"/>
  <c r="Q14" i="6"/>
  <c r="R57" i="2"/>
  <c r="P32" i="11"/>
  <c r="P36" i="6"/>
  <c r="R36" i="7"/>
  <c r="Q49" i="2"/>
  <c r="R35" i="7"/>
  <c r="Q78" i="16" s="1"/>
  <c r="Q79" i="16" s="1"/>
  <c r="Q33" i="12"/>
  <c r="Q39" i="2"/>
  <c r="R27" i="7"/>
  <c r="R26" i="7" s="1"/>
  <c r="Q32" i="12"/>
  <c r="P27" i="6" l="1"/>
  <c r="R34" i="8"/>
  <c r="Q117" i="11"/>
  <c r="R102" i="16"/>
  <c r="P25" i="6"/>
  <c r="P29" i="6"/>
  <c r="R52" i="8"/>
  <c r="Q55" i="16" s="1"/>
  <c r="R17" i="8"/>
  <c r="Q44" i="16" s="1"/>
  <c r="P23" i="6"/>
  <c r="P21" i="6"/>
  <c r="P22" i="6"/>
  <c r="P20" i="6"/>
  <c r="Q130" i="11"/>
  <c r="Q141" i="11" s="1"/>
  <c r="Q282" i="22"/>
  <c r="R17" i="16"/>
  <c r="Q115" i="11"/>
  <c r="R47" i="8"/>
  <c r="Q50" i="16" s="1"/>
  <c r="S39" i="8"/>
  <c r="R15" i="8"/>
  <c r="R49" i="8"/>
  <c r="Q52" i="16" s="1"/>
  <c r="R16" i="8"/>
  <c r="Q35" i="16" s="1"/>
  <c r="Q74" i="16"/>
  <c r="Q75" i="16" s="1"/>
  <c r="R33" i="7"/>
  <c r="R42" i="7" s="1"/>
  <c r="R48" i="8"/>
  <c r="Q51" i="16" s="1"/>
  <c r="Q109" i="16"/>
  <c r="P34" i="6"/>
  <c r="Q33" i="11"/>
  <c r="S44" i="7"/>
  <c r="Q46" i="16"/>
  <c r="R14" i="8"/>
  <c r="R65" i="8"/>
  <c r="R71" i="8"/>
  <c r="R66" i="8" s="1"/>
  <c r="Q60" i="16" s="1"/>
  <c r="Q43" i="16" l="1"/>
  <c r="Q113" i="16"/>
  <c r="Q34" i="16"/>
  <c r="Q33" i="16"/>
  <c r="R82" i="16"/>
  <c r="Q329" i="22"/>
  <c r="Q28" i="22"/>
  <c r="Q51" i="6" s="1"/>
  <c r="Q337" i="22"/>
  <c r="Q292" i="22"/>
  <c r="Q326" i="22" s="1"/>
  <c r="Q76" i="16"/>
  <c r="Q77" i="16" s="1"/>
  <c r="R63" i="8"/>
  <c r="R119" i="16" l="1"/>
  <c r="Q58" i="16"/>
  <c r="Q338" i="22"/>
  <c r="R292" i="22"/>
  <c r="S292" i="22" s="1"/>
  <c r="Q12" i="16"/>
  <c r="Q80" i="16"/>
  <c r="R61" i="7"/>
  <c r="Q327" i="22" l="1"/>
  <c r="Q14" i="22" s="1"/>
  <c r="S50" i="8" s="1"/>
  <c r="T292" i="22"/>
  <c r="Q81" i="16"/>
  <c r="Q208" i="16"/>
  <c r="Q86" i="16"/>
  <c r="Q87" i="16" s="1"/>
  <c r="Q14" i="16"/>
  <c r="Q13" i="16"/>
  <c r="R53" i="16" l="1"/>
  <c r="R18" i="16"/>
  <c r="U292" i="22"/>
  <c r="R13" i="2"/>
  <c r="R10" i="2"/>
  <c r="V292" i="22" l="1"/>
  <c r="S10" i="7"/>
  <c r="R71" i="16" s="1"/>
  <c r="R23" i="2"/>
  <c r="S18" i="7" s="1"/>
  <c r="S17" i="7" s="1"/>
  <c r="R72" i="16" s="1"/>
  <c r="W292" i="22" l="1"/>
  <c r="S24" i="7"/>
  <c r="R10" i="16" s="1"/>
  <c r="R11" i="16" s="1"/>
  <c r="R34" i="2"/>
  <c r="Q128" i="11"/>
  <c r="Q37" i="11"/>
  <c r="R73" i="16" l="1"/>
  <c r="R35" i="2"/>
  <c r="X292" i="22"/>
  <c r="R52" i="2"/>
  <c r="R48" i="2" s="1"/>
  <c r="R49" i="2" s="1"/>
  <c r="R31" i="12"/>
  <c r="R41" i="2"/>
  <c r="R38" i="2" s="1"/>
  <c r="R58" i="2"/>
  <c r="Q35" i="11"/>
  <c r="R51" i="11"/>
  <c r="R79" i="11" s="1"/>
  <c r="R77" i="11" s="1"/>
  <c r="Q12" i="11"/>
  <c r="R21" i="12" l="1"/>
  <c r="R22" i="12"/>
  <c r="R18" i="12"/>
  <c r="R23" i="12"/>
  <c r="R64" i="2"/>
  <c r="R65" i="2" s="1"/>
  <c r="Y292" i="22"/>
  <c r="R13" i="12"/>
  <c r="R16" i="12"/>
  <c r="R14" i="12"/>
  <c r="S15" i="8" s="1"/>
  <c r="R15" i="12"/>
  <c r="R39" i="2"/>
  <c r="S35" i="7"/>
  <c r="R78" i="16" s="1"/>
  <c r="R79" i="16" s="1"/>
  <c r="S36" i="7"/>
  <c r="R33" i="12"/>
  <c r="R32" i="12"/>
  <c r="R26" i="12"/>
  <c r="Q31" i="6" s="1"/>
  <c r="R24" i="12"/>
  <c r="R25" i="12"/>
  <c r="Q30" i="6" s="1"/>
  <c r="S27" i="7"/>
  <c r="S26" i="7" s="1"/>
  <c r="R74" i="16" s="1"/>
  <c r="R75" i="16" s="1"/>
  <c r="S57" i="2"/>
  <c r="R14" i="6"/>
  <c r="R24" i="11"/>
  <c r="R28" i="11"/>
  <c r="R104" i="11" s="1"/>
  <c r="Q32" i="11"/>
  <c r="Q36" i="6"/>
  <c r="Q10" i="11"/>
  <c r="S37" i="8" s="1"/>
  <c r="Q25" i="6" l="1"/>
  <c r="S19" i="8"/>
  <c r="S47" i="8"/>
  <c r="R50" i="16" s="1"/>
  <c r="Q26" i="6"/>
  <c r="S102" i="16"/>
  <c r="R117" i="11"/>
  <c r="S34" i="8"/>
  <c r="S16" i="8"/>
  <c r="R35" i="16" s="1"/>
  <c r="S65" i="8"/>
  <c r="R34" i="16"/>
  <c r="R33" i="16"/>
  <c r="Q29" i="6"/>
  <c r="S52" i="8"/>
  <c r="R55" i="16" s="1"/>
  <c r="S49" i="8"/>
  <c r="R52" i="16" s="1"/>
  <c r="Q28" i="6"/>
  <c r="S48" i="8"/>
  <c r="R51" i="16" s="1"/>
  <c r="Q27" i="6"/>
  <c r="Q22" i="6"/>
  <c r="Q21" i="6"/>
  <c r="S17" i="8"/>
  <c r="R44" i="16" s="1"/>
  <c r="Q23" i="6"/>
  <c r="Q20" i="6"/>
  <c r="R130" i="11"/>
  <c r="R141" i="11" s="1"/>
  <c r="R282" i="22"/>
  <c r="S17" i="16"/>
  <c r="R115" i="11"/>
  <c r="Z292" i="22"/>
  <c r="S71" i="8"/>
  <c r="S66" i="8" s="1"/>
  <c r="R60" i="16" s="1"/>
  <c r="S14" i="8"/>
  <c r="S33" i="7"/>
  <c r="R109" i="16"/>
  <c r="Q34" i="6"/>
  <c r="R33" i="11"/>
  <c r="T44" i="7"/>
  <c r="R46" i="16"/>
  <c r="T39" i="8"/>
  <c r="R43" i="16" l="1"/>
  <c r="R113" i="16"/>
  <c r="R76" i="16"/>
  <c r="R77" i="16" s="1"/>
  <c r="S42" i="7"/>
  <c r="S82" i="16"/>
  <c r="AA292" i="22"/>
  <c r="R329" i="22"/>
  <c r="R28" i="22"/>
  <c r="R51" i="6" s="1"/>
  <c r="R337" i="22"/>
  <c r="R293" i="22"/>
  <c r="R326" i="22" s="1"/>
  <c r="R80" i="16" l="1"/>
  <c r="S119" i="16"/>
  <c r="R338" i="22"/>
  <c r="S293" i="22"/>
  <c r="T293" i="22" s="1"/>
  <c r="Q328" i="22"/>
  <c r="Q15" i="22" s="1"/>
  <c r="S64" i="8" s="1"/>
  <c r="AB292" i="22"/>
  <c r="R12" i="16"/>
  <c r="R13" i="16" s="1"/>
  <c r="S61" i="7"/>
  <c r="R81" i="16" l="1"/>
  <c r="R208" i="16"/>
  <c r="R86" i="16"/>
  <c r="R87" i="16" s="1"/>
  <c r="R14" i="16"/>
  <c r="R327" i="22"/>
  <c r="R14" i="22" s="1"/>
  <c r="T50" i="8" s="1"/>
  <c r="R59" i="16"/>
  <c r="R19" i="16"/>
  <c r="S63" i="8"/>
  <c r="U293" i="22"/>
  <c r="V293" i="22" s="1"/>
  <c r="S13" i="2"/>
  <c r="R58" i="16" l="1"/>
  <c r="S18" i="16"/>
  <c r="S53" i="16"/>
  <c r="W293" i="22"/>
  <c r="S10" i="2"/>
  <c r="X293" i="22" l="1"/>
  <c r="Y293" i="22" s="1"/>
  <c r="S23" i="2"/>
  <c r="T18" i="7" s="1"/>
  <c r="T17" i="7" s="1"/>
  <c r="S72" i="16" s="1"/>
  <c r="T10" i="7"/>
  <c r="Z293" i="22" l="1"/>
  <c r="S34" i="2"/>
  <c r="S71" i="16"/>
  <c r="T24" i="7"/>
  <c r="R128" i="11"/>
  <c r="R37" i="11"/>
  <c r="S58" i="2" l="1"/>
  <c r="AA293" i="22"/>
  <c r="AB293" i="22" s="1"/>
  <c r="S35" i="2"/>
  <c r="S52" i="2"/>
  <c r="S48" i="2" s="1"/>
  <c r="S31" i="12"/>
  <c r="S41" i="2"/>
  <c r="S38" i="2" s="1"/>
  <c r="S39" i="2" s="1"/>
  <c r="S73" i="16"/>
  <c r="S10" i="16"/>
  <c r="S11" i="16" s="1"/>
  <c r="S51" i="11"/>
  <c r="S79" i="11" s="1"/>
  <c r="S77" i="11" s="1"/>
  <c r="R35" i="11"/>
  <c r="R12" i="11"/>
  <c r="T36" i="7" l="1"/>
  <c r="S49" i="2"/>
  <c r="S21" i="12"/>
  <c r="S22" i="12"/>
  <c r="T48" i="8" s="1"/>
  <c r="S51" i="16" s="1"/>
  <c r="S18" i="12"/>
  <c r="T19" i="8" s="1"/>
  <c r="S23" i="12"/>
  <c r="T49" i="8" s="1"/>
  <c r="S52" i="16" s="1"/>
  <c r="S64" i="2"/>
  <c r="S65" i="2" s="1"/>
  <c r="R328" i="22"/>
  <c r="R15" i="22" s="1"/>
  <c r="T64" i="8" s="1"/>
  <c r="S13" i="12"/>
  <c r="T14" i="8" s="1"/>
  <c r="S15" i="12"/>
  <c r="S14" i="12"/>
  <c r="T15" i="8" s="1"/>
  <c r="S16" i="12"/>
  <c r="T35" i="7"/>
  <c r="S78" i="16" s="1"/>
  <c r="S79" i="16" s="1"/>
  <c r="S24" i="12"/>
  <c r="T52" i="8" s="1"/>
  <c r="S55" i="16" s="1"/>
  <c r="S33" i="12"/>
  <c r="S25" i="12"/>
  <c r="R30" i="6" s="1"/>
  <c r="T27" i="7"/>
  <c r="T26" i="7" s="1"/>
  <c r="S74" i="16" s="1"/>
  <c r="S75" i="16" s="1"/>
  <c r="S26" i="12"/>
  <c r="S32" i="12"/>
  <c r="R10" i="11"/>
  <c r="T37" i="8" s="1"/>
  <c r="S28" i="11"/>
  <c r="S104" i="11" s="1"/>
  <c r="S14" i="6"/>
  <c r="S24" i="11"/>
  <c r="T57" i="2"/>
  <c r="R36" i="6"/>
  <c r="R32" i="11"/>
  <c r="R27" i="6" l="1"/>
  <c r="T34" i="8"/>
  <c r="S117" i="11"/>
  <c r="T102" i="16"/>
  <c r="T16" i="8"/>
  <c r="S35" i="16" s="1"/>
  <c r="R28" i="6"/>
  <c r="R25" i="6"/>
  <c r="S34" i="16"/>
  <c r="S33" i="16"/>
  <c r="T47" i="8"/>
  <c r="S50" i="16" s="1"/>
  <c r="R26" i="6"/>
  <c r="T65" i="8"/>
  <c r="R31" i="6"/>
  <c r="R29" i="6"/>
  <c r="T17" i="8"/>
  <c r="S44" i="16" s="1"/>
  <c r="R23" i="6"/>
  <c r="R21" i="6"/>
  <c r="R22" i="6"/>
  <c r="R20" i="6"/>
  <c r="S130" i="11"/>
  <c r="S141" i="11" s="1"/>
  <c r="S282" i="22"/>
  <c r="T17" i="16"/>
  <c r="S59" i="16"/>
  <c r="S19" i="16"/>
  <c r="T71" i="8"/>
  <c r="T66" i="8" s="1"/>
  <c r="S60" i="16" s="1"/>
  <c r="T33" i="7"/>
  <c r="T42" i="7" s="1"/>
  <c r="S109" i="16"/>
  <c r="R34" i="6"/>
  <c r="U39" i="8"/>
  <c r="S33" i="11"/>
  <c r="U44" i="7"/>
  <c r="S46" i="16"/>
  <c r="S43" i="16" l="1"/>
  <c r="S113" i="16"/>
  <c r="T63" i="8"/>
  <c r="S76" i="16"/>
  <c r="S77" i="16" s="1"/>
  <c r="T82" i="16"/>
  <c r="S329" i="22"/>
  <c r="S28" i="22"/>
  <c r="S51" i="6" s="1"/>
  <c r="S337" i="22"/>
  <c r="S294" i="22"/>
  <c r="S326" i="22" s="1"/>
  <c r="S80" i="16"/>
  <c r="S12" i="16"/>
  <c r="T61" i="7"/>
  <c r="S58" i="16" l="1"/>
  <c r="T119" i="16"/>
  <c r="S338" i="22"/>
  <c r="T294" i="22"/>
  <c r="U294" i="22" s="1"/>
  <c r="S14" i="16"/>
  <c r="S13" i="16"/>
  <c r="S86" i="16"/>
  <c r="S87" i="16" s="1"/>
  <c r="S81" i="16"/>
  <c r="S208" i="16"/>
  <c r="S327" i="22" l="1"/>
  <c r="S14" i="22" s="1"/>
  <c r="U50" i="8" s="1"/>
  <c r="V294" i="22"/>
  <c r="W294" i="22" s="1"/>
  <c r="X294" i="22" s="1"/>
  <c r="Y13" i="2"/>
  <c r="Z13" i="2"/>
  <c r="AC13" i="2"/>
  <c r="U13" i="2"/>
  <c r="X13" i="2"/>
  <c r="AA13" i="2"/>
  <c r="W13" i="2"/>
  <c r="AB13" i="2"/>
  <c r="V13" i="2"/>
  <c r="T13" i="2"/>
  <c r="T10" i="2"/>
  <c r="T53" i="16" l="1"/>
  <c r="T18" i="16"/>
  <c r="Y294" i="22"/>
  <c r="U10" i="2"/>
  <c r="T23" i="2"/>
  <c r="U18" i="7" s="1"/>
  <c r="U17" i="7" s="1"/>
  <c r="T72" i="16" s="1"/>
  <c r="U10" i="7"/>
  <c r="Z294" i="22" l="1"/>
  <c r="AA294" i="22" s="1"/>
  <c r="AB294" i="22" s="1"/>
  <c r="T34" i="2"/>
  <c r="T71" i="16"/>
  <c r="U24" i="7"/>
  <c r="V10" i="7"/>
  <c r="V10" i="2"/>
  <c r="U23" i="2"/>
  <c r="V18" i="7" s="1"/>
  <c r="V17" i="7" s="1"/>
  <c r="U72" i="16" s="1"/>
  <c r="S128" i="11"/>
  <c r="S37" i="11"/>
  <c r="T58" i="2" l="1"/>
  <c r="S328" i="22"/>
  <c r="S15" i="22" s="1"/>
  <c r="U64" i="8" s="1"/>
  <c r="T35" i="2"/>
  <c r="T31" i="12"/>
  <c r="T41" i="2"/>
  <c r="T38" i="2" s="1"/>
  <c r="T52" i="2"/>
  <c r="T48" i="2" s="1"/>
  <c r="T49" i="2" s="1"/>
  <c r="T51" i="11"/>
  <c r="T79" i="11" s="1"/>
  <c r="T77" i="11" s="1"/>
  <c r="S35" i="11"/>
  <c r="S12" i="11"/>
  <c r="W10" i="7"/>
  <c r="V23" i="2"/>
  <c r="W18" i="7" s="1"/>
  <c r="W17" i="7" s="1"/>
  <c r="V72" i="16" s="1"/>
  <c r="W10" i="2"/>
  <c r="U71" i="16"/>
  <c r="V24" i="7"/>
  <c r="T73" i="16"/>
  <c r="T10" i="16"/>
  <c r="T11" i="16" s="1"/>
  <c r="U34" i="2"/>
  <c r="T21" i="12" l="1"/>
  <c r="T22" i="12"/>
  <c r="T18" i="12"/>
  <c r="T23" i="12"/>
  <c r="T64" i="2"/>
  <c r="T65" i="2" s="1"/>
  <c r="T59" i="16"/>
  <c r="T19" i="16"/>
  <c r="T13" i="12"/>
  <c r="T16" i="12"/>
  <c r="T14" i="12"/>
  <c r="U15" i="8" s="1"/>
  <c r="T15" i="12"/>
  <c r="U36" i="7"/>
  <c r="T33" i="12"/>
  <c r="U35" i="7"/>
  <c r="T78" i="16" s="1"/>
  <c r="T79" i="16" s="1"/>
  <c r="T26" i="12"/>
  <c r="T24" i="12"/>
  <c r="T25" i="12"/>
  <c r="U27" i="7"/>
  <c r="U26" i="7" s="1"/>
  <c r="T74" i="16" s="1"/>
  <c r="T75" i="16" s="1"/>
  <c r="T32" i="12"/>
  <c r="T39" i="2"/>
  <c r="U73" i="16"/>
  <c r="U10" i="16"/>
  <c r="U11" i="16" s="1"/>
  <c r="W23" i="2"/>
  <c r="X18" i="7" s="1"/>
  <c r="X17" i="7" s="1"/>
  <c r="W72" i="16" s="1"/>
  <c r="X10" i="7"/>
  <c r="X10" i="2"/>
  <c r="S10" i="11"/>
  <c r="U37" i="8" s="1"/>
  <c r="T28" i="11"/>
  <c r="T104" i="11" s="1"/>
  <c r="T24" i="11"/>
  <c r="T14" i="6"/>
  <c r="U57" i="2"/>
  <c r="U52" i="2"/>
  <c r="U48" i="2" s="1"/>
  <c r="U41" i="2"/>
  <c r="U38" i="2" s="1"/>
  <c r="U31" i="12"/>
  <c r="U35" i="2"/>
  <c r="V71" i="16"/>
  <c r="W24" i="7"/>
  <c r="S36" i="6"/>
  <c r="S32" i="11"/>
  <c r="V34" i="2"/>
  <c r="U47" i="8" l="1"/>
  <c r="T50" i="16" s="1"/>
  <c r="S26" i="6"/>
  <c r="S27" i="6"/>
  <c r="S25" i="6"/>
  <c r="U19" i="8"/>
  <c r="S28" i="6"/>
  <c r="U49" i="8"/>
  <c r="T52" i="16" s="1"/>
  <c r="U34" i="8"/>
  <c r="T117" i="11"/>
  <c r="T128" i="11" s="1"/>
  <c r="U102" i="16"/>
  <c r="T34" i="16"/>
  <c r="T33" i="16"/>
  <c r="U21" i="12"/>
  <c r="T26" i="6" s="1"/>
  <c r="U22" i="12"/>
  <c r="S29" i="6"/>
  <c r="U52" i="8"/>
  <c r="T55" i="16" s="1"/>
  <c r="U18" i="12"/>
  <c r="V19" i="8" s="1"/>
  <c r="U23" i="12"/>
  <c r="T28" i="6" s="1"/>
  <c r="U58" i="2"/>
  <c r="U64" i="2"/>
  <c r="U65" i="2" s="1"/>
  <c r="U71" i="8"/>
  <c r="U66" i="8" s="1"/>
  <c r="T60" i="16" s="1"/>
  <c r="S30" i="6"/>
  <c r="U65" i="8"/>
  <c r="S31" i="6"/>
  <c r="S22" i="6"/>
  <c r="S21" i="6"/>
  <c r="U17" i="8"/>
  <c r="T44" i="16" s="1"/>
  <c r="S23" i="6"/>
  <c r="S20" i="6"/>
  <c r="T130" i="11"/>
  <c r="T141" i="11" s="1"/>
  <c r="T282" i="22"/>
  <c r="U17" i="16"/>
  <c r="T37" i="11"/>
  <c r="U13" i="12"/>
  <c r="U15" i="12"/>
  <c r="U14" i="12"/>
  <c r="U16" i="12"/>
  <c r="U48" i="8"/>
  <c r="T51" i="16" s="1"/>
  <c r="W34" i="2"/>
  <c r="W31" i="12" s="1"/>
  <c r="U14" i="8"/>
  <c r="U33" i="7"/>
  <c r="U16" i="8"/>
  <c r="T35" i="16" s="1"/>
  <c r="V73" i="16"/>
  <c r="V10" i="16"/>
  <c r="V11" i="16" s="1"/>
  <c r="U24" i="12"/>
  <c r="U25" i="12"/>
  <c r="T30" i="6" s="1"/>
  <c r="U26" i="12"/>
  <c r="T31" i="6" s="1"/>
  <c r="T46" i="16"/>
  <c r="T109" i="16"/>
  <c r="S34" i="6"/>
  <c r="U39" i="2"/>
  <c r="U32" i="12"/>
  <c r="V27" i="7"/>
  <c r="V26" i="7" s="1"/>
  <c r="V36" i="7"/>
  <c r="U49" i="2"/>
  <c r="V35" i="7"/>
  <c r="U78" i="16" s="1"/>
  <c r="U79" i="16" s="1"/>
  <c r="U33" i="12"/>
  <c r="T33" i="11"/>
  <c r="V44" i="7"/>
  <c r="W71" i="16"/>
  <c r="X24" i="7"/>
  <c r="V52" i="2"/>
  <c r="V31" i="12"/>
  <c r="V41" i="2"/>
  <c r="V38" i="2" s="1"/>
  <c r="V35" i="2"/>
  <c r="V39" i="8"/>
  <c r="Y10" i="7"/>
  <c r="X23" i="2"/>
  <c r="Y18" i="7" s="1"/>
  <c r="Y17" i="7" s="1"/>
  <c r="X72" i="16" s="1"/>
  <c r="Y10" i="2"/>
  <c r="U63" i="8" l="1"/>
  <c r="T58" i="16" s="1"/>
  <c r="T27" i="6"/>
  <c r="T43" i="16"/>
  <c r="T113" i="16"/>
  <c r="T25" i="6"/>
  <c r="V21" i="12"/>
  <c r="U26" i="6" s="1"/>
  <c r="V22" i="12"/>
  <c r="W21" i="12"/>
  <c r="W22" i="12"/>
  <c r="T29" i="6"/>
  <c r="V52" i="8"/>
  <c r="U55" i="16" s="1"/>
  <c r="T76" i="16"/>
  <c r="T77" i="16" s="1"/>
  <c r="U42" i="7"/>
  <c r="V18" i="12"/>
  <c r="V23" i="12"/>
  <c r="U28" i="6" s="1"/>
  <c r="W18" i="12"/>
  <c r="X19" i="8" s="1"/>
  <c r="W23" i="12"/>
  <c r="U82" i="16"/>
  <c r="V17" i="8"/>
  <c r="U44" i="16" s="1"/>
  <c r="T20" i="6"/>
  <c r="T23" i="6"/>
  <c r="T21" i="6"/>
  <c r="T22" i="6"/>
  <c r="T35" i="11"/>
  <c r="T12" i="11"/>
  <c r="U51" i="11"/>
  <c r="U79" i="11" s="1"/>
  <c r="U77" i="11" s="1"/>
  <c r="T329" i="22"/>
  <c r="T28" i="22"/>
  <c r="T51" i="6" s="1"/>
  <c r="T337" i="22"/>
  <c r="T295" i="22"/>
  <c r="T326" i="22" s="1"/>
  <c r="V13" i="12"/>
  <c r="V16" i="12"/>
  <c r="V14" i="12"/>
  <c r="V15" i="12"/>
  <c r="W13" i="12"/>
  <c r="W15" i="12"/>
  <c r="W14" i="12"/>
  <c r="W16" i="12"/>
  <c r="W52" i="2"/>
  <c r="W35" i="2"/>
  <c r="W41" i="2"/>
  <c r="W38" i="2" s="1"/>
  <c r="W32" i="12" s="1"/>
  <c r="Z10" i="2"/>
  <c r="Y23" i="2"/>
  <c r="Z18" i="7" s="1"/>
  <c r="Z17" i="7" s="1"/>
  <c r="Y72" i="16" s="1"/>
  <c r="Z10" i="7"/>
  <c r="X71" i="16"/>
  <c r="Y24" i="7"/>
  <c r="V16" i="8"/>
  <c r="U35" i="16" s="1"/>
  <c r="W73" i="16"/>
  <c r="W10" i="16"/>
  <c r="W11" i="16" s="1"/>
  <c r="V48" i="8"/>
  <c r="U51" i="16" s="1"/>
  <c r="U74" i="16"/>
  <c r="U75" i="16" s="1"/>
  <c r="V33" i="7"/>
  <c r="V42" i="7" s="1"/>
  <c r="V47" i="8"/>
  <c r="U50" i="16" s="1"/>
  <c r="W24" i="12"/>
  <c r="X52" i="8" s="1"/>
  <c r="W55" i="16" s="1"/>
  <c r="W25" i="12"/>
  <c r="W26" i="12"/>
  <c r="V65" i="8"/>
  <c r="V14" i="8"/>
  <c r="X34" i="2"/>
  <c r="V39" i="2"/>
  <c r="V32" i="12"/>
  <c r="W27" i="7"/>
  <c r="W26" i="7" s="1"/>
  <c r="V25" i="12"/>
  <c r="U30" i="6" s="1"/>
  <c r="V24" i="12"/>
  <c r="V26" i="12"/>
  <c r="U31" i="6" s="1"/>
  <c r="V49" i="8"/>
  <c r="V15" i="8"/>
  <c r="V71" i="8"/>
  <c r="V66" i="8" s="1"/>
  <c r="U60" i="16" s="1"/>
  <c r="W19" i="8" l="1"/>
  <c r="U25" i="6"/>
  <c r="T80" i="16"/>
  <c r="U119" i="16"/>
  <c r="T338" i="22"/>
  <c r="W49" i="8"/>
  <c r="U52" i="16"/>
  <c r="U34" i="16"/>
  <c r="U33" i="16"/>
  <c r="U29" i="6"/>
  <c r="W52" i="8"/>
  <c r="V55" i="16" s="1"/>
  <c r="V25" i="6"/>
  <c r="T12" i="16"/>
  <c r="U295" i="22"/>
  <c r="V295" i="22" s="1"/>
  <c r="X17" i="8"/>
  <c r="W44" i="16" s="1"/>
  <c r="W17" i="8"/>
  <c r="V44" i="16" s="1"/>
  <c r="V23" i="6"/>
  <c r="V31" i="6"/>
  <c r="V30" i="6"/>
  <c r="V28" i="6"/>
  <c r="V29" i="6"/>
  <c r="V22" i="6"/>
  <c r="V21" i="6"/>
  <c r="V20" i="6"/>
  <c r="U20" i="6"/>
  <c r="U22" i="6"/>
  <c r="U21" i="6"/>
  <c r="U23" i="6"/>
  <c r="V57" i="2"/>
  <c r="U14" i="6"/>
  <c r="U28" i="11"/>
  <c r="U24" i="11"/>
  <c r="T10" i="11"/>
  <c r="V37" i="8" s="1"/>
  <c r="T32" i="11"/>
  <c r="T36" i="6"/>
  <c r="U61" i="7"/>
  <c r="X27" i="7"/>
  <c r="X26" i="7" s="1"/>
  <c r="W74" i="16" s="1"/>
  <c r="W75" i="16" s="1"/>
  <c r="W39" i="2"/>
  <c r="V26" i="6"/>
  <c r="Y34" i="2"/>
  <c r="Y35" i="2" s="1"/>
  <c r="W71" i="8"/>
  <c r="W66" i="8" s="1"/>
  <c r="V60" i="16" s="1"/>
  <c r="W15" i="8"/>
  <c r="V74" i="16"/>
  <c r="V75" i="16" s="1"/>
  <c r="W33" i="7"/>
  <c r="X71" i="8"/>
  <c r="X66" i="8" s="1"/>
  <c r="W60" i="16" s="1"/>
  <c r="X15" i="8"/>
  <c r="U76" i="16"/>
  <c r="U77" i="16" s="1"/>
  <c r="W65" i="8"/>
  <c r="W14" i="8"/>
  <c r="W16" i="8"/>
  <c r="V35" i="16" s="1"/>
  <c r="W47" i="8"/>
  <c r="V50" i="16" s="1"/>
  <c r="X52" i="2"/>
  <c r="X31" i="12"/>
  <c r="X41" i="2"/>
  <c r="X38" i="2" s="1"/>
  <c r="X35" i="2"/>
  <c r="X65" i="8"/>
  <c r="X14" i="8"/>
  <c r="X16" i="8"/>
  <c r="W35" i="16" s="1"/>
  <c r="X73" i="16"/>
  <c r="X10" i="16"/>
  <c r="X11" i="16" s="1"/>
  <c r="Y71" i="16"/>
  <c r="Z24" i="7"/>
  <c r="AA10" i="7"/>
  <c r="Z23" i="2"/>
  <c r="AA18" i="7" s="1"/>
  <c r="AA17" i="7" s="1"/>
  <c r="Z72" i="16" s="1"/>
  <c r="AA10" i="2"/>
  <c r="T208" i="16" l="1"/>
  <c r="T81" i="16"/>
  <c r="V102" i="16"/>
  <c r="V34" i="8"/>
  <c r="T86" i="16"/>
  <c r="T87" i="16" s="1"/>
  <c r="T13" i="16"/>
  <c r="T14" i="16"/>
  <c r="X49" i="8"/>
  <c r="V52" i="16"/>
  <c r="W34" i="16"/>
  <c r="W33" i="16"/>
  <c r="V34" i="16"/>
  <c r="V33" i="16"/>
  <c r="X21" i="12"/>
  <c r="W26" i="6" s="1"/>
  <c r="X22" i="12"/>
  <c r="T327" i="22"/>
  <c r="T14" i="22" s="1"/>
  <c r="V50" i="8" s="1"/>
  <c r="W295" i="22"/>
  <c r="X295" i="22" s="1"/>
  <c r="X18" i="12"/>
  <c r="Y19" i="8" s="1"/>
  <c r="X15" i="12"/>
  <c r="X23" i="12"/>
  <c r="W28" i="6" s="1"/>
  <c r="U109" i="16"/>
  <c r="T34" i="6"/>
  <c r="U46" i="16"/>
  <c r="W39" i="8"/>
  <c r="U104" i="11"/>
  <c r="U33" i="11"/>
  <c r="W44" i="7"/>
  <c r="V58" i="2"/>
  <c r="V48" i="2"/>
  <c r="V64" i="2" s="1"/>
  <c r="X13" i="12"/>
  <c r="X16" i="12"/>
  <c r="X14" i="12"/>
  <c r="X33" i="7"/>
  <c r="W76" i="16" s="1"/>
  <c r="W77" i="16" s="1"/>
  <c r="Y41" i="2"/>
  <c r="Y38" i="2" s="1"/>
  <c r="Y39" i="2" s="1"/>
  <c r="X47" i="8"/>
  <c r="W50" i="16" s="1"/>
  <c r="Y52" i="2"/>
  <c r="Z34" i="2"/>
  <c r="Z31" i="12" s="1"/>
  <c r="Y31" i="12"/>
  <c r="AB10" i="2"/>
  <c r="AA23" i="2"/>
  <c r="AB18" i="7" s="1"/>
  <c r="AB17" i="7" s="1"/>
  <c r="AA72" i="16" s="1"/>
  <c r="AB10" i="7"/>
  <c r="Z71" i="16"/>
  <c r="AA24" i="7"/>
  <c r="X39" i="2"/>
  <c r="X32" i="12"/>
  <c r="Y27" i="7"/>
  <c r="Y26" i="7" s="1"/>
  <c r="Y73" i="16"/>
  <c r="Y10" i="16"/>
  <c r="Y11" i="16" s="1"/>
  <c r="X24" i="12"/>
  <c r="X25" i="12"/>
  <c r="W30" i="6" s="1"/>
  <c r="X26" i="12"/>
  <c r="W31" i="6" s="1"/>
  <c r="U12" i="16"/>
  <c r="U80" i="16"/>
  <c r="V61" i="7"/>
  <c r="V76" i="16"/>
  <c r="V77" i="16" s="1"/>
  <c r="U43" i="16" l="1"/>
  <c r="U113" i="16"/>
  <c r="U117" i="11"/>
  <c r="U128" i="11" s="1"/>
  <c r="V82" i="16"/>
  <c r="Z41" i="2"/>
  <c r="Z38" i="2" s="1"/>
  <c r="W25" i="6"/>
  <c r="Y49" i="8"/>
  <c r="W52" i="16"/>
  <c r="U18" i="16"/>
  <c r="U53" i="16"/>
  <c r="Y21" i="12"/>
  <c r="X26" i="6" s="1"/>
  <c r="Y22" i="12"/>
  <c r="Z21" i="12"/>
  <c r="Z22" i="12"/>
  <c r="W29" i="6"/>
  <c r="Y52" i="8"/>
  <c r="X55" i="16" s="1"/>
  <c r="Z18" i="12"/>
  <c r="AA19" i="8" s="1"/>
  <c r="Z23" i="12"/>
  <c r="Y18" i="12"/>
  <c r="Y23" i="12"/>
  <c r="X28" i="6" s="1"/>
  <c r="W22" i="6"/>
  <c r="W21" i="6"/>
  <c r="Y17" i="8"/>
  <c r="X44" i="16" s="1"/>
  <c r="W23" i="6"/>
  <c r="W20" i="6"/>
  <c r="Y295" i="22"/>
  <c r="V65" i="2"/>
  <c r="V33" i="12"/>
  <c r="W36" i="7"/>
  <c r="W42" i="7" s="1"/>
  <c r="W35" i="7"/>
  <c r="V49" i="2"/>
  <c r="U130" i="11"/>
  <c r="U141" i="11" s="1"/>
  <c r="U282" i="22"/>
  <c r="V17" i="16"/>
  <c r="U37" i="11"/>
  <c r="Y13" i="12"/>
  <c r="Y15" i="12"/>
  <c r="Y14" i="12"/>
  <c r="Y16" i="12"/>
  <c r="Z13" i="12"/>
  <c r="Z16" i="12"/>
  <c r="Z14" i="12"/>
  <c r="Z15" i="12"/>
  <c r="Z35" i="2"/>
  <c r="Y32" i="12"/>
  <c r="Z27" i="7"/>
  <c r="Z26" i="7" s="1"/>
  <c r="Y74" i="16" s="1"/>
  <c r="Y75" i="16" s="1"/>
  <c r="Z52" i="2"/>
  <c r="Y25" i="12"/>
  <c r="Y26" i="12"/>
  <c r="Y24" i="12"/>
  <c r="Z52" i="8" s="1"/>
  <c r="Y55" i="16" s="1"/>
  <c r="AA34" i="2"/>
  <c r="AA35" i="2" s="1"/>
  <c r="U86" i="16"/>
  <c r="U87" i="16" s="1"/>
  <c r="Y65" i="8"/>
  <c r="Y15" i="8"/>
  <c r="Y47" i="8"/>
  <c r="X50" i="16" s="1"/>
  <c r="U208" i="16"/>
  <c r="U81" i="16"/>
  <c r="Y14" i="8"/>
  <c r="Y71" i="8"/>
  <c r="Y66" i="8" s="1"/>
  <c r="X60" i="16" s="1"/>
  <c r="X74" i="16"/>
  <c r="X75" i="16" s="1"/>
  <c r="Y33" i="7"/>
  <c r="AC10" i="7"/>
  <c r="AB23" i="2"/>
  <c r="AC18" i="7" s="1"/>
  <c r="AC17" i="7" s="1"/>
  <c r="AB72" i="16" s="1"/>
  <c r="AC10" i="2"/>
  <c r="U13" i="16"/>
  <c r="U14" i="16"/>
  <c r="Y16" i="8"/>
  <c r="X35" i="16" s="1"/>
  <c r="Z73" i="16"/>
  <c r="Z10" i="16"/>
  <c r="Z11" i="16" s="1"/>
  <c r="AA71" i="16"/>
  <c r="AB24" i="7"/>
  <c r="Z24" i="12"/>
  <c r="Z25" i="12"/>
  <c r="Z26" i="12"/>
  <c r="Y30" i="6" l="1"/>
  <c r="Y28" i="6"/>
  <c r="Z32" i="12"/>
  <c r="Z39" i="2"/>
  <c r="AA27" i="7"/>
  <c r="AA26" i="7" s="1"/>
  <c r="Y25" i="6"/>
  <c r="X25" i="6"/>
  <c r="V80" i="16"/>
  <c r="V78" i="16"/>
  <c r="V79" i="16" s="1"/>
  <c r="Y26" i="6"/>
  <c r="Y31" i="6"/>
  <c r="V12" i="16"/>
  <c r="V13" i="16" s="1"/>
  <c r="Z19" i="8"/>
  <c r="W61" i="7"/>
  <c r="Z16" i="8"/>
  <c r="Y35" i="16" s="1"/>
  <c r="Z49" i="8"/>
  <c r="X52" i="16"/>
  <c r="X34" i="16"/>
  <c r="X33" i="16"/>
  <c r="Y29" i="6"/>
  <c r="AA52" i="8"/>
  <c r="Z55" i="16" s="1"/>
  <c r="X29" i="6"/>
  <c r="Z65" i="8"/>
  <c r="X31" i="6"/>
  <c r="Z71" i="8"/>
  <c r="Z66" i="8" s="1"/>
  <c r="Y60" i="16" s="1"/>
  <c r="X30" i="6"/>
  <c r="AA17" i="8"/>
  <c r="Z44" i="16" s="1"/>
  <c r="Z17" i="8"/>
  <c r="Y44" i="16" s="1"/>
  <c r="Y23" i="6"/>
  <c r="Y21" i="6"/>
  <c r="Y22" i="6"/>
  <c r="Y20" i="6"/>
  <c r="X20" i="6"/>
  <c r="X23" i="6"/>
  <c r="X21" i="6"/>
  <c r="X22" i="6"/>
  <c r="U35" i="11"/>
  <c r="V51" i="11"/>
  <c r="V79" i="11" s="1"/>
  <c r="V77" i="11" s="1"/>
  <c r="U12" i="11"/>
  <c r="U329" i="22"/>
  <c r="U28" i="22"/>
  <c r="U51" i="6" s="1"/>
  <c r="U337" i="22"/>
  <c r="U296" i="22"/>
  <c r="U326" i="22" s="1"/>
  <c r="U27" i="6"/>
  <c r="W48" i="8"/>
  <c r="V51" i="16" s="1"/>
  <c r="Z295" i="22"/>
  <c r="Z47" i="8"/>
  <c r="Y50" i="16" s="1"/>
  <c r="Z33" i="7"/>
  <c r="Y76" i="16" s="1"/>
  <c r="Y77" i="16" s="1"/>
  <c r="Z14" i="8"/>
  <c r="AA31" i="12"/>
  <c r="Z15" i="8"/>
  <c r="AA41" i="2"/>
  <c r="AA38" i="2" s="1"/>
  <c r="AA39" i="2" s="1"/>
  <c r="AA52" i="2"/>
  <c r="AA47" i="8"/>
  <c r="Z50" i="16" s="1"/>
  <c r="AA16" i="8"/>
  <c r="Z35" i="16" s="1"/>
  <c r="AA65" i="8"/>
  <c r="AA14" i="8"/>
  <c r="AA15" i="8"/>
  <c r="AA73" i="16"/>
  <c r="AA10" i="16"/>
  <c r="AA11" i="16" s="1"/>
  <c r="X76" i="16"/>
  <c r="X77" i="16" s="1"/>
  <c r="AB34" i="2"/>
  <c r="AA71" i="8"/>
  <c r="AA66" i="8" s="1"/>
  <c r="Z60" i="16" s="1"/>
  <c r="AC23" i="2"/>
  <c r="AD18" i="7" s="1"/>
  <c r="AD17" i="7" s="1"/>
  <c r="AD10" i="7"/>
  <c r="AB71" i="16"/>
  <c r="AC24" i="7"/>
  <c r="Z74" i="16" l="1"/>
  <c r="Z75" i="16" s="1"/>
  <c r="AA33" i="7"/>
  <c r="Z76" i="16" s="1"/>
  <c r="Z77" i="16" s="1"/>
  <c r="V208" i="16"/>
  <c r="V81" i="16"/>
  <c r="V86" i="16"/>
  <c r="V87" i="16" s="1"/>
  <c r="V119" i="16"/>
  <c r="V14" i="16"/>
  <c r="U338" i="22"/>
  <c r="AA49" i="8"/>
  <c r="Y52" i="16"/>
  <c r="Z34" i="16"/>
  <c r="Z33" i="16"/>
  <c r="Y34" i="16"/>
  <c r="Y33" i="16"/>
  <c r="AA21" i="12"/>
  <c r="Z26" i="6" s="1"/>
  <c r="AA22" i="12"/>
  <c r="V296" i="22"/>
  <c r="W296" i="22" s="1"/>
  <c r="AA18" i="12"/>
  <c r="AA23" i="12"/>
  <c r="Z28" i="6" s="1"/>
  <c r="AA295" i="22"/>
  <c r="U10" i="11"/>
  <c r="W37" i="8" s="1"/>
  <c r="W57" i="2"/>
  <c r="V28" i="11"/>
  <c r="V14" i="6"/>
  <c r="V24" i="11"/>
  <c r="U32" i="11"/>
  <c r="U36" i="6"/>
  <c r="AA13" i="12"/>
  <c r="AA15" i="12"/>
  <c r="AA14" i="12"/>
  <c r="AB15" i="8" s="1"/>
  <c r="AA16" i="12"/>
  <c r="AA24" i="12"/>
  <c r="AA25" i="12"/>
  <c r="Z30" i="6" s="1"/>
  <c r="AB27" i="7"/>
  <c r="AB26" i="7" s="1"/>
  <c r="AA26" i="12"/>
  <c r="AA32" i="12"/>
  <c r="AB73" i="16"/>
  <c r="AB10" i="16"/>
  <c r="AB11" i="16" s="1"/>
  <c r="AD24" i="7"/>
  <c r="AC34" i="2"/>
  <c r="AB31" i="12"/>
  <c r="AB22" i="12" s="1"/>
  <c r="AB41" i="2"/>
  <c r="AB38" i="2" s="1"/>
  <c r="AB52" i="2"/>
  <c r="AB35" i="2"/>
  <c r="Z25" i="6" l="1"/>
  <c r="AB19" i="8"/>
  <c r="W34" i="8"/>
  <c r="W102" i="16"/>
  <c r="AB16" i="8"/>
  <c r="AA35" i="16" s="1"/>
  <c r="AB49" i="8"/>
  <c r="Z52" i="16"/>
  <c r="AA34" i="16"/>
  <c r="AA33" i="16"/>
  <c r="Z29" i="6"/>
  <c r="AB52" i="8"/>
  <c r="AA55" i="16" s="1"/>
  <c r="U327" i="22"/>
  <c r="U14" i="22" s="1"/>
  <c r="W50" i="8" s="1"/>
  <c r="AB18" i="12"/>
  <c r="AC19" i="8" s="1"/>
  <c r="AB21" i="12"/>
  <c r="AA26" i="6" s="1"/>
  <c r="AB23" i="12"/>
  <c r="AA28" i="6" s="1"/>
  <c r="AB65" i="8"/>
  <c r="Z31" i="6"/>
  <c r="AB17" i="8"/>
  <c r="AA44" i="16" s="1"/>
  <c r="Z23" i="6"/>
  <c r="Z21" i="6"/>
  <c r="Z22" i="6"/>
  <c r="Z20" i="6"/>
  <c r="V109" i="16"/>
  <c r="U34" i="6"/>
  <c r="X39" i="8"/>
  <c r="V104" i="11"/>
  <c r="V33" i="11"/>
  <c r="X44" i="7"/>
  <c r="W58" i="2"/>
  <c r="W48" i="2"/>
  <c r="W64" i="2" s="1"/>
  <c r="V46" i="16"/>
  <c r="X296" i="22"/>
  <c r="Y296" i="22" s="1"/>
  <c r="Z296" i="22" s="1"/>
  <c r="AA296" i="22" s="1"/>
  <c r="AB295" i="22"/>
  <c r="T328" i="22"/>
  <c r="T15" i="22" s="1"/>
  <c r="V64" i="8" s="1"/>
  <c r="AB13" i="12"/>
  <c r="AB16" i="12"/>
  <c r="AB14" i="12"/>
  <c r="AB15" i="12"/>
  <c r="AB14" i="8"/>
  <c r="AB71" i="8"/>
  <c r="AB66" i="8" s="1"/>
  <c r="AA60" i="16" s="1"/>
  <c r="AB47" i="8"/>
  <c r="AA50" i="16" s="1"/>
  <c r="AA74" i="16"/>
  <c r="AA75" i="16" s="1"/>
  <c r="AB33" i="7"/>
  <c r="AB25" i="12"/>
  <c r="AA30" i="6" s="1"/>
  <c r="AB24" i="12"/>
  <c r="AB26" i="12"/>
  <c r="AA31" i="6" s="1"/>
  <c r="AB32" i="12"/>
  <c r="AB39" i="2"/>
  <c r="AC27" i="7"/>
  <c r="AC26" i="7" s="1"/>
  <c r="AC52" i="2"/>
  <c r="AC41" i="2"/>
  <c r="AC38" i="2" s="1"/>
  <c r="AC31" i="12"/>
  <c r="AC35" i="2"/>
  <c r="V43" i="16" l="1"/>
  <c r="V113" i="16"/>
  <c r="V117" i="11"/>
  <c r="V128" i="11" s="1"/>
  <c r="W82" i="16"/>
  <c r="AA25" i="6"/>
  <c r="AC49" i="8"/>
  <c r="AA52" i="16"/>
  <c r="V18" i="16"/>
  <c r="V53" i="16"/>
  <c r="AA29" i="6"/>
  <c r="AC52" i="8"/>
  <c r="AB55" i="16" s="1"/>
  <c r="AC18" i="12"/>
  <c r="AD19" i="8" s="1"/>
  <c r="AC21" i="12"/>
  <c r="AB26" i="6" s="1"/>
  <c r="AC23" i="12"/>
  <c r="AB28" i="6" s="1"/>
  <c r="AC22" i="12"/>
  <c r="AC17" i="8"/>
  <c r="AB44" i="16" s="1"/>
  <c r="AA20" i="6"/>
  <c r="AA22" i="6"/>
  <c r="AA21" i="6"/>
  <c r="AA23" i="6"/>
  <c r="U19" i="16"/>
  <c r="U59" i="16"/>
  <c r="V63" i="8"/>
  <c r="AB296" i="22"/>
  <c r="U328" i="22"/>
  <c r="U15" i="22" s="1"/>
  <c r="W64" i="8" s="1"/>
  <c r="W65" i="2"/>
  <c r="X36" i="7"/>
  <c r="X42" i="7" s="1"/>
  <c r="X35" i="7"/>
  <c r="W33" i="12"/>
  <c r="W49" i="2"/>
  <c r="V130" i="11"/>
  <c r="V141" i="11" s="1"/>
  <c r="V282" i="22"/>
  <c r="W17" i="16"/>
  <c r="V37" i="11"/>
  <c r="AC13" i="12"/>
  <c r="AB20" i="6" s="1"/>
  <c r="AC14" i="12"/>
  <c r="AB21" i="6" s="1"/>
  <c r="AC15" i="12"/>
  <c r="AB22" i="6" s="1"/>
  <c r="AC16" i="12"/>
  <c r="AD17" i="8" s="1"/>
  <c r="AA76" i="16"/>
  <c r="AA77" i="16" s="1"/>
  <c r="AC32" i="12"/>
  <c r="AC39" i="2"/>
  <c r="AD27" i="7"/>
  <c r="AD26" i="7" s="1"/>
  <c r="AD33" i="7" s="1"/>
  <c r="AC16" i="8"/>
  <c r="AB35" i="16" s="1"/>
  <c r="AC65" i="8"/>
  <c r="AC71" i="8"/>
  <c r="AC66" i="8" s="1"/>
  <c r="AB60" i="16" s="1"/>
  <c r="AB74" i="16"/>
  <c r="AB75" i="16" s="1"/>
  <c r="AC33" i="7"/>
  <c r="AC15" i="8"/>
  <c r="AC24" i="12"/>
  <c r="AC25" i="12"/>
  <c r="AB30" i="6" s="1"/>
  <c r="AC26" i="12"/>
  <c r="AB31" i="6" s="1"/>
  <c r="AC47" i="8"/>
  <c r="AB50" i="16" s="1"/>
  <c r="AC14" i="8"/>
  <c r="U58" i="16" l="1"/>
  <c r="W78" i="16"/>
  <c r="W79" i="16" s="1"/>
  <c r="AD15" i="8"/>
  <c r="AB25" i="6"/>
  <c r="AD49" i="8"/>
  <c r="AB52" i="16"/>
  <c r="AB34" i="16"/>
  <c r="AB33" i="16"/>
  <c r="AB29" i="6"/>
  <c r="AD52" i="8"/>
  <c r="AD14" i="8"/>
  <c r="AD16" i="8"/>
  <c r="AB23" i="6"/>
  <c r="V35" i="11"/>
  <c r="W51" i="11"/>
  <c r="W79" i="11" s="1"/>
  <c r="W77" i="11" s="1"/>
  <c r="V12" i="11"/>
  <c r="V329" i="22"/>
  <c r="V28" i="22"/>
  <c r="V51" i="6" s="1"/>
  <c r="V337" i="22"/>
  <c r="V297" i="22"/>
  <c r="V326" i="22" s="1"/>
  <c r="X48" i="8"/>
  <c r="W51" i="16" s="1"/>
  <c r="V27" i="6"/>
  <c r="W12" i="16"/>
  <c r="X61" i="7"/>
  <c r="W80" i="16"/>
  <c r="V19" i="16"/>
  <c r="V59" i="16"/>
  <c r="W63" i="8"/>
  <c r="AD65" i="8"/>
  <c r="AB76" i="16"/>
  <c r="AB77" i="16" s="1"/>
  <c r="AD47" i="8"/>
  <c r="AC63" i="8"/>
  <c r="AD71" i="8"/>
  <c r="AD66" i="8" s="1"/>
  <c r="W119" i="16" l="1"/>
  <c r="W86" i="16"/>
  <c r="W87" i="16" s="1"/>
  <c r="V58" i="16"/>
  <c r="AB58" i="16"/>
  <c r="V338" i="22"/>
  <c r="W297" i="22"/>
  <c r="V327" i="22" s="1"/>
  <c r="V14" i="22" s="1"/>
  <c r="X50" i="8" s="1"/>
  <c r="W81" i="16"/>
  <c r="W208" i="16"/>
  <c r="W14" i="16"/>
  <c r="W13" i="16"/>
  <c r="V10" i="11"/>
  <c r="X37" i="8" s="1"/>
  <c r="W14" i="6"/>
  <c r="X57" i="2"/>
  <c r="W28" i="11"/>
  <c r="W24" i="11"/>
  <c r="V32" i="11"/>
  <c r="V36" i="6"/>
  <c r="AD63" i="8"/>
  <c r="W53" i="16" l="1"/>
  <c r="X34" i="8"/>
  <c r="X102" i="16"/>
  <c r="W18" i="16"/>
  <c r="X297" i="22"/>
  <c r="Y297" i="22" s="1"/>
  <c r="Z297" i="22" s="1"/>
  <c r="W109" i="16"/>
  <c r="V34" i="6"/>
  <c r="Y39" i="8"/>
  <c r="W104" i="11"/>
  <c r="W33" i="11"/>
  <c r="Y44" i="7"/>
  <c r="X58" i="2"/>
  <c r="X48" i="2"/>
  <c r="X64" i="2" s="1"/>
  <c r="W46" i="16"/>
  <c r="W43" i="16" l="1"/>
  <c r="W113" i="16"/>
  <c r="W117" i="11"/>
  <c r="W128" i="11" s="1"/>
  <c r="X82" i="16"/>
  <c r="AA297" i="22"/>
  <c r="AB297" i="22" s="1"/>
  <c r="Y36" i="7"/>
  <c r="Y42" i="7" s="1"/>
  <c r="X49" i="2"/>
  <c r="Y35" i="7"/>
  <c r="X33" i="12"/>
  <c r="X65" i="2"/>
  <c r="W130" i="11"/>
  <c r="W141" i="11" s="1"/>
  <c r="W282" i="22"/>
  <c r="X17" i="16"/>
  <c r="W37" i="11"/>
  <c r="I17" i="12"/>
  <c r="J41" i="12"/>
  <c r="J17" i="12" s="1"/>
  <c r="X78" i="16" l="1"/>
  <c r="X79" i="16" s="1"/>
  <c r="V328" i="22"/>
  <c r="V15" i="22" s="1"/>
  <c r="X64" i="8" s="1"/>
  <c r="J18" i="8"/>
  <c r="I36" i="16" s="1"/>
  <c r="H24" i="6"/>
  <c r="H19" i="6" s="1"/>
  <c r="W35" i="11"/>
  <c r="X51" i="11"/>
  <c r="X79" i="11" s="1"/>
  <c r="X77" i="11" s="1"/>
  <c r="W12" i="11"/>
  <c r="W329" i="22"/>
  <c r="W28" i="22"/>
  <c r="W51" i="6" s="1"/>
  <c r="W337" i="22"/>
  <c r="W298" i="22"/>
  <c r="W326" i="22" s="1"/>
  <c r="W27" i="6"/>
  <c r="Y48" i="8"/>
  <c r="X51" i="16" s="1"/>
  <c r="X12" i="16"/>
  <c r="X80" i="16"/>
  <c r="Y61" i="7"/>
  <c r="W59" i="16" l="1"/>
  <c r="X119" i="16"/>
  <c r="X86" i="16"/>
  <c r="X87" i="16" s="1"/>
  <c r="W338" i="22"/>
  <c r="W19" i="16"/>
  <c r="X298" i="22"/>
  <c r="W327" i="22" s="1"/>
  <c r="W14" i="22" s="1"/>
  <c r="Y50" i="8" s="1"/>
  <c r="X63" i="8"/>
  <c r="I25" i="16"/>
  <c r="H10" i="6"/>
  <c r="K18" i="8"/>
  <c r="J36" i="16" s="1"/>
  <c r="I24" i="6"/>
  <c r="X81" i="16"/>
  <c r="X208" i="16"/>
  <c r="X14" i="16"/>
  <c r="X13" i="16"/>
  <c r="W10" i="11"/>
  <c r="Y37" i="8" s="1"/>
  <c r="Y57" i="2"/>
  <c r="X14" i="6"/>
  <c r="X28" i="11"/>
  <c r="X24" i="11"/>
  <c r="W32" i="11"/>
  <c r="W36" i="6"/>
  <c r="H213" i="16"/>
  <c r="I107" i="16"/>
  <c r="K41" i="12"/>
  <c r="K17" i="12" s="1"/>
  <c r="X53" i="16" l="1"/>
  <c r="W58" i="16"/>
  <c r="Y34" i="8"/>
  <c r="Y102" i="16"/>
  <c r="Y298" i="22"/>
  <c r="Z298" i="22" s="1"/>
  <c r="AA298" i="22" s="1"/>
  <c r="W328" i="22" s="1"/>
  <c r="W15" i="22" s="1"/>
  <c r="Y64" i="8" s="1"/>
  <c r="X18" i="16"/>
  <c r="X109" i="16"/>
  <c r="W34" i="6"/>
  <c r="Z39" i="8"/>
  <c r="X104" i="11"/>
  <c r="X33" i="11"/>
  <c r="Z44" i="7"/>
  <c r="Y58" i="2"/>
  <c r="Y48" i="2"/>
  <c r="Y64" i="2" s="1"/>
  <c r="X46" i="16"/>
  <c r="L41" i="12"/>
  <c r="L17" i="12" s="1"/>
  <c r="I108" i="16"/>
  <c r="H41" i="6"/>
  <c r="X43" i="16" l="1"/>
  <c r="X113" i="16"/>
  <c r="X117" i="11"/>
  <c r="X128" i="11" s="1"/>
  <c r="Y82" i="16"/>
  <c r="AB298" i="22"/>
  <c r="X59" i="16"/>
  <c r="X19" i="16"/>
  <c r="Y63" i="8"/>
  <c r="L18" i="8"/>
  <c r="K36" i="16" s="1"/>
  <c r="J24" i="6"/>
  <c r="Y49" i="2"/>
  <c r="Z36" i="7"/>
  <c r="Z42" i="7" s="1"/>
  <c r="Z35" i="7"/>
  <c r="Y33" i="12"/>
  <c r="Y65" i="2"/>
  <c r="X130" i="11"/>
  <c r="X141" i="11" s="1"/>
  <c r="X282" i="22"/>
  <c r="Y17" i="16"/>
  <c r="X37" i="11"/>
  <c r="I114" i="16"/>
  <c r="H56" i="6"/>
  <c r="M41" i="12"/>
  <c r="M17" i="12" s="1"/>
  <c r="X58" i="16" l="1"/>
  <c r="Y78" i="16"/>
  <c r="Y79" i="16" s="1"/>
  <c r="M18" i="8"/>
  <c r="L36" i="16" s="1"/>
  <c r="K24" i="6"/>
  <c r="K19" i="6" s="1"/>
  <c r="X35" i="11"/>
  <c r="Y51" i="11"/>
  <c r="Y79" i="11" s="1"/>
  <c r="Y77" i="11" s="1"/>
  <c r="X12" i="11"/>
  <c r="X329" i="22"/>
  <c r="X28" i="22"/>
  <c r="X51" i="6" s="1"/>
  <c r="X337" i="22"/>
  <c r="X299" i="22"/>
  <c r="X326" i="22" s="1"/>
  <c r="X27" i="6"/>
  <c r="Z48" i="8"/>
  <c r="Y51" i="16" s="1"/>
  <c r="Y80" i="16"/>
  <c r="Y12" i="16"/>
  <c r="Z61" i="7"/>
  <c r="I123" i="16"/>
  <c r="H59" i="6"/>
  <c r="H51" i="22"/>
  <c r="I29" i="22" s="1"/>
  <c r="N41" i="12"/>
  <c r="N17" i="12" s="1"/>
  <c r="H124" i="22"/>
  <c r="I214" i="16"/>
  <c r="L25" i="16" l="1"/>
  <c r="L213" i="16" s="1"/>
  <c r="L107" i="16"/>
  <c r="Y119" i="16"/>
  <c r="Y86" i="16"/>
  <c r="Y87" i="16" s="1"/>
  <c r="X338" i="22"/>
  <c r="Y299" i="22"/>
  <c r="X327" i="22" s="1"/>
  <c r="X14" i="22" s="1"/>
  <c r="Z50" i="8" s="1"/>
  <c r="N18" i="8"/>
  <c r="M36" i="16" s="1"/>
  <c r="L24" i="6"/>
  <c r="L19" i="6" s="1"/>
  <c r="M25" i="16" s="1"/>
  <c r="Y14" i="16"/>
  <c r="Y13" i="16"/>
  <c r="Y81" i="16"/>
  <c r="Y208" i="16"/>
  <c r="X10" i="11"/>
  <c r="Z37" i="8" s="1"/>
  <c r="Y28" i="11"/>
  <c r="Y14" i="6"/>
  <c r="Z57" i="2"/>
  <c r="Y24" i="11"/>
  <c r="X32" i="11"/>
  <c r="X36" i="6"/>
  <c r="O18" i="8"/>
  <c r="N36" i="16" s="1"/>
  <c r="I125" i="16"/>
  <c r="J13" i="8"/>
  <c r="H13" i="22"/>
  <c r="J55" i="8"/>
  <c r="I52" i="6"/>
  <c r="I60" i="22"/>
  <c r="I20" i="22" s="1"/>
  <c r="K64" i="7" s="1"/>
  <c r="O41" i="12"/>
  <c r="O17" i="12" s="1"/>
  <c r="Z34" i="8" l="1"/>
  <c r="Z102" i="16"/>
  <c r="I32" i="16"/>
  <c r="I56" i="16"/>
  <c r="M107" i="16"/>
  <c r="J46" i="8"/>
  <c r="Y18" i="16"/>
  <c r="Y53" i="16"/>
  <c r="Z299" i="22"/>
  <c r="AA299" i="22" s="1"/>
  <c r="X328" i="22" s="1"/>
  <c r="X15" i="22" s="1"/>
  <c r="Z64" i="8" s="1"/>
  <c r="M24" i="6"/>
  <c r="Y109" i="16"/>
  <c r="X34" i="6"/>
  <c r="AA39" i="8"/>
  <c r="Z58" i="2"/>
  <c r="Z48" i="2"/>
  <c r="Z64" i="2" s="1"/>
  <c r="Y104" i="11"/>
  <c r="Y33" i="11"/>
  <c r="AA44" i="7"/>
  <c r="Y46" i="16"/>
  <c r="J88" i="16"/>
  <c r="H123" i="22"/>
  <c r="I20" i="16"/>
  <c r="I39" i="22"/>
  <c r="H50" i="15"/>
  <c r="J12" i="8"/>
  <c r="H41" i="22"/>
  <c r="H47" i="22" s="1"/>
  <c r="H122" i="22"/>
  <c r="I58" i="6"/>
  <c r="J120" i="16"/>
  <c r="P41" i="12"/>
  <c r="P17" i="12" s="1"/>
  <c r="Y43" i="16" l="1"/>
  <c r="I49" i="16"/>
  <c r="Y113" i="16"/>
  <c r="Y117" i="11"/>
  <c r="Y128" i="11" s="1"/>
  <c r="Z82" i="16"/>
  <c r="I31" i="16"/>
  <c r="J124" i="16"/>
  <c r="AB299" i="22"/>
  <c r="Y19" i="16"/>
  <c r="Y59" i="16"/>
  <c r="Z63" i="8"/>
  <c r="P18" i="8"/>
  <c r="O36" i="16" s="1"/>
  <c r="N24" i="6"/>
  <c r="Y130" i="11"/>
  <c r="Y141" i="11" s="1"/>
  <c r="Y282" i="22"/>
  <c r="Z17" i="16"/>
  <c r="Y37" i="11"/>
  <c r="Z49" i="2"/>
  <c r="AA36" i="7"/>
  <c r="AA42" i="7" s="1"/>
  <c r="Z33" i="12"/>
  <c r="AA35" i="7"/>
  <c r="Z65" i="2"/>
  <c r="Q18" i="8"/>
  <c r="H40" i="22"/>
  <c r="H12" i="22"/>
  <c r="I21" i="16"/>
  <c r="I117" i="16"/>
  <c r="I22" i="16"/>
  <c r="I24" i="16" s="1"/>
  <c r="J44" i="8"/>
  <c r="AG14" i="16"/>
  <c r="AG15" i="16" s="1"/>
  <c r="I210" i="16"/>
  <c r="J10" i="8"/>
  <c r="Q41" i="12"/>
  <c r="Q17" i="12" s="1"/>
  <c r="Y58" i="16" l="1"/>
  <c r="Z78" i="16"/>
  <c r="Z79" i="16" s="1"/>
  <c r="I48" i="16"/>
  <c r="O24" i="6"/>
  <c r="O19" i="6" s="1"/>
  <c r="P107" i="16" s="1"/>
  <c r="Y27" i="6"/>
  <c r="AA48" i="8"/>
  <c r="Z51" i="16" s="1"/>
  <c r="Z12" i="16"/>
  <c r="Z80" i="16"/>
  <c r="AA61" i="7"/>
  <c r="Y35" i="11"/>
  <c r="Z51" i="11"/>
  <c r="Z79" i="11" s="1"/>
  <c r="Z77" i="11" s="1"/>
  <c r="Y12" i="11"/>
  <c r="Y329" i="22"/>
  <c r="Y28" i="22"/>
  <c r="Y51" i="6" s="1"/>
  <c r="Y337" i="22"/>
  <c r="Y300" i="22"/>
  <c r="Y326" i="22" s="1"/>
  <c r="R18" i="8"/>
  <c r="I23" i="16"/>
  <c r="J83" i="8"/>
  <c r="I66" i="16"/>
  <c r="R41" i="12"/>
  <c r="R17" i="12" s="1"/>
  <c r="I26" i="16"/>
  <c r="I215" i="16" s="1"/>
  <c r="K66" i="7"/>
  <c r="H19" i="22"/>
  <c r="Z86" i="16" l="1"/>
  <c r="Z87" i="16" s="1"/>
  <c r="Z119" i="16"/>
  <c r="Y338" i="22"/>
  <c r="I212" i="16"/>
  <c r="I69" i="2"/>
  <c r="Z300" i="22"/>
  <c r="Y327" i="22" s="1"/>
  <c r="Y14" i="22" s="1"/>
  <c r="AA50" i="8" s="1"/>
  <c r="P24" i="6"/>
  <c r="P19" i="6" s="1"/>
  <c r="Y10" i="11"/>
  <c r="AA37" i="8" s="1"/>
  <c r="Z28" i="11"/>
  <c r="AA57" i="2"/>
  <c r="Z14" i="6"/>
  <c r="Z24" i="11"/>
  <c r="Y32" i="11"/>
  <c r="Y36" i="6"/>
  <c r="Z81" i="16"/>
  <c r="Z208" i="16"/>
  <c r="Z13" i="16"/>
  <c r="Z14" i="16"/>
  <c r="I67" i="16"/>
  <c r="J89" i="16"/>
  <c r="K63" i="7"/>
  <c r="S41" i="12"/>
  <c r="S17" i="12" s="1"/>
  <c r="H3" i="11"/>
  <c r="I4" i="12"/>
  <c r="H4" i="22"/>
  <c r="H5" i="6"/>
  <c r="Z53" i="16" l="1"/>
  <c r="AA34" i="8"/>
  <c r="AA102" i="16"/>
  <c r="Z18" i="16"/>
  <c r="AA300" i="22"/>
  <c r="Y328" i="22" s="1"/>
  <c r="Y15" i="22" s="1"/>
  <c r="AA64" i="8" s="1"/>
  <c r="S18" i="8"/>
  <c r="P25" i="16"/>
  <c r="P213" i="16" s="1"/>
  <c r="Q107" i="16"/>
  <c r="Q24" i="6"/>
  <c r="Q19" i="6" s="1"/>
  <c r="R107" i="16" s="1"/>
  <c r="Z109" i="16"/>
  <c r="Y34" i="6"/>
  <c r="AB39" i="8"/>
  <c r="AA58" i="2"/>
  <c r="AA48" i="2"/>
  <c r="AA64" i="2" s="1"/>
  <c r="Z104" i="11"/>
  <c r="Z33" i="11"/>
  <c r="AB44" i="7"/>
  <c r="Z46" i="16"/>
  <c r="T41" i="12"/>
  <c r="T17" i="12" s="1"/>
  <c r="Z43" i="16" l="1"/>
  <c r="Z113" i="16"/>
  <c r="Z117" i="11"/>
  <c r="Z128" i="11" s="1"/>
  <c r="AA82" i="16"/>
  <c r="Q25" i="16"/>
  <c r="Q213" i="16" s="1"/>
  <c r="AB300" i="22"/>
  <c r="Z19" i="16"/>
  <c r="AA63" i="8"/>
  <c r="Z59" i="16"/>
  <c r="T18" i="8"/>
  <c r="R24" i="6"/>
  <c r="R19" i="6" s="1"/>
  <c r="R25" i="16" s="1"/>
  <c r="R213" i="16" s="1"/>
  <c r="Z130" i="11"/>
  <c r="Z141" i="11" s="1"/>
  <c r="Z282" i="22"/>
  <c r="AA17" i="16"/>
  <c r="Z37" i="11"/>
  <c r="AB36" i="7"/>
  <c r="AB42" i="7" s="1"/>
  <c r="AA33" i="12"/>
  <c r="AA49" i="2"/>
  <c r="AB35" i="7"/>
  <c r="AA65" i="2"/>
  <c r="U41" i="12"/>
  <c r="U17" i="12" s="1"/>
  <c r="Z58" i="16" l="1"/>
  <c r="AA78" i="16"/>
  <c r="AA79" i="16" s="1"/>
  <c r="S107" i="16"/>
  <c r="U18" i="8"/>
  <c r="S24" i="6"/>
  <c r="S19" i="6" s="1"/>
  <c r="AB48" i="8"/>
  <c r="AA51" i="16" s="1"/>
  <c r="Z27" i="6"/>
  <c r="AA12" i="16"/>
  <c r="AA80" i="16"/>
  <c r="AB61" i="7"/>
  <c r="Z35" i="11"/>
  <c r="AA51" i="11"/>
  <c r="AA79" i="11" s="1"/>
  <c r="AA77" i="11" s="1"/>
  <c r="Z12" i="11"/>
  <c r="Z329" i="22"/>
  <c r="Z28" i="22"/>
  <c r="Z51" i="6" s="1"/>
  <c r="Z337" i="22"/>
  <c r="Z301" i="22"/>
  <c r="Z326" i="22" s="1"/>
  <c r="V41" i="12"/>
  <c r="V17" i="12" s="1"/>
  <c r="S25" i="16" l="1"/>
  <c r="S213" i="16" s="1"/>
  <c r="T107" i="16"/>
  <c r="AA86" i="16"/>
  <c r="AA87" i="16" s="1"/>
  <c r="AA119" i="16"/>
  <c r="Z338" i="22"/>
  <c r="AA301" i="22"/>
  <c r="Z327" i="22" s="1"/>
  <c r="Z14" i="22" s="1"/>
  <c r="AB50" i="8" s="1"/>
  <c r="V18" i="8"/>
  <c r="T24" i="6"/>
  <c r="T19" i="6" s="1"/>
  <c r="Z10" i="11"/>
  <c r="AB37" i="8" s="1"/>
  <c r="AA14" i="6"/>
  <c r="AA28" i="11"/>
  <c r="AB57" i="2"/>
  <c r="AA24" i="11"/>
  <c r="Z32" i="11"/>
  <c r="Z36" i="6"/>
  <c r="AA208" i="16"/>
  <c r="AA81" i="16"/>
  <c r="AA13" i="16"/>
  <c r="AA14" i="16"/>
  <c r="W41" i="12"/>
  <c r="W17" i="12" s="1"/>
  <c r="U107" i="16" l="1"/>
  <c r="T25" i="16"/>
  <c r="T213" i="16" s="1"/>
  <c r="AB34" i="8"/>
  <c r="AB102" i="16"/>
  <c r="AA18" i="16"/>
  <c r="AA53" i="16"/>
  <c r="AB301" i="22"/>
  <c r="Z328" i="22" s="1"/>
  <c r="Z15" i="22" s="1"/>
  <c r="AB64" i="8" s="1"/>
  <c r="W18" i="8"/>
  <c r="U24" i="6"/>
  <c r="U19" i="6" s="1"/>
  <c r="Z34" i="6"/>
  <c r="AA109" i="16"/>
  <c r="AC39" i="8"/>
  <c r="AB58" i="2"/>
  <c r="AB48" i="2"/>
  <c r="AB64" i="2" s="1"/>
  <c r="AA104" i="11"/>
  <c r="AA33" i="11"/>
  <c r="AC44" i="7"/>
  <c r="AA46" i="16"/>
  <c r="X18" i="8"/>
  <c r="X41" i="12"/>
  <c r="X17" i="12" s="1"/>
  <c r="V107" i="16" l="1"/>
  <c r="U25" i="16"/>
  <c r="U213" i="16" s="1"/>
  <c r="AA43" i="16"/>
  <c r="AA19" i="16"/>
  <c r="AA113" i="16"/>
  <c r="AA117" i="11"/>
  <c r="AA128" i="11" s="1"/>
  <c r="AB82" i="16"/>
  <c r="AB63" i="8"/>
  <c r="AA59" i="16"/>
  <c r="V24" i="6"/>
  <c r="V19" i="6" s="1"/>
  <c r="AA130" i="11"/>
  <c r="AA141" i="11" s="1"/>
  <c r="AA282" i="22"/>
  <c r="AB17" i="16"/>
  <c r="AA37" i="11"/>
  <c r="AB49" i="2"/>
  <c r="AC36" i="7"/>
  <c r="AC42" i="7" s="1"/>
  <c r="AB65" i="2"/>
  <c r="AB33" i="12"/>
  <c r="AC35" i="7"/>
  <c r="Y41" i="12"/>
  <c r="Y17" i="12" s="1"/>
  <c r="AA58" i="16" l="1"/>
  <c r="AB78" i="16"/>
  <c r="AB79" i="16" s="1"/>
  <c r="Y18" i="8"/>
  <c r="W107" i="16"/>
  <c r="V25" i="16"/>
  <c r="V213" i="16" s="1"/>
  <c r="W24" i="6"/>
  <c r="W19" i="6" s="1"/>
  <c r="AC48" i="8"/>
  <c r="AB51" i="16" s="1"/>
  <c r="AA27" i="6"/>
  <c r="AB80" i="16"/>
  <c r="AB12" i="16"/>
  <c r="AC61" i="7"/>
  <c r="AA35" i="11"/>
  <c r="AB51" i="11"/>
  <c r="AB79" i="11" s="1"/>
  <c r="AB77" i="11" s="1"/>
  <c r="AA12" i="11"/>
  <c r="AA329" i="22"/>
  <c r="AA28" i="22"/>
  <c r="AA51" i="6" s="1"/>
  <c r="AA337" i="22"/>
  <c r="AA302" i="22"/>
  <c r="AA326" i="22" s="1"/>
  <c r="Z18" i="8"/>
  <c r="Z41" i="12"/>
  <c r="Z17" i="12" s="1"/>
  <c r="W25" i="16" l="1"/>
  <c r="W213" i="16" s="1"/>
  <c r="X107" i="16"/>
  <c r="AB86" i="16"/>
  <c r="AB87" i="16" s="1"/>
  <c r="AB119" i="16"/>
  <c r="AA338" i="22"/>
  <c r="AB302" i="22"/>
  <c r="AA327" i="22" s="1"/>
  <c r="AA14" i="22" s="1"/>
  <c r="AC50" i="8" s="1"/>
  <c r="X24" i="6"/>
  <c r="X19" i="6" s="1"/>
  <c r="AA10" i="11"/>
  <c r="AC37" i="8" s="1"/>
  <c r="AB28" i="11"/>
  <c r="AB14" i="6"/>
  <c r="AC57" i="2"/>
  <c r="AB24" i="11"/>
  <c r="AD39" i="8" s="1"/>
  <c r="AA32" i="11"/>
  <c r="AA36" i="6"/>
  <c r="AB14" i="16"/>
  <c r="AB13" i="16"/>
  <c r="AB208" i="16"/>
  <c r="AB81" i="16"/>
  <c r="AA41" i="12"/>
  <c r="AA17" i="12" s="1"/>
  <c r="AB53" i="16" l="1"/>
  <c r="AC34" i="8"/>
  <c r="AB18" i="16"/>
  <c r="AA18" i="8"/>
  <c r="X25" i="16"/>
  <c r="X213" i="16" s="1"/>
  <c r="Y107" i="16"/>
  <c r="Y24" i="6"/>
  <c r="Y19" i="6" s="1"/>
  <c r="AB109" i="16"/>
  <c r="AA34" i="6"/>
  <c r="AC58" i="2"/>
  <c r="AC48" i="2"/>
  <c r="AC64" i="2" s="1"/>
  <c r="AB104" i="11"/>
  <c r="AB117" i="11" s="1"/>
  <c r="AB128" i="11" s="1"/>
  <c r="AD44" i="7"/>
  <c r="AB33" i="11"/>
  <c r="AB46" i="16"/>
  <c r="AB18" i="8"/>
  <c r="AB41" i="12"/>
  <c r="AB17" i="12" s="1"/>
  <c r="Z107" i="16" l="1"/>
  <c r="Y25" i="16"/>
  <c r="Y213" i="16" s="1"/>
  <c r="AB43" i="16"/>
  <c r="AB113" i="16"/>
  <c r="Z24" i="6"/>
  <c r="Z19" i="6" s="1"/>
  <c r="AB130" i="11"/>
  <c r="AB141" i="11" s="1"/>
  <c r="AB282" i="22"/>
  <c r="AB37" i="11"/>
  <c r="AD36" i="7"/>
  <c r="AD35" i="7"/>
  <c r="AC49" i="2"/>
  <c r="AC33" i="12"/>
  <c r="AC65" i="2"/>
  <c r="AC18" i="8"/>
  <c r="AD42" i="7" l="1"/>
  <c r="AD61" i="7" s="1"/>
  <c r="AA107" i="16"/>
  <c r="Z25" i="16"/>
  <c r="Z213" i="16" s="1"/>
  <c r="AA24" i="6"/>
  <c r="AA19" i="6" s="1"/>
  <c r="AA25" i="16" s="1"/>
  <c r="AA213" i="16" s="1"/>
  <c r="AB27" i="6"/>
  <c r="AD48" i="8"/>
  <c r="AB35" i="11"/>
  <c r="AB12" i="11"/>
  <c r="AB10" i="11" s="1"/>
  <c r="AB329" i="22"/>
  <c r="AB28" i="22"/>
  <c r="AB51" i="6" s="1"/>
  <c r="AB337" i="22"/>
  <c r="AB303" i="22"/>
  <c r="AB326" i="22" s="1"/>
  <c r="AC41" i="12"/>
  <c r="AB338" i="22" l="1"/>
  <c r="AB107" i="16"/>
  <c r="AD37" i="8"/>
  <c r="AD34" i="8" s="1"/>
  <c r="AC17" i="12"/>
  <c r="AB24" i="6" s="1"/>
  <c r="AB19" i="6" s="1"/>
  <c r="AB25" i="16" s="1"/>
  <c r="AB213" i="16" s="1"/>
  <c r="AB32" i="11"/>
  <c r="AB36" i="6"/>
  <c r="AB34" i="6" s="1"/>
  <c r="AD18" i="8" l="1"/>
  <c r="J55" i="2"/>
  <c r="J52" i="2"/>
  <c r="J48" i="2" s="1"/>
  <c r="J64" i="2" s="1"/>
  <c r="N55" i="2" l="1"/>
  <c r="N52" i="2"/>
  <c r="N48" i="2" s="1"/>
  <c r="N64" i="2" s="1"/>
  <c r="J33" i="12"/>
  <c r="K36" i="7"/>
  <c r="K42" i="7" s="1"/>
  <c r="J49" i="2"/>
  <c r="K35" i="7"/>
  <c r="J78" i="16" s="1"/>
  <c r="J79" i="16" s="1"/>
  <c r="J65" i="2"/>
  <c r="I27" i="6" l="1"/>
  <c r="I19" i="6" s="1"/>
  <c r="J25" i="16" s="1"/>
  <c r="J27" i="6"/>
  <c r="J19" i="6" s="1"/>
  <c r="K25" i="16" s="1"/>
  <c r="K213" i="16" s="1"/>
  <c r="K48" i="8"/>
  <c r="J51" i="16" s="1"/>
  <c r="K61" i="7"/>
  <c r="J12" i="16"/>
  <c r="J80" i="16"/>
  <c r="N49" i="2"/>
  <c r="O36" i="7"/>
  <c r="O42" i="7" s="1"/>
  <c r="N33" i="12"/>
  <c r="O35" i="7"/>
  <c r="N78" i="16" s="1"/>
  <c r="N79" i="16" s="1"/>
  <c r="N65" i="2"/>
  <c r="M27" i="6" l="1"/>
  <c r="M19" i="6" s="1"/>
  <c r="N25" i="16" s="1"/>
  <c r="N27" i="6"/>
  <c r="N19" i="6" s="1"/>
  <c r="O25" i="16" s="1"/>
  <c r="O213" i="16" s="1"/>
  <c r="O48" i="8"/>
  <c r="N51" i="16" s="1"/>
  <c r="J13" i="16"/>
  <c r="AH12" i="16"/>
  <c r="AH13" i="16" s="1"/>
  <c r="J14" i="16"/>
  <c r="K13" i="16"/>
  <c r="J27" i="16"/>
  <c r="K107" i="16"/>
  <c r="J213" i="16"/>
  <c r="N12" i="16"/>
  <c r="N80" i="16"/>
  <c r="O61" i="7"/>
  <c r="J81" i="16"/>
  <c r="J208" i="16"/>
  <c r="J86" i="16"/>
  <c r="J87" i="16" s="1"/>
  <c r="K70" i="7"/>
  <c r="I213" i="16"/>
  <c r="J107" i="16"/>
  <c r="O107" i="16" l="1"/>
  <c r="N213" i="16"/>
  <c r="I44" i="15"/>
  <c r="J90" i="16"/>
  <c r="K73" i="7"/>
  <c r="N86" i="16"/>
  <c r="N87" i="16" s="1"/>
  <c r="N13" i="16"/>
  <c r="N14" i="16"/>
  <c r="O13" i="16"/>
  <c r="M213" i="16"/>
  <c r="N107" i="16"/>
  <c r="N208" i="16"/>
  <c r="N81" i="16"/>
  <c r="K72" i="7" l="1"/>
  <c r="K81" i="7" s="1"/>
  <c r="J91" i="16"/>
  <c r="J211" i="16" s="1"/>
  <c r="J16" i="16" l="1"/>
  <c r="I52" i="15"/>
  <c r="I55" i="15" s="1"/>
  <c r="J94" i="16"/>
  <c r="I12" i="6"/>
  <c r="J100" i="16" l="1"/>
  <c r="I10" i="6"/>
  <c r="J95" i="16"/>
  <c r="I15" i="15"/>
  <c r="K53" i="8"/>
  <c r="J45" i="6" l="1"/>
  <c r="J108" i="16"/>
  <c r="I41" i="6"/>
  <c r="J114" i="16" l="1"/>
  <c r="K115" i="16"/>
  <c r="I124" i="22" l="1"/>
  <c r="J214" i="16"/>
  <c r="J116" i="16" l="1"/>
  <c r="I43" i="6"/>
  <c r="K80" i="8"/>
  <c r="J65" i="16" l="1"/>
  <c r="J122" i="16"/>
  <c r="I56" i="6"/>
  <c r="K77" i="8"/>
  <c r="J62" i="16" l="1"/>
  <c r="I51" i="22"/>
  <c r="J123" i="16"/>
  <c r="I59" i="6"/>
  <c r="J125" i="16" l="1"/>
  <c r="K13" i="8"/>
  <c r="J29" i="22"/>
  <c r="J52" i="6" s="1"/>
  <c r="K55" i="8"/>
  <c r="I13" i="22"/>
  <c r="J60" i="22"/>
  <c r="J20" i="22" s="1"/>
  <c r="L64" i="7" s="1"/>
  <c r="J32" i="16" l="1"/>
  <c r="K46" i="8"/>
  <c r="J56" i="16"/>
  <c r="K88" i="16"/>
  <c r="I123" i="22"/>
  <c r="J20" i="16"/>
  <c r="J58" i="6"/>
  <c r="I122" i="22"/>
  <c r="I50" i="15"/>
  <c r="I41" i="22"/>
  <c r="J39" i="22"/>
  <c r="K12" i="8"/>
  <c r="K120" i="16"/>
  <c r="J49" i="16" l="1"/>
  <c r="K124" i="16"/>
  <c r="J31" i="16"/>
  <c r="J21" i="16"/>
  <c r="J23" i="16" s="1"/>
  <c r="J117" i="16"/>
  <c r="J22" i="16"/>
  <c r="J24" i="16" s="1"/>
  <c r="K10" i="8"/>
  <c r="I12" i="22"/>
  <c r="I47" i="22"/>
  <c r="I40" i="22"/>
  <c r="AH14" i="16"/>
  <c r="AH15" i="16" s="1"/>
  <c r="J210" i="16"/>
  <c r="K44" i="8"/>
  <c r="K27" i="16"/>
  <c r="J48" i="16" l="1"/>
  <c r="J212" i="16"/>
  <c r="J69" i="2"/>
  <c r="J66" i="16"/>
  <c r="K83" i="8"/>
  <c r="I19" i="22"/>
  <c r="L66" i="7"/>
  <c r="J26" i="16"/>
  <c r="J215" i="16" s="1"/>
  <c r="J67" i="16" l="1"/>
  <c r="K89" i="16"/>
  <c r="L63" i="7"/>
  <c r="I5" i="6"/>
  <c r="J4" i="12"/>
  <c r="I3" i="11"/>
  <c r="I4" i="22"/>
  <c r="L70" i="7" l="1"/>
  <c r="J44" i="15" l="1"/>
  <c r="L73" i="7"/>
  <c r="K90" i="16"/>
  <c r="L72" i="7" l="1"/>
  <c r="L81" i="7" s="1"/>
  <c r="K91" i="16"/>
  <c r="K211" i="16" s="1"/>
  <c r="K16" i="16" l="1"/>
  <c r="J52" i="15"/>
  <c r="J55" i="15" s="1"/>
  <c r="K94" i="16"/>
  <c r="J12" i="6"/>
  <c r="K100" i="16" l="1"/>
  <c r="J10" i="6"/>
  <c r="J15" i="15"/>
  <c r="L53" i="8"/>
  <c r="K95" i="16"/>
  <c r="K45" i="6" l="1"/>
  <c r="K108" i="16"/>
  <c r="J41" i="6"/>
  <c r="K114" i="16" l="1"/>
  <c r="L115" i="16"/>
  <c r="K214" i="16" l="1"/>
  <c r="J124" i="22"/>
  <c r="K116" i="16" l="1"/>
  <c r="J43" i="6"/>
  <c r="L80" i="8"/>
  <c r="K65" i="16" l="1"/>
  <c r="K122" i="16"/>
  <c r="J56" i="6"/>
  <c r="L77" i="8"/>
  <c r="K62" i="16" l="1"/>
  <c r="K123" i="16"/>
  <c r="J51" i="22"/>
  <c r="J59" i="6"/>
  <c r="J13" i="22" l="1"/>
  <c r="L55" i="8"/>
  <c r="K29" i="22"/>
  <c r="K52" i="6" s="1"/>
  <c r="K60" i="22"/>
  <c r="K20" i="22" s="1"/>
  <c r="M64" i="7" s="1"/>
  <c r="L13" i="8"/>
  <c r="K125" i="16"/>
  <c r="L120" i="16" l="1"/>
  <c r="K32" i="16"/>
  <c r="L46" i="8"/>
  <c r="K56" i="16"/>
  <c r="L88" i="16"/>
  <c r="J123" i="22"/>
  <c r="K20" i="16"/>
  <c r="K22" i="16" s="1"/>
  <c r="K39" i="22"/>
  <c r="J122" i="22"/>
  <c r="J50" i="15"/>
  <c r="K58" i="6"/>
  <c r="L12" i="8"/>
  <c r="J41" i="22"/>
  <c r="L27" i="16" l="1"/>
  <c r="K49" i="16"/>
  <c r="L124" i="16"/>
  <c r="K31" i="16"/>
  <c r="L10" i="8"/>
  <c r="AI14" i="16"/>
  <c r="AI15" i="16" s="1"/>
  <c r="K210" i="16"/>
  <c r="K117" i="16"/>
  <c r="K24" i="16"/>
  <c r="K21" i="16"/>
  <c r="K23" i="16" s="1"/>
  <c r="J40" i="22"/>
  <c r="J47" i="22"/>
  <c r="J12" i="22"/>
  <c r="L44" i="8"/>
  <c r="K48" i="16" l="1"/>
  <c r="K212" i="16"/>
  <c r="K69" i="2"/>
  <c r="J19" i="22"/>
  <c r="M66" i="7"/>
  <c r="K26" i="16"/>
  <c r="K215" i="16" s="1"/>
  <c r="K66" i="16"/>
  <c r="L83" i="8"/>
  <c r="K67" i="16" l="1"/>
  <c r="L89" i="16"/>
  <c r="M63" i="7"/>
  <c r="J3" i="11"/>
  <c r="J4" i="22"/>
  <c r="K4" i="12"/>
  <c r="J5" i="6"/>
  <c r="M70" i="7" l="1"/>
  <c r="K44" i="15" l="1"/>
  <c r="M73" i="7"/>
  <c r="L90" i="16"/>
  <c r="L91" i="16" l="1"/>
  <c r="L211" i="16" s="1"/>
  <c r="M72" i="7"/>
  <c r="M81" i="7" s="1"/>
  <c r="L16" i="16" l="1"/>
  <c r="L94" i="16"/>
  <c r="K52" i="15"/>
  <c r="K55" i="15" s="1"/>
  <c r="K12" i="6"/>
  <c r="L100" i="16" l="1"/>
  <c r="K10" i="6"/>
  <c r="L95" i="16"/>
  <c r="M53" i="8"/>
  <c r="K15" i="15"/>
  <c r="L108" i="16" l="1"/>
  <c r="K41" i="6"/>
  <c r="L45" i="6"/>
  <c r="L114" i="16" l="1"/>
  <c r="M115" i="16"/>
  <c r="K124" i="22" l="1"/>
  <c r="L214" i="16"/>
  <c r="L116" i="16" l="1"/>
  <c r="K43" i="6"/>
  <c r="M80" i="8"/>
  <c r="L65" i="16" l="1"/>
  <c r="L122" i="16"/>
  <c r="K56" i="6"/>
  <c r="M77" i="8"/>
  <c r="L62" i="16" l="1"/>
  <c r="L123" i="16"/>
  <c r="K51" i="22"/>
  <c r="K59" i="6"/>
  <c r="K13" i="22" l="1"/>
  <c r="L29" i="22"/>
  <c r="L52" i="6" s="1"/>
  <c r="M55" i="8"/>
  <c r="L60" i="22"/>
  <c r="L20" i="22" s="1"/>
  <c r="N64" i="7" s="1"/>
  <c r="L125" i="16"/>
  <c r="M13" i="8"/>
  <c r="M120" i="16" l="1"/>
  <c r="L32" i="16"/>
  <c r="M46" i="8"/>
  <c r="L56" i="16"/>
  <c r="K41" i="22"/>
  <c r="L39" i="22"/>
  <c r="L58" i="6"/>
  <c r="M12" i="8"/>
  <c r="K122" i="22"/>
  <c r="K50" i="15"/>
  <c r="M88" i="16"/>
  <c r="L20" i="16"/>
  <c r="K123" i="22"/>
  <c r="M27" i="16" l="1"/>
  <c r="L49" i="16"/>
  <c r="M124" i="16"/>
  <c r="L31" i="16"/>
  <c r="K40" i="22"/>
  <c r="K12" i="22"/>
  <c r="K47" i="22"/>
  <c r="M44" i="8"/>
  <c r="L117" i="16"/>
  <c r="L22" i="16"/>
  <c r="L24" i="16" s="1"/>
  <c r="L21" i="16"/>
  <c r="L23" i="16" s="1"/>
  <c r="M10" i="8"/>
  <c r="AJ14" i="16"/>
  <c r="AJ15" i="16" s="1"/>
  <c r="L210" i="16"/>
  <c r="L48" i="16" l="1"/>
  <c r="L212" i="16"/>
  <c r="L69" i="2"/>
  <c r="L26" i="16"/>
  <c r="L215" i="16" s="1"/>
  <c r="L66" i="16"/>
  <c r="M83" i="8"/>
  <c r="K19" i="22"/>
  <c r="N66" i="7"/>
  <c r="M89" i="16" l="1"/>
  <c r="N63" i="7"/>
  <c r="K4" i="22"/>
  <c r="K3" i="11"/>
  <c r="K5" i="6"/>
  <c r="L4" i="12"/>
  <c r="L67" i="16"/>
  <c r="N70" i="7" l="1"/>
  <c r="L44" i="15" l="1"/>
  <c r="M90" i="16"/>
  <c r="N73" i="7"/>
  <c r="M91" i="16" l="1"/>
  <c r="M211" i="16" s="1"/>
  <c r="N72" i="7"/>
  <c r="N81" i="7" s="1"/>
  <c r="M94" i="16" l="1"/>
  <c r="L52" i="15"/>
  <c r="L55" i="15" s="1"/>
  <c r="M16" i="16"/>
  <c r="L12" i="6"/>
  <c r="L10" i="6" l="1"/>
  <c r="M100" i="16"/>
  <c r="N53" i="8"/>
  <c r="L15" i="15"/>
  <c r="M95" i="16"/>
  <c r="M116" i="16" l="1"/>
  <c r="L43" i="6"/>
  <c r="M45" i="6"/>
  <c r="N80" i="8"/>
  <c r="M108" i="16"/>
  <c r="L41" i="6"/>
  <c r="M122" i="16" l="1"/>
  <c r="M65" i="16"/>
  <c r="M114" i="16"/>
  <c r="L56" i="6"/>
  <c r="N77" i="8"/>
  <c r="N115" i="16"/>
  <c r="M62" i="16" l="1"/>
  <c r="L59" i="6"/>
  <c r="M123" i="16"/>
  <c r="L51" i="22"/>
  <c r="L124" i="22"/>
  <c r="M214" i="16"/>
  <c r="L13" i="22" l="1"/>
  <c r="N55" i="8"/>
  <c r="M29" i="22"/>
  <c r="M52" i="6" s="1"/>
  <c r="M60" i="22"/>
  <c r="M20" i="22" s="1"/>
  <c r="O64" i="7" s="1"/>
  <c r="N13" i="8"/>
  <c r="M125" i="16"/>
  <c r="N120" i="16" l="1"/>
  <c r="M32" i="16"/>
  <c r="N46" i="8"/>
  <c r="M56" i="16"/>
  <c r="N88" i="16"/>
  <c r="L123" i="22"/>
  <c r="M20" i="16"/>
  <c r="L122" i="22"/>
  <c r="M58" i="6"/>
  <c r="N12" i="8"/>
  <c r="L41" i="22"/>
  <c r="L50" i="15"/>
  <c r="M39" i="22"/>
  <c r="N27" i="16" l="1"/>
  <c r="M49" i="16"/>
  <c r="N124" i="16"/>
  <c r="M31" i="16"/>
  <c r="N10" i="8"/>
  <c r="N44" i="8"/>
  <c r="L40" i="22"/>
  <c r="L12" i="22"/>
  <c r="L47" i="22"/>
  <c r="M210" i="16"/>
  <c r="AK14" i="16"/>
  <c r="AK15" i="16" s="1"/>
  <c r="M22" i="16"/>
  <c r="M24" i="16" s="1"/>
  <c r="M21" i="16"/>
  <c r="M23" i="16" s="1"/>
  <c r="M117" i="16"/>
  <c r="M48" i="16" l="1"/>
  <c r="M212" i="16"/>
  <c r="M69" i="2"/>
  <c r="M66" i="16"/>
  <c r="N83" i="8"/>
  <c r="L19" i="22"/>
  <c r="O66" i="7"/>
  <c r="M26" i="16"/>
  <c r="M215" i="16" s="1"/>
  <c r="M67" i="16" l="1"/>
  <c r="N89" i="16"/>
  <c r="O63" i="7"/>
  <c r="L3" i="11"/>
  <c r="M4" i="12"/>
  <c r="L4" i="22"/>
  <c r="L5" i="6"/>
  <c r="O70" i="7" l="1"/>
  <c r="M44" i="15" l="1"/>
  <c r="N90" i="16"/>
  <c r="O73" i="7"/>
  <c r="N91" i="16" l="1"/>
  <c r="N211" i="16" s="1"/>
  <c r="O72" i="7"/>
  <c r="O81" i="7" s="1"/>
  <c r="N16" i="16" l="1"/>
  <c r="M52" i="15"/>
  <c r="M55" i="15" s="1"/>
  <c r="N94" i="16"/>
  <c r="M12" i="6"/>
  <c r="N100" i="16" l="1"/>
  <c r="M10" i="6"/>
  <c r="M15" i="15"/>
  <c r="O53" i="8"/>
  <c r="N95" i="16"/>
  <c r="N45" i="6" l="1"/>
  <c r="O80" i="8"/>
  <c r="N108" i="16"/>
  <c r="M41" i="6"/>
  <c r="N116" i="16"/>
  <c r="M43" i="6"/>
  <c r="N65" i="16" l="1"/>
  <c r="N122" i="16"/>
  <c r="M56" i="6"/>
  <c r="N114" i="16"/>
  <c r="O77" i="8"/>
  <c r="O115" i="16"/>
  <c r="M59" i="6" l="1"/>
  <c r="N62" i="16"/>
  <c r="N214" i="16"/>
  <c r="M124" i="22"/>
  <c r="M51" i="22"/>
  <c r="N123" i="16"/>
  <c r="M13" i="22" l="1"/>
  <c r="O55" i="8"/>
  <c r="N29" i="22"/>
  <c r="N52" i="6" s="1"/>
  <c r="N60" i="22"/>
  <c r="N20" i="22" s="1"/>
  <c r="P64" i="7" s="1"/>
  <c r="N125" i="16"/>
  <c r="O13" i="8"/>
  <c r="N32" i="16" l="1"/>
  <c r="O46" i="8"/>
  <c r="N56" i="16"/>
  <c r="N58" i="6"/>
  <c r="O12" i="8"/>
  <c r="M122" i="22"/>
  <c r="N39" i="22"/>
  <c r="M41" i="22"/>
  <c r="M50" i="15"/>
  <c r="O88" i="16"/>
  <c r="M123" i="22"/>
  <c r="N20" i="16"/>
  <c r="O120" i="16"/>
  <c r="N43" i="6"/>
  <c r="N49" i="16" l="1"/>
  <c r="O124" i="16"/>
  <c r="N31" i="16"/>
  <c r="O122" i="16"/>
  <c r="N117" i="16"/>
  <c r="N22" i="16"/>
  <c r="N24" i="16" s="1"/>
  <c r="N21" i="16"/>
  <c r="N23" i="16" s="1"/>
  <c r="O10" i="8"/>
  <c r="O44" i="8"/>
  <c r="N210" i="16"/>
  <c r="M12" i="22"/>
  <c r="M47" i="22"/>
  <c r="M40" i="22"/>
  <c r="O27" i="16"/>
  <c r="N48" i="16" l="1"/>
  <c r="N212" i="16"/>
  <c r="N69" i="2"/>
  <c r="O83" i="8"/>
  <c r="M19" i="22"/>
  <c r="P66" i="7"/>
  <c r="N66" i="16"/>
  <c r="N26" i="16"/>
  <c r="N215" i="16" s="1"/>
  <c r="O89" i="16" l="1"/>
  <c r="P63" i="7"/>
  <c r="N4" i="12"/>
  <c r="M5" i="6"/>
  <c r="M4" i="22"/>
  <c r="M3" i="11"/>
  <c r="N67" i="16"/>
  <c r="P70" i="7" l="1"/>
  <c r="O90" i="16" l="1"/>
  <c r="N44" i="15"/>
  <c r="P73" i="7"/>
  <c r="P72" i="7" l="1"/>
  <c r="P81" i="7" s="1"/>
  <c r="O91" i="16"/>
  <c r="O211" i="16" s="1"/>
  <c r="O94" i="16" l="1"/>
  <c r="N52" i="15"/>
  <c r="N55" i="15" s="1"/>
  <c r="O16" i="16"/>
  <c r="N12" i="6"/>
  <c r="O100" i="16" l="1"/>
  <c r="N10" i="6"/>
  <c r="N15" i="15"/>
  <c r="P53" i="8"/>
  <c r="O95" i="16"/>
  <c r="O45" i="6" l="1"/>
  <c r="P80" i="8"/>
  <c r="O108" i="16"/>
  <c r="N41" i="6"/>
  <c r="O65" i="16" l="1"/>
  <c r="N56" i="6"/>
  <c r="O114" i="16"/>
  <c r="P77" i="8"/>
  <c r="P115" i="16"/>
  <c r="O62" i="16" l="1"/>
  <c r="N59" i="6"/>
  <c r="N124" i="22"/>
  <c r="O214" i="16"/>
  <c r="O123" i="16"/>
  <c r="N51" i="22"/>
  <c r="N13" i="22" l="1"/>
  <c r="P55" i="8"/>
  <c r="O29" i="22"/>
  <c r="O52" i="6" s="1"/>
  <c r="O60" i="22"/>
  <c r="O20" i="22" s="1"/>
  <c r="Q64" i="7" s="1"/>
  <c r="P13" i="8"/>
  <c r="O125" i="16"/>
  <c r="O32" i="16" l="1"/>
  <c r="P46" i="8"/>
  <c r="O56" i="16"/>
  <c r="P88" i="16"/>
  <c r="O20" i="16"/>
  <c r="N123" i="22"/>
  <c r="N122" i="22"/>
  <c r="N50" i="15"/>
  <c r="O39" i="22"/>
  <c r="O58" i="6"/>
  <c r="P12" i="8"/>
  <c r="N41" i="22"/>
  <c r="P120" i="16"/>
  <c r="O43" i="6"/>
  <c r="O49" i="16" l="1"/>
  <c r="P124" i="16"/>
  <c r="O31" i="16"/>
  <c r="P122" i="16"/>
  <c r="N47" i="22"/>
  <c r="N12" i="22"/>
  <c r="N40" i="22"/>
  <c r="O210" i="16"/>
  <c r="P10" i="8"/>
  <c r="P44" i="8"/>
  <c r="O117" i="16"/>
  <c r="O21" i="16"/>
  <c r="O23" i="16" s="1"/>
  <c r="O22" i="16"/>
  <c r="O24" i="16" s="1"/>
  <c r="P27" i="16"/>
  <c r="O48" i="16" l="1"/>
  <c r="O212" i="16"/>
  <c r="O69" i="2"/>
  <c r="O66" i="16"/>
  <c r="O26" i="16"/>
  <c r="O215" i="16" s="1"/>
  <c r="P83" i="8"/>
  <c r="N19" i="22"/>
  <c r="Q66" i="7"/>
  <c r="O67" i="16" l="1"/>
  <c r="P89" i="16"/>
  <c r="Q63" i="7"/>
  <c r="Q70" i="7" s="1"/>
  <c r="N5" i="6"/>
  <c r="N4" i="22"/>
  <c r="N3" i="11"/>
  <c r="O4" i="12"/>
  <c r="O44" i="15" l="1"/>
  <c r="P90" i="16"/>
  <c r="Q73" i="7"/>
  <c r="Q72" i="7" l="1"/>
  <c r="Q81" i="7" s="1"/>
  <c r="P91" i="16"/>
  <c r="P211" i="16" s="1"/>
  <c r="P94" i="16" l="1"/>
  <c r="P95" i="16" s="1"/>
  <c r="P16" i="16"/>
  <c r="O52" i="15"/>
  <c r="O55" i="15" s="1"/>
  <c r="O12" i="6"/>
  <c r="O10" i="6" l="1"/>
  <c r="P100" i="16"/>
  <c r="O15" i="15"/>
  <c r="Q53" i="8"/>
  <c r="P45" i="6" l="1"/>
  <c r="Q80" i="8"/>
  <c r="P108" i="16"/>
  <c r="O41" i="6"/>
  <c r="O56" i="6" l="1"/>
  <c r="P114" i="16"/>
  <c r="Q77" i="8"/>
  <c r="Q115" i="16"/>
  <c r="P62" i="16" l="1"/>
  <c r="O124" i="22"/>
  <c r="P214" i="16"/>
  <c r="P123" i="16"/>
  <c r="O51" i="22"/>
  <c r="O59" i="6"/>
  <c r="O13" i="22" l="1"/>
  <c r="P60" i="22"/>
  <c r="P20" i="22" s="1"/>
  <c r="R64" i="7" s="1"/>
  <c r="P29" i="22"/>
  <c r="P52" i="6" s="1"/>
  <c r="Q55" i="8"/>
  <c r="Q13" i="8"/>
  <c r="P125" i="16"/>
  <c r="Q46" i="8" l="1"/>
  <c r="O123" i="22"/>
  <c r="P20" i="16"/>
  <c r="Q88" i="16"/>
  <c r="P39" i="22"/>
  <c r="O41" i="22"/>
  <c r="O122" i="22"/>
  <c r="P32" i="16"/>
  <c r="P210" i="16" s="1"/>
  <c r="P58" i="6"/>
  <c r="Q12" i="8"/>
  <c r="O50" i="15"/>
  <c r="Q120" i="16"/>
  <c r="P43" i="6"/>
  <c r="Q124" i="16" l="1"/>
  <c r="Q122" i="16"/>
  <c r="Q27" i="16"/>
  <c r="P21" i="16"/>
  <c r="P23" i="16" s="1"/>
  <c r="P117" i="16"/>
  <c r="P22" i="16"/>
  <c r="P24" i="16" s="1"/>
  <c r="Q10" i="8"/>
  <c r="P31" i="16"/>
  <c r="O47" i="22"/>
  <c r="O40" i="22"/>
  <c r="O12" i="22"/>
  <c r="Q44" i="8"/>
  <c r="P49" i="16"/>
  <c r="P48" i="16" l="1"/>
  <c r="P212" i="16"/>
  <c r="P69" i="2"/>
  <c r="P26" i="16"/>
  <c r="P215" i="16" s="1"/>
  <c r="P56" i="16"/>
  <c r="P66" i="16"/>
  <c r="O19" i="22"/>
  <c r="R66" i="7"/>
  <c r="Q83" i="8"/>
  <c r="P67" i="16" l="1"/>
  <c r="Q89" i="16"/>
  <c r="R63" i="7"/>
  <c r="R70" i="7" s="1"/>
  <c r="O4" i="22"/>
  <c r="O3" i="11"/>
  <c r="P4" i="12"/>
  <c r="O5" i="6"/>
  <c r="P44" i="15" l="1"/>
  <c r="Q90" i="16"/>
  <c r="R73" i="7"/>
  <c r="Q91" i="16" l="1"/>
  <c r="Q211" i="16" s="1"/>
  <c r="R72" i="7"/>
  <c r="R81" i="7" s="1"/>
  <c r="P52" i="15" l="1"/>
  <c r="P55" i="15" s="1"/>
  <c r="P12" i="6"/>
  <c r="Q16" i="16"/>
  <c r="Q94" i="16"/>
  <c r="Q95" i="16" s="1"/>
  <c r="Q100" i="16" l="1"/>
  <c r="P10" i="6"/>
  <c r="P15" i="15"/>
  <c r="R53" i="8"/>
  <c r="Q45" i="6" l="1"/>
  <c r="R80" i="8"/>
  <c r="P41" i="6"/>
  <c r="Q108" i="16"/>
  <c r="P56" i="6" l="1"/>
  <c r="Q114" i="16"/>
  <c r="R77" i="8"/>
  <c r="R115" i="16"/>
  <c r="Q62" i="16" l="1"/>
  <c r="Q214" i="16"/>
  <c r="P124" i="22"/>
  <c r="Q123" i="16"/>
  <c r="P59" i="6"/>
  <c r="P51" i="22"/>
  <c r="R13" i="8" l="1"/>
  <c r="Q125" i="16"/>
  <c r="Q29" i="22"/>
  <c r="Q52" i="6" s="1"/>
  <c r="R55" i="8"/>
  <c r="Q60" i="22"/>
  <c r="Q20" i="22" s="1"/>
  <c r="S64" i="7" s="1"/>
  <c r="P13" i="22"/>
  <c r="R46" i="8" l="1"/>
  <c r="Q20" i="16"/>
  <c r="R88" i="16"/>
  <c r="R120" i="16"/>
  <c r="Q43" i="6"/>
  <c r="R12" i="8"/>
  <c r="P122" i="22"/>
  <c r="P50" i="15"/>
  <c r="Q39" i="22"/>
  <c r="Q58" i="6"/>
  <c r="Q32" i="16"/>
  <c r="Q210" i="16" s="1"/>
  <c r="P41" i="22"/>
  <c r="R122" i="16" l="1"/>
  <c r="R124" i="16"/>
  <c r="R44" i="8"/>
  <c r="Q49" i="16"/>
  <c r="P12" i="22"/>
  <c r="P40" i="22"/>
  <c r="P47" i="22"/>
  <c r="R10" i="8"/>
  <c r="Q31" i="16"/>
  <c r="Q22" i="16"/>
  <c r="Q24" i="16" s="1"/>
  <c r="Q21" i="16"/>
  <c r="Q23" i="16" s="1"/>
  <c r="Q212" i="16" s="1"/>
  <c r="Q117" i="16"/>
  <c r="R27" i="16"/>
  <c r="Q48" i="16" l="1"/>
  <c r="R83" i="8"/>
  <c r="Q56" i="16"/>
  <c r="Q66" i="16"/>
  <c r="S66" i="7"/>
  <c r="P19" i="22"/>
  <c r="Q26" i="16"/>
  <c r="Q215" i="16" s="1"/>
  <c r="Q4" i="12" l="1"/>
  <c r="P5" i="6"/>
  <c r="P4" i="22"/>
  <c r="R89" i="16"/>
  <c r="S63" i="7"/>
  <c r="S70" i="7" s="1"/>
  <c r="Q67" i="16"/>
  <c r="R90" i="16" l="1"/>
  <c r="Q44" i="15"/>
  <c r="S73" i="7"/>
  <c r="S72" i="7" l="1"/>
  <c r="S81" i="7" s="1"/>
  <c r="R91" i="16"/>
  <c r="R211" i="16" s="1"/>
  <c r="R16" i="16" l="1"/>
  <c r="Q12" i="6"/>
  <c r="R94" i="16"/>
  <c r="R95" i="16" s="1"/>
  <c r="Q52" i="15"/>
  <c r="Q55" i="15" s="1"/>
  <c r="Q15" i="15" l="1"/>
  <c r="S53" i="8"/>
  <c r="R100" i="16"/>
  <c r="Q10" i="6"/>
  <c r="Q41" i="6" l="1"/>
  <c r="R108" i="16"/>
  <c r="R45" i="6"/>
  <c r="S80" i="8"/>
  <c r="S77" i="8" l="1"/>
  <c r="S115" i="16"/>
  <c r="R114" i="16"/>
  <c r="R214" i="16" s="1"/>
  <c r="Q56" i="6"/>
  <c r="R62" i="16" l="1"/>
  <c r="Q59" i="6"/>
  <c r="R123" i="16"/>
  <c r="Q51" i="22"/>
  <c r="Q13" i="22" l="1"/>
  <c r="S55" i="8"/>
  <c r="R29" i="22"/>
  <c r="R52" i="6" s="1"/>
  <c r="R60" i="22"/>
  <c r="R20" i="22" s="1"/>
  <c r="T64" i="7" s="1"/>
  <c r="R125" i="16"/>
  <c r="S13" i="8"/>
  <c r="S46" i="8" l="1"/>
  <c r="R39" i="22"/>
  <c r="Q50" i="15"/>
  <c r="R58" i="6"/>
  <c r="R32" i="16"/>
  <c r="R210" i="16" s="1"/>
  <c r="Q41" i="22"/>
  <c r="S12" i="8"/>
  <c r="Q122" i="22"/>
  <c r="S88" i="16"/>
  <c r="R20" i="16"/>
  <c r="S120" i="16"/>
  <c r="R43" i="6"/>
  <c r="S124" i="16" l="1"/>
  <c r="S122" i="16"/>
  <c r="R22" i="16"/>
  <c r="R24" i="16" s="1"/>
  <c r="R117" i="16"/>
  <c r="R21" i="16"/>
  <c r="R23" i="16" s="1"/>
  <c r="R212" i="16" s="1"/>
  <c r="R31" i="16"/>
  <c r="S10" i="8"/>
  <c r="S44" i="8"/>
  <c r="R49" i="16"/>
  <c r="Q12" i="22"/>
  <c r="Q40" i="22"/>
  <c r="Q47" i="22"/>
  <c r="S27" i="16"/>
  <c r="R48" i="16" l="1"/>
  <c r="R56" i="16"/>
  <c r="R66" i="16"/>
  <c r="S83" i="8"/>
  <c r="T66" i="7"/>
  <c r="Q19" i="22"/>
  <c r="R26" i="16"/>
  <c r="R215" i="16" s="1"/>
  <c r="Q4" i="22" l="1"/>
  <c r="Q5" i="6"/>
  <c r="S89" i="16"/>
  <c r="T63" i="7"/>
  <c r="T70" i="7" s="1"/>
  <c r="R67" i="16"/>
  <c r="T73" i="7" l="1"/>
  <c r="R44" i="15"/>
  <c r="S90" i="16"/>
  <c r="T72" i="7" l="1"/>
  <c r="T81" i="7" s="1"/>
  <c r="S91" i="16"/>
  <c r="S211" i="16" s="1"/>
  <c r="S16" i="16" l="1"/>
  <c r="R12" i="6"/>
  <c r="S94" i="16"/>
  <c r="S95" i="16" s="1"/>
  <c r="R52" i="15"/>
  <c r="R55" i="15" s="1"/>
  <c r="R15" i="15" l="1"/>
  <c r="T53" i="8"/>
  <c r="S100" i="16"/>
  <c r="R10" i="6"/>
  <c r="R41" i="6" l="1"/>
  <c r="S108" i="16"/>
  <c r="S45" i="6"/>
  <c r="T80" i="8"/>
  <c r="T77" i="8" l="1"/>
  <c r="T115" i="16"/>
  <c r="R56" i="6"/>
  <c r="S114" i="16"/>
  <c r="S214" i="16" s="1"/>
  <c r="S62" i="16" l="1"/>
  <c r="R59" i="6"/>
  <c r="S123" i="16"/>
  <c r="R51" i="22"/>
  <c r="T55" i="8" l="1"/>
  <c r="S60" i="22"/>
  <c r="S20" i="22" s="1"/>
  <c r="U64" i="7" s="1"/>
  <c r="S29" i="22"/>
  <c r="S52" i="6" s="1"/>
  <c r="R13" i="22"/>
  <c r="S125" i="16"/>
  <c r="T13" i="8"/>
  <c r="T46" i="8" l="1"/>
  <c r="R50" i="15"/>
  <c r="R122" i="22"/>
  <c r="S32" i="16"/>
  <c r="S210" i="16" s="1"/>
  <c r="S39" i="22"/>
  <c r="R41" i="22"/>
  <c r="S58" i="6"/>
  <c r="T12" i="8"/>
  <c r="T88" i="16"/>
  <c r="U63" i="7"/>
  <c r="U70" i="7" s="1"/>
  <c r="T120" i="16"/>
  <c r="S43" i="6"/>
  <c r="S20" i="16"/>
  <c r="T124" i="16" l="1"/>
  <c r="T122" i="16"/>
  <c r="S117" i="16"/>
  <c r="S21" i="16"/>
  <c r="S23" i="16" s="1"/>
  <c r="S212" i="16" s="1"/>
  <c r="S22" i="16"/>
  <c r="S24" i="16" s="1"/>
  <c r="S49" i="16"/>
  <c r="T44" i="8"/>
  <c r="S44" i="15"/>
  <c r="T90" i="16"/>
  <c r="U73" i="7"/>
  <c r="S31" i="16"/>
  <c r="T10" i="8"/>
  <c r="R12" i="22"/>
  <c r="R47" i="22"/>
  <c r="R40" i="22"/>
  <c r="T27" i="16"/>
  <c r="S48" i="16" l="1"/>
  <c r="S26" i="16"/>
  <c r="S215" i="16" s="1"/>
  <c r="R19" i="22"/>
  <c r="U66" i="7"/>
  <c r="T83" i="8"/>
  <c r="R4" i="22" s="1"/>
  <c r="U72" i="7"/>
  <c r="U81" i="7" s="1"/>
  <c r="T91" i="16"/>
  <c r="T211" i="16" s="1"/>
  <c r="S56" i="16"/>
  <c r="S66" i="16"/>
  <c r="T89" i="16" l="1"/>
  <c r="T94" i="16"/>
  <c r="T95" i="16" s="1"/>
  <c r="S12" i="6"/>
  <c r="S52" i="15"/>
  <c r="S55" i="15" s="1"/>
  <c r="T16" i="16"/>
  <c r="S67" i="16"/>
  <c r="T100" i="16" l="1"/>
  <c r="S10" i="6"/>
  <c r="S15" i="15"/>
  <c r="U53" i="8"/>
  <c r="U46" i="8" s="1"/>
  <c r="T45" i="6" l="1"/>
  <c r="U80" i="8"/>
  <c r="T108" i="16"/>
  <c r="S41" i="6"/>
  <c r="U115" i="16" l="1"/>
  <c r="T43" i="6"/>
  <c r="S56" i="6"/>
  <c r="T114" i="16"/>
  <c r="T214" i="16" s="1"/>
  <c r="U77" i="8"/>
  <c r="T49" i="16"/>
  <c r="U122" i="16" l="1"/>
  <c r="T62" i="16"/>
  <c r="T66" i="16" s="1"/>
  <c r="U44" i="8"/>
  <c r="S51" i="22"/>
  <c r="S59" i="6"/>
  <c r="T123" i="16"/>
  <c r="T125" i="16" l="1"/>
  <c r="U13" i="8"/>
  <c r="S13" i="22"/>
  <c r="U55" i="8"/>
  <c r="T60" i="22"/>
  <c r="T20" i="22" s="1"/>
  <c r="V64" i="7" s="1"/>
  <c r="T29" i="22"/>
  <c r="T52" i="6" s="1"/>
  <c r="T20" i="16" l="1"/>
  <c r="T21" i="16" s="1"/>
  <c r="T23" i="16" s="1"/>
  <c r="T212" i="16" s="1"/>
  <c r="U120" i="16"/>
  <c r="T56" i="16"/>
  <c r="S50" i="15"/>
  <c r="U12" i="8"/>
  <c r="S122" i="22"/>
  <c r="T32" i="16"/>
  <c r="T210" i="16" s="1"/>
  <c r="T58" i="6"/>
  <c r="S41" i="22"/>
  <c r="T39" i="22"/>
  <c r="V63" i="7"/>
  <c r="V70" i="7" s="1"/>
  <c r="U88" i="16"/>
  <c r="T117" i="16" l="1"/>
  <c r="T22" i="16"/>
  <c r="T24" i="16" s="1"/>
  <c r="U27" i="16"/>
  <c r="U124" i="16"/>
  <c r="T44" i="15"/>
  <c r="V73" i="7"/>
  <c r="U90" i="16"/>
  <c r="S47" i="22"/>
  <c r="S40" i="22"/>
  <c r="S12" i="22"/>
  <c r="T31" i="16"/>
  <c r="T26" i="16" s="1"/>
  <c r="T215" i="16" s="1"/>
  <c r="U10" i="8"/>
  <c r="T48" i="16" l="1"/>
  <c r="T67" i="16" s="1"/>
  <c r="U83" i="8"/>
  <c r="S19" i="22"/>
  <c r="V66" i="7"/>
  <c r="U91" i="16"/>
  <c r="U211" i="16" s="1"/>
  <c r="V72" i="7"/>
  <c r="V81" i="7" s="1"/>
  <c r="U89" i="16" l="1"/>
  <c r="U94" i="16"/>
  <c r="U95" i="16" s="1"/>
  <c r="T12" i="6"/>
  <c r="T52" i="15"/>
  <c r="T55" i="15" s="1"/>
  <c r="U16" i="16"/>
  <c r="T10" i="6" l="1"/>
  <c r="U100" i="16"/>
  <c r="T15" i="15"/>
  <c r="V53" i="8"/>
  <c r="V46" i="8" s="1"/>
  <c r="U45" i="6" l="1"/>
  <c r="V80" i="8"/>
  <c r="U108" i="16"/>
  <c r="T41" i="6"/>
  <c r="U43" i="6" l="1"/>
  <c r="V115" i="16"/>
  <c r="U114" i="16"/>
  <c r="U214" i="16" s="1"/>
  <c r="T56" i="6"/>
  <c r="V77" i="8"/>
  <c r="U49" i="16"/>
  <c r="V122" i="16" l="1"/>
  <c r="U62" i="16"/>
  <c r="U66" i="16" s="1"/>
  <c r="V44" i="8"/>
  <c r="T51" i="22"/>
  <c r="T59" i="6"/>
  <c r="U123" i="16"/>
  <c r="U125" i="16" l="1"/>
  <c r="V13" i="8"/>
  <c r="U29" i="22"/>
  <c r="U52" i="6" s="1"/>
  <c r="T13" i="22"/>
  <c r="V55" i="8"/>
  <c r="U60" i="22"/>
  <c r="U20" i="22" s="1"/>
  <c r="W64" i="7" s="1"/>
  <c r="V120" i="16" l="1"/>
  <c r="U20" i="16"/>
  <c r="U21" i="16" s="1"/>
  <c r="U23" i="16" s="1"/>
  <c r="U212" i="16" s="1"/>
  <c r="V88" i="16"/>
  <c r="W63" i="7"/>
  <c r="W70" i="7" s="1"/>
  <c r="T50" i="15"/>
  <c r="T41" i="22"/>
  <c r="U39" i="22"/>
  <c r="U32" i="16"/>
  <c r="U210" i="16" s="1"/>
  <c r="U58" i="6"/>
  <c r="V12" i="8"/>
  <c r="T122" i="22"/>
  <c r="U56" i="16"/>
  <c r="U117" i="16" l="1"/>
  <c r="U22" i="16"/>
  <c r="U24" i="16" s="1"/>
  <c r="V27" i="16"/>
  <c r="V124" i="16"/>
  <c r="V10" i="8"/>
  <c r="U31" i="16"/>
  <c r="U26" i="16" s="1"/>
  <c r="U215" i="16" s="1"/>
  <c r="T40" i="22"/>
  <c r="T12" i="22"/>
  <c r="T47" i="22"/>
  <c r="U44" i="15"/>
  <c r="V90" i="16"/>
  <c r="W73" i="7"/>
  <c r="U48" i="16" l="1"/>
  <c r="U67" i="16" s="1"/>
  <c r="W72" i="7"/>
  <c r="W81" i="7" s="1"/>
  <c r="V91" i="16"/>
  <c r="V211" i="16" s="1"/>
  <c r="W66" i="7"/>
  <c r="T19" i="22"/>
  <c r="V83" i="8"/>
  <c r="V89" i="16" l="1"/>
  <c r="V16" i="16"/>
  <c r="U12" i="6"/>
  <c r="U52" i="15"/>
  <c r="U55" i="15" s="1"/>
  <c r="V94" i="16"/>
  <c r="V95" i="16" s="1"/>
  <c r="U10" i="6" l="1"/>
  <c r="V100" i="16"/>
  <c r="U15" i="15"/>
  <c r="W53" i="8"/>
  <c r="W46" i="8" s="1"/>
  <c r="V45" i="6" l="1"/>
  <c r="W80" i="8"/>
  <c r="V108" i="16"/>
  <c r="U41" i="6"/>
  <c r="V49" i="16" l="1"/>
  <c r="U56" i="6"/>
  <c r="V114" i="16"/>
  <c r="V214" i="16" s="1"/>
  <c r="W77" i="8"/>
  <c r="V43" i="6"/>
  <c r="W115" i="16"/>
  <c r="V62" i="16" l="1"/>
  <c r="V66" i="16" s="1"/>
  <c r="W122" i="16"/>
  <c r="U59" i="6"/>
  <c r="U51" i="22"/>
  <c r="V123" i="16"/>
  <c r="W44" i="8"/>
  <c r="W55" i="8" l="1"/>
  <c r="V60" i="22"/>
  <c r="V20" i="22" s="1"/>
  <c r="X64" i="7" s="1"/>
  <c r="V29" i="22"/>
  <c r="V52" i="6" s="1"/>
  <c r="U13" i="22"/>
  <c r="W13" i="8"/>
  <c r="V125" i="16"/>
  <c r="V20" i="16" l="1"/>
  <c r="W120" i="16"/>
  <c r="W88" i="16"/>
  <c r="X63" i="7"/>
  <c r="X70" i="7" s="1"/>
  <c r="V39" i="22"/>
  <c r="V32" i="16"/>
  <c r="V210" i="16" s="1"/>
  <c r="U41" i="22"/>
  <c r="V58" i="6"/>
  <c r="W12" i="8"/>
  <c r="U50" i="15"/>
  <c r="U122" i="22"/>
  <c r="V56" i="16"/>
  <c r="W27" i="16" l="1"/>
  <c r="V117" i="16"/>
  <c r="V22" i="16"/>
  <c r="V24" i="16" s="1"/>
  <c r="V21" i="16"/>
  <c r="V23" i="16" s="1"/>
  <c r="V212" i="16" s="1"/>
  <c r="W124" i="16"/>
  <c r="X73" i="7"/>
  <c r="V44" i="15"/>
  <c r="W90" i="16"/>
  <c r="W10" i="8"/>
  <c r="V31" i="16"/>
  <c r="V26" i="16" s="1"/>
  <c r="V215" i="16" s="1"/>
  <c r="U12" i="22"/>
  <c r="U47" i="22"/>
  <c r="U40" i="22"/>
  <c r="V48" i="16" l="1"/>
  <c r="V67" i="16" s="1"/>
  <c r="W83" i="8"/>
  <c r="U19" i="22"/>
  <c r="X66" i="7"/>
  <c r="X72" i="7"/>
  <c r="X81" i="7" s="1"/>
  <c r="W91" i="16"/>
  <c r="W211" i="16" s="1"/>
  <c r="W89" i="16" l="1"/>
  <c r="W94" i="16"/>
  <c r="W95" i="16" s="1"/>
  <c r="V52" i="15"/>
  <c r="V55" i="15" s="1"/>
  <c r="W16" i="16"/>
  <c r="V12" i="6"/>
  <c r="W100" i="16" l="1"/>
  <c r="V10" i="6"/>
  <c r="V15" i="15"/>
  <c r="X53" i="8"/>
  <c r="X46" i="8" s="1"/>
  <c r="W45" i="6" l="1"/>
  <c r="X80" i="8"/>
  <c r="V41" i="6"/>
  <c r="W108" i="16"/>
  <c r="V56" i="6" l="1"/>
  <c r="W114" i="16"/>
  <c r="W214" i="16" s="1"/>
  <c r="X115" i="16"/>
  <c r="W43" i="6"/>
  <c r="X77" i="8"/>
  <c r="W49" i="16"/>
  <c r="X122" i="16" l="1"/>
  <c r="W62" i="16"/>
  <c r="W66" i="16" s="1"/>
  <c r="X44" i="8"/>
  <c r="W123" i="16"/>
  <c r="V51" i="22"/>
  <c r="V59" i="6"/>
  <c r="X55" i="8" l="1"/>
  <c r="W29" i="22"/>
  <c r="W52" i="6" s="1"/>
  <c r="V13" i="22"/>
  <c r="W60" i="22"/>
  <c r="W20" i="22" s="1"/>
  <c r="Y64" i="7" s="1"/>
  <c r="W125" i="16"/>
  <c r="X13" i="8"/>
  <c r="W20" i="16" l="1"/>
  <c r="X120" i="16"/>
  <c r="V50" i="15"/>
  <c r="V41" i="22"/>
  <c r="X12" i="8"/>
  <c r="V122" i="22"/>
  <c r="W58" i="6"/>
  <c r="W32" i="16"/>
  <c r="W210" i="16" s="1"/>
  <c r="W39" i="22"/>
  <c r="X88" i="16"/>
  <c r="Y63" i="7"/>
  <c r="Y70" i="7" s="1"/>
  <c r="W56" i="16"/>
  <c r="X27" i="16" l="1"/>
  <c r="W117" i="16"/>
  <c r="W21" i="16"/>
  <c r="W23" i="16" s="1"/>
  <c r="W212" i="16" s="1"/>
  <c r="W22" i="16"/>
  <c r="W24" i="16" s="1"/>
  <c r="X124" i="16"/>
  <c r="V12" i="22"/>
  <c r="V47" i="22"/>
  <c r="V40" i="22"/>
  <c r="W44" i="15"/>
  <c r="Y73" i="7"/>
  <c r="X90" i="16"/>
  <c r="W31" i="16"/>
  <c r="W26" i="16" s="1"/>
  <c r="W215" i="16" s="1"/>
  <c r="X10" i="8"/>
  <c r="W48" i="16" l="1"/>
  <c r="W67" i="16" s="1"/>
  <c r="X83" i="8"/>
  <c r="Y66" i="7"/>
  <c r="V19" i="22"/>
  <c r="Y72" i="7"/>
  <c r="Y81" i="7" s="1"/>
  <c r="X91" i="16"/>
  <c r="X211" i="16" s="1"/>
  <c r="X89" i="16" l="1"/>
  <c r="X94" i="16"/>
  <c r="X95" i="16" s="1"/>
  <c r="W52" i="15"/>
  <c r="W55" i="15" s="1"/>
  <c r="X16" i="16"/>
  <c r="W12" i="6"/>
  <c r="W10" i="6" l="1"/>
  <c r="X100" i="16"/>
  <c r="Y53" i="8"/>
  <c r="Y46" i="8" s="1"/>
  <c r="W15" i="15"/>
  <c r="X45" i="6" l="1"/>
  <c r="Y80" i="8"/>
  <c r="W41" i="6"/>
  <c r="X108" i="16"/>
  <c r="X114" i="16" l="1"/>
  <c r="X214" i="16" s="1"/>
  <c r="W56" i="6"/>
  <c r="Y115" i="16"/>
  <c r="X43" i="6"/>
  <c r="Y77" i="8"/>
  <c r="X49" i="16"/>
  <c r="Y122" i="16" l="1"/>
  <c r="X62" i="16"/>
  <c r="X66" i="16" s="1"/>
  <c r="Y44" i="8"/>
  <c r="X123" i="16"/>
  <c r="W51" i="22"/>
  <c r="W59" i="6"/>
  <c r="X29" i="22" l="1"/>
  <c r="X52" i="6" s="1"/>
  <c r="X60" i="22"/>
  <c r="X20" i="22" s="1"/>
  <c r="Z64" i="7" s="1"/>
  <c r="W13" i="22"/>
  <c r="Y55" i="8"/>
  <c r="Y13" i="8"/>
  <c r="X125" i="16"/>
  <c r="Y120" i="16" l="1"/>
  <c r="X20" i="16"/>
  <c r="X56" i="16"/>
  <c r="Z63" i="7"/>
  <c r="Z70" i="7" s="1"/>
  <c r="Y88" i="16"/>
  <c r="X39" i="22"/>
  <c r="W50" i="15"/>
  <c r="Y12" i="8"/>
  <c r="W122" i="22"/>
  <c r="X58" i="6"/>
  <c r="X32" i="16"/>
  <c r="X210" i="16" s="1"/>
  <c r="W41" i="22"/>
  <c r="Y27" i="16" l="1"/>
  <c r="X117" i="16"/>
  <c r="X22" i="16"/>
  <c r="X24" i="16" s="1"/>
  <c r="X21" i="16"/>
  <c r="X23" i="16" s="1"/>
  <c r="X212" i="16" s="1"/>
  <c r="Y124" i="16"/>
  <c r="W12" i="22"/>
  <c r="W47" i="22"/>
  <c r="W40" i="22"/>
  <c r="Y10" i="8"/>
  <c r="X31" i="16"/>
  <c r="X26" i="16" s="1"/>
  <c r="X215" i="16" s="1"/>
  <c r="Z73" i="7"/>
  <c r="X44" i="15"/>
  <c r="Y90" i="16"/>
  <c r="X48" i="16" l="1"/>
  <c r="X67" i="16" s="1"/>
  <c r="Z72" i="7"/>
  <c r="Z81" i="7" s="1"/>
  <c r="Y91" i="16"/>
  <c r="Y211" i="16" s="1"/>
  <c r="Y83" i="8"/>
  <c r="Z66" i="7"/>
  <c r="W19" i="22"/>
  <c r="Y89" i="16" l="1"/>
  <c r="Y16" i="16"/>
  <c r="X12" i="6"/>
  <c r="Y94" i="16"/>
  <c r="Y95" i="16" s="1"/>
  <c r="X52" i="15"/>
  <c r="X55" i="15" s="1"/>
  <c r="X15" i="15" l="1"/>
  <c r="Z53" i="8"/>
  <c r="Z46" i="8" s="1"/>
  <c r="Y100" i="16"/>
  <c r="X10" i="6"/>
  <c r="Y108" i="16" l="1"/>
  <c r="X41" i="6"/>
  <c r="Y45" i="6"/>
  <c r="Z80" i="8"/>
  <c r="Z115" i="16" l="1"/>
  <c r="Y43" i="6"/>
  <c r="X56" i="6"/>
  <c r="Y114" i="16"/>
  <c r="Y214" i="16" s="1"/>
  <c r="Z77" i="8"/>
  <c r="Y49" i="16"/>
  <c r="Z122" i="16" l="1"/>
  <c r="Y62" i="16"/>
  <c r="Y66" i="16" s="1"/>
  <c r="Z44" i="8"/>
  <c r="Y123" i="16"/>
  <c r="X59" i="6"/>
  <c r="X51" i="22"/>
  <c r="Y125" i="16" l="1"/>
  <c r="Z13" i="8"/>
  <c r="X13" i="22"/>
  <c r="Z55" i="8"/>
  <c r="Y29" i="22"/>
  <c r="Y52" i="6" s="1"/>
  <c r="Y60" i="22"/>
  <c r="Y20" i="22" s="1"/>
  <c r="AA64" i="7" s="1"/>
  <c r="Y20" i="16" l="1"/>
  <c r="Z120" i="16"/>
  <c r="AA63" i="7"/>
  <c r="AA70" i="7" s="1"/>
  <c r="Z88" i="16"/>
  <c r="Y56" i="16"/>
  <c r="X50" i="15"/>
  <c r="Y32" i="16"/>
  <c r="Y210" i="16" s="1"/>
  <c r="X122" i="22"/>
  <c r="X41" i="22"/>
  <c r="Z12" i="8"/>
  <c r="Y39" i="22"/>
  <c r="Y58" i="6"/>
  <c r="Z27" i="16" l="1"/>
  <c r="Y22" i="16"/>
  <c r="Y24" i="16" s="1"/>
  <c r="Y117" i="16"/>
  <c r="Y21" i="16"/>
  <c r="Y23" i="16" s="1"/>
  <c r="Y212" i="16" s="1"/>
  <c r="Z124" i="16"/>
  <c r="X12" i="22"/>
  <c r="X47" i="22"/>
  <c r="X40" i="22"/>
  <c r="Y31" i="16"/>
  <c r="Y26" i="16" s="1"/>
  <c r="Y215" i="16" s="1"/>
  <c r="Z10" i="8"/>
  <c r="Z90" i="16"/>
  <c r="Y44" i="15"/>
  <c r="AA73" i="7"/>
  <c r="Y48" i="16" l="1"/>
  <c r="Y67" i="16" s="1"/>
  <c r="AA72" i="7"/>
  <c r="AA81" i="7" s="1"/>
  <c r="Z91" i="16"/>
  <c r="Z211" i="16" s="1"/>
  <c r="X19" i="22"/>
  <c r="AA66" i="7"/>
  <c r="Z83" i="8"/>
  <c r="Z89" i="16" l="1"/>
  <c r="Z16" i="16"/>
  <c r="Y52" i="15"/>
  <c r="Y55" i="15" s="1"/>
  <c r="Z94" i="16"/>
  <c r="Z95" i="16" s="1"/>
  <c r="Y12" i="6"/>
  <c r="Y10" i="6" l="1"/>
  <c r="Z100" i="16"/>
  <c r="AA53" i="8"/>
  <c r="AA46" i="8" s="1"/>
  <c r="Y15" i="15"/>
  <c r="Z45" i="6" l="1"/>
  <c r="AA80" i="8"/>
  <c r="Z108" i="16"/>
  <c r="Y41" i="6"/>
  <c r="AA115" i="16" l="1"/>
  <c r="Z43" i="6"/>
  <c r="Y56" i="6"/>
  <c r="Z114" i="16"/>
  <c r="Z214" i="16" s="1"/>
  <c r="AA77" i="8"/>
  <c r="Z49" i="16"/>
  <c r="AA122" i="16" l="1"/>
  <c r="Z62" i="16"/>
  <c r="Z66" i="16" s="1"/>
  <c r="AA44" i="8"/>
  <c r="Y59" i="6"/>
  <c r="Z123" i="16"/>
  <c r="Y51" i="22"/>
  <c r="Z29" i="22" l="1"/>
  <c r="Z52" i="6" s="1"/>
  <c r="Z60" i="22"/>
  <c r="Z20" i="22" s="1"/>
  <c r="AB64" i="7" s="1"/>
  <c r="Y13" i="22"/>
  <c r="AA55" i="8"/>
  <c r="AA13" i="8"/>
  <c r="Z125" i="16"/>
  <c r="AA120" i="16" l="1"/>
  <c r="Z20" i="16"/>
  <c r="Z21" i="16" s="1"/>
  <c r="Z23" i="16" s="1"/>
  <c r="Z212" i="16" s="1"/>
  <c r="Z56" i="16"/>
  <c r="Y50" i="15"/>
  <c r="AA12" i="8"/>
  <c r="Z39" i="22"/>
  <c r="Y122" i="22"/>
  <c r="Z58" i="6"/>
  <c r="Z32" i="16"/>
  <c r="Z210" i="16" s="1"/>
  <c r="Y41" i="22"/>
  <c r="AB63" i="7"/>
  <c r="AB70" i="7" s="1"/>
  <c r="AA88" i="16"/>
  <c r="AA27" i="16" l="1"/>
  <c r="Z22" i="16"/>
  <c r="Z24" i="16" s="1"/>
  <c r="Z117" i="16"/>
  <c r="AA124" i="16"/>
  <c r="Y12" i="22"/>
  <c r="Y47" i="22"/>
  <c r="Y40" i="22"/>
  <c r="Z44" i="15"/>
  <c r="AB73" i="7"/>
  <c r="AA90" i="16"/>
  <c r="Z31" i="16"/>
  <c r="Z26" i="16" s="1"/>
  <c r="Z215" i="16" s="1"/>
  <c r="AA10" i="8"/>
  <c r="Z48" i="16" l="1"/>
  <c r="Z67" i="16" s="1"/>
  <c r="AB72" i="7"/>
  <c r="AB81" i="7" s="1"/>
  <c r="AA91" i="16"/>
  <c r="AA211" i="16" s="1"/>
  <c r="AA83" i="8"/>
  <c r="Y19" i="22"/>
  <c r="AB66" i="7"/>
  <c r="AA89" i="16" l="1"/>
  <c r="AA16" i="16"/>
  <c r="Z12" i="6"/>
  <c r="Z52" i="15"/>
  <c r="Z55" i="15" s="1"/>
  <c r="AA94" i="16"/>
  <c r="AA95" i="16" s="1"/>
  <c r="Z15" i="15" l="1"/>
  <c r="AB53" i="8"/>
  <c r="AB46" i="8" s="1"/>
  <c r="AA100" i="16"/>
  <c r="Z10" i="6"/>
  <c r="AA108" i="16" l="1"/>
  <c r="Z41" i="6"/>
  <c r="AA45" i="6"/>
  <c r="AB80" i="8"/>
  <c r="AB77" i="8" l="1"/>
  <c r="AA43" i="6"/>
  <c r="AB115" i="16"/>
  <c r="AA49" i="16"/>
  <c r="Z56" i="6"/>
  <c r="AA114" i="16"/>
  <c r="AA214" i="16" s="1"/>
  <c r="AA62" i="16" l="1"/>
  <c r="AA66" i="16" s="1"/>
  <c r="AB122" i="16"/>
  <c r="AB44" i="8"/>
  <c r="AA123" i="16"/>
  <c r="Z51" i="22"/>
  <c r="Z59" i="6"/>
  <c r="AA125" i="16" l="1"/>
  <c r="AB13" i="8"/>
  <c r="Z13" i="22"/>
  <c r="AB55" i="8"/>
  <c r="AA29" i="22"/>
  <c r="AA52" i="6" s="1"/>
  <c r="AA60" i="22"/>
  <c r="AA20" i="22" s="1"/>
  <c r="AC64" i="7" s="1"/>
  <c r="AA20" i="16" l="1"/>
  <c r="AA21" i="16" s="1"/>
  <c r="AA23" i="16" s="1"/>
  <c r="AA212" i="16" s="1"/>
  <c r="AB120" i="16"/>
  <c r="AC63" i="7"/>
  <c r="AC70" i="7" s="1"/>
  <c r="AB88" i="16"/>
  <c r="AA56" i="16"/>
  <c r="Z122" i="22"/>
  <c r="Z50" i="15"/>
  <c r="AA32" i="16"/>
  <c r="AA210" i="16" s="1"/>
  <c r="AA58" i="6"/>
  <c r="AB12" i="8"/>
  <c r="AA39" i="22"/>
  <c r="Z41" i="22"/>
  <c r="AB27" i="16" l="1"/>
  <c r="AA22" i="16"/>
  <c r="AA24" i="16" s="1"/>
  <c r="AA117" i="16"/>
  <c r="AB124" i="16"/>
  <c r="Z12" i="22"/>
  <c r="Z47" i="22"/>
  <c r="Z40" i="22"/>
  <c r="AA31" i="16"/>
  <c r="AA26" i="16" s="1"/>
  <c r="AA215" i="16" s="1"/>
  <c r="AB10" i="8"/>
  <c r="AA44" i="15"/>
  <c r="AC73" i="7"/>
  <c r="AB90" i="16"/>
  <c r="AA48" i="16" l="1"/>
  <c r="AA67" i="16" s="1"/>
  <c r="Z19" i="22"/>
  <c r="AC66" i="7"/>
  <c r="AB91" i="16"/>
  <c r="AB211" i="16" s="1"/>
  <c r="AC72" i="7"/>
  <c r="AC81" i="7" s="1"/>
  <c r="AB83" i="8"/>
  <c r="AB89" i="16" l="1"/>
  <c r="AB16" i="16"/>
  <c r="AB94" i="16"/>
  <c r="AB95" i="16" s="1"/>
  <c r="AA52" i="15"/>
  <c r="AA55" i="15" s="1"/>
  <c r="AA12" i="6"/>
  <c r="AB100" i="16" l="1"/>
  <c r="AA10" i="6"/>
  <c r="AA15" i="15"/>
  <c r="AC53" i="8"/>
  <c r="AC46" i="8" s="1"/>
  <c r="AB45" i="6" l="1"/>
  <c r="AB43" i="6" s="1"/>
  <c r="AC80" i="8"/>
  <c r="AB108" i="16"/>
  <c r="AA41" i="6"/>
  <c r="AB49" i="16" l="1"/>
  <c r="AB114" i="16"/>
  <c r="AB214" i="16" s="1"/>
  <c r="AA56" i="6"/>
  <c r="AC77" i="8"/>
  <c r="AB62" i="16" l="1"/>
  <c r="AB66" i="16" s="1"/>
  <c r="AA59" i="6"/>
  <c r="AA51" i="22"/>
  <c r="AB123" i="16"/>
  <c r="AC44" i="8"/>
  <c r="AC13" i="8" l="1"/>
  <c r="AB125" i="16"/>
  <c r="AB29" i="22"/>
  <c r="AB52" i="6" s="1"/>
  <c r="AB60" i="22"/>
  <c r="AB20" i="22" s="1"/>
  <c r="AD64" i="7" s="1"/>
  <c r="AD63" i="7" s="1"/>
  <c r="AD70" i="7" s="1"/>
  <c r="AA13" i="22"/>
  <c r="AC55" i="8"/>
  <c r="AB20" i="16" l="1"/>
  <c r="AB39" i="22"/>
  <c r="AA122" i="22"/>
  <c r="AC12" i="8"/>
  <c r="AB58" i="6"/>
  <c r="AA50" i="15"/>
  <c r="AB32" i="16"/>
  <c r="AB210" i="16" s="1"/>
  <c r="AA41" i="22"/>
  <c r="AB56" i="16"/>
  <c r="AB44" i="15"/>
  <c r="AD73" i="7"/>
  <c r="AD72" i="7" s="1"/>
  <c r="AD81" i="7" s="1"/>
  <c r="AB22" i="16" l="1"/>
  <c r="AB24" i="16" s="1"/>
  <c r="AB117" i="16"/>
  <c r="AB21" i="16"/>
  <c r="AB23" i="16" s="1"/>
  <c r="AB212" i="16" s="1"/>
  <c r="AB12" i="6"/>
  <c r="AB10" i="6" s="1"/>
  <c r="AB41" i="6" s="1"/>
  <c r="AB56" i="6" s="1"/>
  <c r="AB52" i="15"/>
  <c r="AB55" i="15" s="1"/>
  <c r="AA47" i="22"/>
  <c r="AA40" i="22"/>
  <c r="AA12" i="22"/>
  <c r="AB31" i="16"/>
  <c r="AB26" i="16" s="1"/>
  <c r="AB215" i="16" s="1"/>
  <c r="AC10" i="8"/>
  <c r="AB48" i="16" l="1"/>
  <c r="AB67" i="16" s="1"/>
  <c r="AB51" i="22"/>
  <c r="AB59" i="6"/>
  <c r="AD13" i="8" s="1"/>
  <c r="AC83" i="8"/>
  <c r="AD66" i="7"/>
  <c r="AA19" i="22"/>
  <c r="AD53" i="8"/>
  <c r="AD46" i="8" s="1"/>
  <c r="AB15" i="15"/>
  <c r="AD80" i="8" l="1"/>
  <c r="AD77" i="8" s="1"/>
  <c r="AD55" i="8"/>
  <c r="AB13" i="22"/>
  <c r="AB50" i="15"/>
  <c r="AB122" i="22"/>
  <c r="AD12" i="8"/>
  <c r="AD10" i="8" s="1"/>
  <c r="AB41" i="22"/>
  <c r="AD44" i="8" l="1"/>
  <c r="AD83" i="8" s="1"/>
  <c r="AB40" i="22"/>
  <c r="AB12" i="22"/>
  <c r="AB47" i="22"/>
  <c r="AB1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2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Somatória da Variação de (Contas a Receber + Estoques - Contas a Pagar)</t>
        </r>
      </text>
    </comment>
    <comment ref="B21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EBITDA</t>
        </r>
        <r>
          <rPr>
            <b/>
            <sz val="8"/>
            <color indexed="81"/>
            <rFont val="Tahoma"/>
            <family val="2"/>
          </rPr>
          <t xml:space="preserve"> / INTEREST EXPENSE</t>
        </r>
      </text>
    </comment>
    <comment ref="B214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EBITDA / (INTEREST EXPENSE + DEBT AMT + FISCAL DEBT AMT)</t>
        </r>
      </text>
    </comment>
    <comment ref="B215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(EBITDA - CURRENT TAXES) / (INTEREST EXPENSE + DEBT AMT + FISCAL DEBT AMT)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2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EXISTING AMOUNT</t>
        </r>
      </text>
    </comment>
    <comment ref="F137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FEE + IOF ESTIMADO</t>
        </r>
      </text>
    </comment>
    <comment ref="D143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EXISTING AMOUNT</t>
        </r>
      </text>
    </comment>
    <comment ref="D159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EXISTING AMOUNT</t>
        </r>
      </text>
    </comment>
    <comment ref="D175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EXISTING AMOUNT</t>
        </r>
      </text>
    </comment>
    <comment ref="D19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EXISTING AMOUNT</t>
        </r>
      </text>
    </comment>
    <comment ref="D209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EXISTING AMOUNT</t>
        </r>
      </text>
    </comment>
    <comment ref="D227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EXISTING AMOUNT</t>
        </r>
      </text>
    </comment>
    <comment ref="D245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EXISTING AMOUNT</t>
        </r>
      </text>
    </comment>
    <comment ref="D263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EXISTING AMOUNT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T620640</author>
  </authors>
  <commentList>
    <comment ref="H54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I54" authorId="0" shapeId="0" xr:uid="{00000000-0006-0000-0B00-000002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J54" authorId="0" shapeId="0" xr:uid="{00000000-0006-0000-0B00-000003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K54" authorId="0" shapeId="0" xr:uid="{00000000-0006-0000-0B00-000004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L54" authorId="0" shapeId="0" xr:uid="{00000000-0006-0000-0B00-000005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M54" authorId="0" shapeId="0" xr:uid="{00000000-0006-0000-0B00-000006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N54" authorId="0" shapeId="0" xr:uid="{00000000-0006-0000-0B00-000007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O54" authorId="0" shapeId="0" xr:uid="{00000000-0006-0000-0B00-000008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P54" authorId="0" shapeId="0" xr:uid="{00000000-0006-0000-0B00-000009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Q54" authorId="0" shapeId="0" xr:uid="{00000000-0006-0000-0B00-00000A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R54" authorId="0" shapeId="0" xr:uid="{00000000-0006-0000-0B00-00000B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S54" authorId="0" shapeId="0" xr:uid="{00000000-0006-0000-0B00-00000C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T54" authorId="0" shapeId="0" xr:uid="{00000000-0006-0000-0B00-00000D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U54" authorId="0" shapeId="0" xr:uid="{00000000-0006-0000-0B00-00000E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V54" authorId="0" shapeId="0" xr:uid="{00000000-0006-0000-0B00-00000F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W54" authorId="0" shapeId="0" xr:uid="{00000000-0006-0000-0B00-000010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X54" authorId="0" shapeId="0" xr:uid="{00000000-0006-0000-0B00-000011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Y54" authorId="0" shapeId="0" xr:uid="{00000000-0006-0000-0B00-000012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Z54" authorId="0" shapeId="0" xr:uid="{00000000-0006-0000-0B00-000013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AA54" authorId="0" shapeId="0" xr:uid="{00000000-0006-0000-0B00-000014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  <comment ref="AB54" authorId="0" shapeId="0" xr:uid="{00000000-0006-0000-0B00-000015000000}">
      <text>
        <r>
          <rPr>
            <b/>
            <sz val="8"/>
            <color indexed="81"/>
            <rFont val="Tahoma"/>
            <family val="2"/>
          </rPr>
          <t>T620640:</t>
        </r>
        <r>
          <rPr>
            <sz val="8"/>
            <color indexed="81"/>
            <rFont val="Tahoma"/>
            <family val="2"/>
          </rPr>
          <t xml:space="preserve">
Verificando possibilidade de redução nos níveis de dividendo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Luiza Rodrigues</author>
    <author>Santander</author>
    <author>BSB</author>
    <author>t657365</author>
    <author>Luiza Betina</author>
  </authors>
  <commentList>
    <comment ref="P9" authorId="0" shapeId="0" xr:uid="{00000000-0006-0000-0C00-000001000000}">
      <text>
        <r>
          <rPr>
            <b/>
            <sz val="8"/>
            <color indexed="81"/>
            <rFont val="Tahoma"/>
            <family val="2"/>
          </rPr>
          <t>Santander</t>
        </r>
        <r>
          <rPr>
            <sz val="8"/>
            <color indexed="81"/>
            <rFont val="Tahoma"/>
            <family val="2"/>
          </rPr>
          <t>:
Revisão final divulgada pelo IBGE em 05 de novembro de 2010.</t>
        </r>
      </text>
    </comment>
    <comment ref="A19" authorId="1" shapeId="0" xr:uid="{00000000-0006-0000-0C00-000002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Série 1211 do Banco Central</t>
        </r>
      </text>
    </comment>
    <comment ref="A21" authorId="1" shapeId="0" xr:uid="{00000000-0006-0000-0C00-000003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Série 1207 do PIB</t>
        </r>
      </text>
    </comment>
    <comment ref="P21" authorId="0" shapeId="0" xr:uid="{00000000-0006-0000-0C00-000004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Revisão final divulgada pelo IBGE em 05 de novembro de 2010.</t>
        </r>
      </text>
    </comment>
    <comment ref="A22" authorId="1" shapeId="0" xr:uid="{00000000-0006-0000-0C00-000005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Série 7324 do Banco Central</t>
        </r>
      </text>
    </comment>
    <comment ref="D23" authorId="2" shapeId="0" xr:uid="{00000000-0006-0000-0C00-000006000000}">
      <text>
        <r>
          <rPr>
            <b/>
            <sz val="8"/>
            <color indexed="81"/>
            <rFont val="Tahoma"/>
            <family val="2"/>
          </rPr>
          <t>BSB:</t>
        </r>
        <r>
          <rPr>
            <sz val="8"/>
            <color indexed="81"/>
            <rFont val="Tahoma"/>
            <family val="2"/>
          </rPr>
          <t xml:space="preserve">
contagem da população 1996</t>
        </r>
      </text>
    </comment>
    <comment ref="A24" authorId="1" shapeId="0" xr:uid="{00000000-0006-0000-0C00-000007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Observação: o PIB per capita divulgado pelo IBGE ainda considera a contagem da população de 2004. Os valores aqui divulgados consideram a contagem de população feita em 2007, que revelou que a população era menor que a estimada pela contagem de 2004.</t>
        </r>
      </text>
    </comment>
    <comment ref="K25" authorId="3" shapeId="0" xr:uid="{00000000-0006-0000-0C00-000008000000}">
      <text>
        <r>
          <rPr>
            <sz val="8"/>
            <color indexed="81"/>
            <rFont val="Tahoma"/>
            <family val="2"/>
          </rPr>
          <t>Observação: o PIB per capita divulgado pelo IBGE ainda considera a contagem da população de 2004. Os valores aqui divulgados consideram a contagem de população feita em 2007, que revelou que a população era menor que a estimada pela contagem de 2004.</t>
        </r>
      </text>
    </comment>
    <comment ref="A27" authorId="2" shapeId="0" xr:uid="{00000000-0006-0000-0C00-000009000000}">
      <text>
        <r>
          <rPr>
            <b/>
            <sz val="8"/>
            <color indexed="81"/>
            <rFont val="Tahoma"/>
            <family val="2"/>
          </rPr>
          <t>Luiza Betina:</t>
        </r>
        <r>
          <rPr>
            <sz val="8"/>
            <color indexed="81"/>
            <rFont val="Tahoma"/>
            <family val="2"/>
          </rPr>
          <t xml:space="preserve">
Não é PIB Industrial (que não inclui produção de bens intermediários); é produção industrial em geral, medida pela PIM do IGE</t>
        </r>
      </text>
    </comment>
    <comment ref="A28" authorId="2" shapeId="0" xr:uid="{00000000-0006-0000-0C00-00000A000000}">
      <text>
        <r>
          <rPr>
            <b/>
            <sz val="8"/>
            <color indexed="81"/>
            <rFont val="Tahoma"/>
            <family val="2"/>
          </rPr>
          <t>BSB:</t>
        </r>
        <r>
          <rPr>
            <sz val="8"/>
            <color indexed="81"/>
            <rFont val="Tahoma"/>
            <family val="2"/>
          </rPr>
          <t xml:space="preserve">
Comércio varejista não ampliado.
Fonte: PMC (IBGE)</t>
        </r>
      </text>
    </comment>
    <comment ref="A29" authorId="2" shapeId="0" xr:uid="{00000000-0006-0000-0C00-00000B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Carteira de crédito do Sistema Financeiro Nacional, saldo no fim do ano. Inclui crédito livre e direcionado a pessoas físicas e jurídicas (inclusive setor público)
valores em termos nominais, saldo em dezembro do respectivo ano
Fonte: Banco Central do Brasil</t>
        </r>
      </text>
    </comment>
    <comment ref="A34" authorId="2" shapeId="0" xr:uid="{00000000-0006-0000-0C00-00000C000000}">
      <text>
        <r>
          <rPr>
            <sz val="8"/>
            <color indexed="81"/>
            <rFont val="Tahoma"/>
            <family val="2"/>
          </rPr>
          <t xml:space="preserve">Crescimento do número de pessoas ocupadas 
(Só são consideradas pessoas de 10 ou mais anos de idade)
Fontes: PNAD 1995, 1996, 1997, 1998, 1999, 2001, 2002, 2003, 2004, 2005, 2006 e PME. 
O número de 2000 foi estimado pelo Santander.
</t>
        </r>
      </text>
    </comment>
    <comment ref="A35" authorId="2" shapeId="0" xr:uid="{00000000-0006-0000-0C00-00000D000000}">
      <text>
        <r>
          <rPr>
            <b/>
            <sz val="8"/>
            <color indexed="81"/>
            <rFont val="Tahoma"/>
            <family val="2"/>
          </rPr>
          <t>BSB:</t>
        </r>
        <r>
          <rPr>
            <sz val="8"/>
            <color indexed="81"/>
            <rFont val="Tahoma"/>
            <family val="2"/>
          </rPr>
          <t xml:space="preserve">
Rendimento médio real do trabalho principal, efetivamente recebido no mês de referência, pelas pessoas de 10 anos ou mais de idade, ocupadas na semana de referência
Fonte: IBGE</t>
        </r>
      </text>
    </comment>
    <comment ref="A36" authorId="2" shapeId="0" xr:uid="{00000000-0006-0000-0C00-00000E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De acordo com o IBGE.</t>
        </r>
      </text>
    </comment>
    <comment ref="A37" authorId="2" shapeId="0" xr:uid="{00000000-0006-0000-0C00-00000F000000}">
      <text>
        <r>
          <rPr>
            <b/>
            <sz val="8"/>
            <color indexed="81"/>
            <rFont val="Tahoma"/>
            <family val="2"/>
          </rPr>
          <t>BSB:</t>
        </r>
        <r>
          <rPr>
            <sz val="8"/>
            <color indexed="81"/>
            <rFont val="Tahoma"/>
            <family val="2"/>
          </rPr>
          <t xml:space="preserve">
A Massa Salarial Real é composta pela População Ocupada e Rendimento Médio Real Efetivamente Recebido.
Fonte: IBGE</t>
        </r>
      </text>
    </comment>
    <comment ref="A53" authorId="1" shapeId="0" xr:uid="{00000000-0006-0000-0C00-000010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acumulado no ano</t>
        </r>
      </text>
    </comment>
    <comment ref="A54" authorId="1" shapeId="0" xr:uid="{00000000-0006-0000-0C00-000011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efetivo anualizado</t>
        </r>
      </text>
    </comment>
    <comment ref="A59" authorId="2" shapeId="0" xr:uid="{00000000-0006-0000-0C00-000012000000}">
      <text>
        <r>
          <rPr>
            <b/>
            <sz val="8"/>
            <color indexed="81"/>
            <rFont val="Tahoma"/>
            <family val="2"/>
          </rPr>
          <t>BSB:</t>
        </r>
        <r>
          <rPr>
            <sz val="8"/>
            <color indexed="81"/>
            <rFont val="Tahoma"/>
            <family val="2"/>
          </rPr>
          <t xml:space="preserve">
acumulado no ano</t>
        </r>
      </text>
    </comment>
    <comment ref="A60" authorId="2" shapeId="0" xr:uid="{00000000-0006-0000-0C00-000013000000}">
      <text>
        <r>
          <rPr>
            <b/>
            <sz val="8"/>
            <color indexed="81"/>
            <rFont val="Tahoma"/>
            <family val="2"/>
          </rPr>
          <t>BSB:</t>
        </r>
        <r>
          <rPr>
            <sz val="8"/>
            <color indexed="81"/>
            <rFont val="Tahoma"/>
            <family val="2"/>
          </rPr>
          <t xml:space="preserve">
Média do ano</t>
        </r>
      </text>
    </comment>
    <comment ref="A83" authorId="1" shapeId="0" xr:uid="{00000000-0006-0000-0C00-000014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Bloomberg ticker: cpi indx Index</t>
        </r>
      </text>
    </comment>
    <comment ref="A84" authorId="1" shapeId="0" xr:uid="{00000000-0006-0000-0C00-000015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Bloomberg ticker: cpupaxfe Index</t>
        </r>
      </text>
    </comment>
    <comment ref="A91" authorId="4" shapeId="0" xr:uid="{00000000-0006-0000-0C00-000016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Bloomberg ticker: EURR002W index</t>
        </r>
      </text>
    </comment>
    <comment ref="A99" authorId="2" shapeId="0" xr:uid="{00000000-0006-0000-0C00-000017000000}">
      <text>
        <r>
          <rPr>
            <b/>
            <sz val="8"/>
            <color indexed="81"/>
            <rFont val="Tahoma"/>
            <family val="2"/>
          </rPr>
          <t>BSB:</t>
        </r>
        <r>
          <rPr>
            <sz val="8"/>
            <color indexed="81"/>
            <rFont val="Tahoma"/>
            <family val="2"/>
          </rPr>
          <t xml:space="preserve">
Índice Bovespa Nominal - Mensal (fechamento)</t>
        </r>
      </text>
    </comment>
    <comment ref="A100" authorId="1" shapeId="0" xr:uid="{00000000-0006-0000-0C00-000018000000}">
      <text>
        <r>
          <rPr>
            <b/>
            <sz val="8"/>
            <color indexed="81"/>
            <rFont val="Tahoma"/>
            <family val="2"/>
          </rPr>
          <t>Santander:</t>
        </r>
        <r>
          <rPr>
            <sz val="8"/>
            <color indexed="81"/>
            <rFont val="Tahoma"/>
            <family val="2"/>
          </rPr>
          <t xml:space="preserve">
Projeção para o preço médio do ano do petróleo Brent
Ticker na Bloomberg: EUCRBRDT Comdty</t>
        </r>
      </text>
    </comment>
  </commentList>
</comments>
</file>

<file path=xl/sharedStrings.xml><?xml version="1.0" encoding="utf-8"?>
<sst xmlns="http://schemas.openxmlformats.org/spreadsheetml/2006/main" count="1188" uniqueCount="502">
  <si>
    <t>TJLP</t>
  </si>
  <si>
    <t>IGP-M</t>
  </si>
  <si>
    <t>Curve</t>
  </si>
  <si>
    <t>REVENUES</t>
  </si>
  <si>
    <t>SG&amp;A</t>
  </si>
  <si>
    <t>COGS</t>
  </si>
  <si>
    <t>FIXED ASSETS &amp; CAPEX</t>
  </si>
  <si>
    <t>WORKING CAPITAL</t>
  </si>
  <si>
    <t>BALANCE SHEET</t>
  </si>
  <si>
    <t>INCOME STATEMENT</t>
  </si>
  <si>
    <t>CASH FLOW</t>
  </si>
  <si>
    <t>Item 1</t>
  </si>
  <si>
    <t>Item 2</t>
  </si>
  <si>
    <t>Item 3</t>
  </si>
  <si>
    <t>Item 4</t>
  </si>
  <si>
    <t>Item 5</t>
  </si>
  <si>
    <t>Deductions</t>
  </si>
  <si>
    <t>(-)</t>
  </si>
  <si>
    <t>=</t>
  </si>
  <si>
    <t>+</t>
  </si>
  <si>
    <t>GROSS PROFIT</t>
  </si>
  <si>
    <t>NET REVENUES</t>
  </si>
  <si>
    <t>GROSS REVENUES</t>
  </si>
  <si>
    <t>EBITDA</t>
  </si>
  <si>
    <t>Depreciation and Amortization</t>
  </si>
  <si>
    <t>Financial Expenses</t>
  </si>
  <si>
    <t>Financial Income</t>
  </si>
  <si>
    <t>Financial Result</t>
  </si>
  <si>
    <t>EBIT</t>
  </si>
  <si>
    <t>EBT</t>
  </si>
  <si>
    <t>Goodwill Amortization</t>
  </si>
  <si>
    <t>Non-Operating Result</t>
  </si>
  <si>
    <t>Non-Operating Income</t>
  </si>
  <si>
    <t>Non-Operating Expense</t>
  </si>
  <si>
    <t xml:space="preserve">Income tax </t>
  </si>
  <si>
    <t>NET PROFIT</t>
  </si>
  <si>
    <t>Current Assets</t>
  </si>
  <si>
    <t>Short Term Investments</t>
  </si>
  <si>
    <t>Long-Term Assets</t>
  </si>
  <si>
    <t>Permanent</t>
  </si>
  <si>
    <t>Investments</t>
  </si>
  <si>
    <t>LIABILITIES &amp; EQUITY</t>
  </si>
  <si>
    <t>Current Liabilities</t>
  </si>
  <si>
    <t>Dividends Payable</t>
  </si>
  <si>
    <t>Long-Term Liabilities</t>
  </si>
  <si>
    <t>Long Term Debt</t>
  </si>
  <si>
    <t>Minority Interest</t>
  </si>
  <si>
    <t>Other Long-Term Liabilities</t>
  </si>
  <si>
    <t>Antecipated Results</t>
  </si>
  <si>
    <t>Shareholder's Equity</t>
  </si>
  <si>
    <t>Capital</t>
  </si>
  <si>
    <t>Retained earnings</t>
  </si>
  <si>
    <t>Reserves</t>
  </si>
  <si>
    <t>Mismatch</t>
  </si>
  <si>
    <t>Depreciation</t>
  </si>
  <si>
    <t>Changes in Working Capital</t>
  </si>
  <si>
    <t>Sale of Fixed Assets</t>
  </si>
  <si>
    <t>Net Income</t>
  </si>
  <si>
    <t>Amort. of Acquisition Goodwill</t>
  </si>
  <si>
    <t>CAPEX</t>
  </si>
  <si>
    <t>Cash &amp; Short Term Inv.</t>
  </si>
  <si>
    <t>Changes in Long Term Assets</t>
  </si>
  <si>
    <t>Extraordinary Items</t>
  </si>
  <si>
    <t>Non-Cash Operating Items</t>
  </si>
  <si>
    <t>FREE CASH FLOW</t>
  </si>
  <si>
    <t>Cash Dividends Paid</t>
  </si>
  <si>
    <t>Debt Reduction</t>
  </si>
  <si>
    <t>NET CHANGE IN CASH</t>
  </si>
  <si>
    <t>Equity Income &amp; Others</t>
  </si>
  <si>
    <t>Debt Issuance</t>
  </si>
  <si>
    <t>R$ thousand</t>
  </si>
  <si>
    <t>PP&amp;E</t>
  </si>
  <si>
    <t>Total Dep. Expense</t>
  </si>
  <si>
    <t>Benchmark</t>
  </si>
  <si>
    <t>Flat Fee</t>
  </si>
  <si>
    <t>Effective FRA</t>
  </si>
  <si>
    <t>Effective Margin</t>
  </si>
  <si>
    <t>Amortization</t>
  </si>
  <si>
    <t>Initial Balance</t>
  </si>
  <si>
    <t>Amortization (%)</t>
  </si>
  <si>
    <t>Final Balance</t>
  </si>
  <si>
    <t>ASSETS</t>
  </si>
  <si>
    <t>Goodwill Amortiz. (%)</t>
  </si>
  <si>
    <t>Goodwill Initial Balance</t>
  </si>
  <si>
    <t>Goodwill Final Balance</t>
  </si>
  <si>
    <t>Income Tax Rate</t>
  </si>
  <si>
    <t>Current Taxes</t>
  </si>
  <si>
    <t>Effectice Tax Rate</t>
  </si>
  <si>
    <t>DIVIDENDS</t>
  </si>
  <si>
    <t>Net Profit</t>
  </si>
  <si>
    <t>Retained Earnings</t>
  </si>
  <si>
    <t>Required Cash</t>
  </si>
  <si>
    <t>De-Leverage</t>
  </si>
  <si>
    <t>ADDITIONAL LEVERAGE</t>
  </si>
  <si>
    <t>Change</t>
  </si>
  <si>
    <t>Pre Curve</t>
  </si>
  <si>
    <t>CASH FLOW FROM OPERATIONS</t>
  </si>
  <si>
    <t>CASH FLOW FROM INVESTING</t>
  </si>
  <si>
    <t>CASH FLOW FROM FINANCING</t>
  </si>
  <si>
    <t>TAXES ON EBT</t>
  </si>
  <si>
    <t>ST INVESTMENTS &amp; DEBT</t>
  </si>
  <si>
    <t>Amortization - R$</t>
  </si>
  <si>
    <t>Final Balance - R$</t>
  </si>
  <si>
    <t>Flat Fee - R$</t>
  </si>
  <si>
    <t>Initial Balance - R$</t>
  </si>
  <si>
    <t>FX Change</t>
  </si>
  <si>
    <t>FX Loss / (Gain) - non-cash</t>
  </si>
  <si>
    <t>FX Gain / (Loss)</t>
  </si>
  <si>
    <t>SUMMARY</t>
  </si>
  <si>
    <t>Total Financial Income</t>
  </si>
  <si>
    <t>End of the Period Additional Leverage</t>
  </si>
  <si>
    <t>End of the Period ST Investments</t>
  </si>
  <si>
    <t>End of the Period ST Debt</t>
  </si>
  <si>
    <t>End of the Period LT Debt</t>
  </si>
  <si>
    <t>GOODWILL AMORTIZATION</t>
  </si>
  <si>
    <t>GOODWILL, TAXES &amp; DIVIDENDS</t>
  </si>
  <si>
    <t>% Growth</t>
  </si>
  <si>
    <t>n.a.</t>
  </si>
  <si>
    <t>EBITDA Margin</t>
  </si>
  <si>
    <t>Gross Revenues</t>
  </si>
  <si>
    <t>Others</t>
  </si>
  <si>
    <t>Revolving Leverage</t>
  </si>
  <si>
    <t>Deferred Taxes</t>
  </si>
  <si>
    <t>Scenario</t>
  </si>
  <si>
    <t>R$ million - nominal</t>
  </si>
  <si>
    <t>Net Revenues</t>
  </si>
  <si>
    <t>Capex</t>
  </si>
  <si>
    <t>Gross Profit</t>
  </si>
  <si>
    <t>Gross Profit Margin (%)</t>
  </si>
  <si>
    <t>EBITDA Margin (%)</t>
  </si>
  <si>
    <t>Other Expenses</t>
  </si>
  <si>
    <t>EBIT Margin (%)</t>
  </si>
  <si>
    <t>Net Profit Margin (%)</t>
  </si>
  <si>
    <t>DEBT &amp; RATIOS</t>
  </si>
  <si>
    <t>Initial Amount</t>
  </si>
  <si>
    <t>(+) Debt Increase</t>
  </si>
  <si>
    <t>(-) Debt Amortization</t>
  </si>
  <si>
    <t>Final Amount</t>
  </si>
  <si>
    <t>RATIOS</t>
  </si>
  <si>
    <t>SCENARIO</t>
  </si>
  <si>
    <t>DEFERRED TAX ASSETS</t>
  </si>
  <si>
    <t>Deferred Taxes Initial Balance</t>
  </si>
  <si>
    <t>Def. Taxes Asset Amortiz. (%)</t>
  </si>
  <si>
    <t>Def. Tax Assets Amortization</t>
  </si>
  <si>
    <t>Deferred Taxes Final Balance</t>
  </si>
  <si>
    <t>Total Financial Debt</t>
  </si>
  <si>
    <t>Net Financial Debt</t>
  </si>
  <si>
    <r>
      <t>DSCR</t>
    </r>
    <r>
      <rPr>
        <b/>
        <i/>
        <sz val="6"/>
        <rFont val="Arial"/>
        <family val="2"/>
      </rPr>
      <t>1</t>
    </r>
  </si>
  <si>
    <r>
      <t>DSCR</t>
    </r>
    <r>
      <rPr>
        <b/>
        <i/>
        <sz val="6"/>
        <rFont val="Arial"/>
        <family val="2"/>
      </rPr>
      <t>2</t>
    </r>
  </si>
  <si>
    <r>
      <t>DSCR</t>
    </r>
    <r>
      <rPr>
        <b/>
        <i/>
        <sz val="6"/>
        <rFont val="Arial"/>
        <family val="2"/>
      </rPr>
      <t>3</t>
    </r>
  </si>
  <si>
    <t>Dividends Received</t>
  </si>
  <si>
    <t>Net Debt</t>
  </si>
  <si>
    <r>
      <t>DSCR</t>
    </r>
    <r>
      <rPr>
        <b/>
        <sz val="6"/>
        <rFont val="Arial"/>
        <family val="2"/>
      </rPr>
      <t>3</t>
    </r>
  </si>
  <si>
    <t xml:space="preserve">Other Non-Op. Cur. Assets </t>
  </si>
  <si>
    <t>Acquisition Goodwill</t>
  </si>
  <si>
    <t>Other Non-Op. Cur. Liabilities</t>
  </si>
  <si>
    <t>SHORT TERM INVESTMENTS - BRL</t>
  </si>
  <si>
    <t>ADDITIONAL LEVERAGE - BRL</t>
  </si>
  <si>
    <t>DEBT #1 - BRL</t>
  </si>
  <si>
    <t>DEBT #2 - BRL</t>
  </si>
  <si>
    <t>DEBT #3 - BRL</t>
  </si>
  <si>
    <t>DEBT #4 - BRL</t>
  </si>
  <si>
    <t>FOREIGN CURRENCY DEBT #1 - USD</t>
  </si>
  <si>
    <t>FOREIGN CURRENCY DEBT #2 - USD</t>
  </si>
  <si>
    <t>FOREIGN CURRENCY DEBT #3 - USD</t>
  </si>
  <si>
    <t>FOREIGN CURRENCY DEBT #4 - USD</t>
  </si>
  <si>
    <t>FOREIGN CURRENCY DEBT #5 - EUR</t>
  </si>
  <si>
    <t>FX Loss / (Gain) - cash</t>
  </si>
  <si>
    <t>Total Interest Expenses</t>
  </si>
  <si>
    <t>Total FX Cash Expense</t>
  </si>
  <si>
    <t>Total FX Non-Cash Expense</t>
  </si>
  <si>
    <t>Total FX Expense</t>
  </si>
  <si>
    <t>BALANCE SHEET ACCOUNTS</t>
  </si>
  <si>
    <t>INCOME STATEMENT ACCOUNTS</t>
  </si>
  <si>
    <t>CASH FLOW ACCOUNTS</t>
  </si>
  <si>
    <t>FX (Gain) / Loss</t>
  </si>
  <si>
    <t>End of the Period BRL / USD</t>
  </si>
  <si>
    <t>End of the Period BRL / EUR</t>
  </si>
  <si>
    <t>END OF THE PERIOD FX</t>
  </si>
  <si>
    <t>% Amt Issuance #0</t>
  </si>
  <si>
    <t>% Amt Issuance #1</t>
  </si>
  <si>
    <t>% Amt Issuance #2</t>
  </si>
  <si>
    <t>% Amt Issuance #3</t>
  </si>
  <si>
    <t>% Amt Issuance #4</t>
  </si>
  <si>
    <t>% Amt Issuance #5</t>
  </si>
  <si>
    <t>% Amt Issuance #6</t>
  </si>
  <si>
    <t>% Amt Issuance #7</t>
  </si>
  <si>
    <t>% Amt Issuance #8</t>
  </si>
  <si>
    <t>% Amt Issuance #9</t>
  </si>
  <si>
    <t>% Amt Issuance #10</t>
  </si>
  <si>
    <t>% Amt Issuance #11</t>
  </si>
  <si>
    <t>% Amt Issuance #12</t>
  </si>
  <si>
    <t>% Amt Issuance #13</t>
  </si>
  <si>
    <t>% Amt Issuance #14</t>
  </si>
  <si>
    <t>% Amt Issuance #15</t>
  </si>
  <si>
    <t>% Amt Issuance #16</t>
  </si>
  <si>
    <t>% Amt Issuance #17</t>
  </si>
  <si>
    <t>% Amt Issuance #18</t>
  </si>
  <si>
    <t>% Amt Issuance #19</t>
  </si>
  <si>
    <t>% Amt Issuance #20</t>
  </si>
  <si>
    <t>% Amt Issuance #21</t>
  </si>
  <si>
    <t>% Amt Issuance #22</t>
  </si>
  <si>
    <t>% Amt Issuance #23</t>
  </si>
  <si>
    <t>% Amt Issuance #24</t>
  </si>
  <si>
    <t>% Amt Issuance #25</t>
  </si>
  <si>
    <t>% Amt Issuance #26</t>
  </si>
  <si>
    <t>% Amt Issuance #27</t>
  </si>
  <si>
    <t>% Amt Issuance #28</t>
  </si>
  <si>
    <t>% Amt Issuance #29</t>
  </si>
  <si>
    <t>% Amt Issuance #30</t>
  </si>
  <si>
    <t>% Amt Issuance #31</t>
  </si>
  <si>
    <t>% Amt Issuance #32</t>
  </si>
  <si>
    <t>% Amt Issuance #33</t>
  </si>
  <si>
    <t>% Amt Issuance #34</t>
  </si>
  <si>
    <t>% Amt Issuance #35</t>
  </si>
  <si>
    <t>% Amt Issuance #36</t>
  </si>
  <si>
    <t>% Amt Issuance #37</t>
  </si>
  <si>
    <t>% Amt Issuance #38</t>
  </si>
  <si>
    <t>% Amt Issuance #39</t>
  </si>
  <si>
    <t>% Amt Issuance #40</t>
  </si>
  <si>
    <t>% Amt Issuance #41</t>
  </si>
  <si>
    <t>% Amt Issuance #42</t>
  </si>
  <si>
    <t>DEBT ISSUANCE - BRL</t>
  </si>
  <si>
    <t>CAPEX FINANCING - BRL</t>
  </si>
  <si>
    <t>Financing</t>
  </si>
  <si>
    <t>% CapEx Financed</t>
  </si>
  <si>
    <t>CDI Curve</t>
  </si>
  <si>
    <t>TJLP Curve</t>
  </si>
  <si>
    <t>Net Profit from Operations</t>
  </si>
  <si>
    <t>Interest Expense</t>
  </si>
  <si>
    <t>Debt Amortization</t>
  </si>
  <si>
    <t>Interest &amp; Fee Expenses</t>
  </si>
  <si>
    <t>Interest &amp; Fee Expenses - R$</t>
  </si>
  <si>
    <t>AVERAGE TENOR - ASSETS</t>
  </si>
  <si>
    <t>AVERAGE TENOR - LIABILITIES</t>
  </si>
  <si>
    <t>Assets</t>
  </si>
  <si>
    <t>Liabilities</t>
  </si>
  <si>
    <t>CapEx</t>
  </si>
  <si>
    <t>Dividends Paid</t>
  </si>
  <si>
    <t>Dividends Payout</t>
  </si>
  <si>
    <t>% EBITDA Margin</t>
  </si>
  <si>
    <t>Issuance / (Retirement) of Equity</t>
  </si>
  <si>
    <t>(+) Debt Increase / (Decrease)</t>
  </si>
  <si>
    <t>Interest Expenses</t>
  </si>
  <si>
    <t>FX Loss / (Gain)</t>
  </si>
  <si>
    <t>Periodical Standard Amortization</t>
  </si>
  <si>
    <t>Net Debt / LTM EBITDA</t>
  </si>
  <si>
    <t>Beg. of the Period Cash</t>
  </si>
  <si>
    <t>END OF PERIOD CASH &amp; ST INV.</t>
  </si>
  <si>
    <r>
      <t>DSCR</t>
    </r>
    <r>
      <rPr>
        <b/>
        <sz val="6"/>
        <rFont val="Arial"/>
        <family val="2"/>
      </rPr>
      <t>1</t>
    </r>
  </si>
  <si>
    <r>
      <t>DSCR</t>
    </r>
    <r>
      <rPr>
        <b/>
        <sz val="6"/>
        <rFont val="Arial"/>
        <family val="2"/>
      </rPr>
      <t>2</t>
    </r>
  </si>
  <si>
    <t>Outros</t>
  </si>
  <si>
    <t>NEW CAPEX</t>
  </si>
  <si>
    <t>Deferred Tax</t>
  </si>
  <si>
    <t>Current Income Tax</t>
  </si>
  <si>
    <t>Current Portion of LT Debt</t>
  </si>
  <si>
    <t>Last Completed Period</t>
  </si>
  <si>
    <t>Capex Lev</t>
  </si>
  <si>
    <t>De-Leverage CapEx</t>
  </si>
  <si>
    <t>ADDITIONAL LEVERAGE Capex</t>
  </si>
  <si>
    <t>-</t>
  </si>
  <si>
    <t>nd</t>
  </si>
  <si>
    <t>R$/US$ - eop</t>
  </si>
  <si>
    <t>R$/US$ - média no ano</t>
  </si>
  <si>
    <t>Company</t>
  </si>
  <si>
    <t>Voltar</t>
  </si>
  <si>
    <t>Brasil - Variáveis Econômicas</t>
  </si>
  <si>
    <t>Projeções</t>
  </si>
  <si>
    <t>PIB</t>
  </si>
  <si>
    <t>Crescimento real (%)</t>
  </si>
  <si>
    <t>PIB Agropecuária (% a.a.)</t>
  </si>
  <si>
    <t>PIB Industrial (% a.a.)</t>
  </si>
  <si>
    <t>PIB Serviços (% a.a.)</t>
  </si>
  <si>
    <t>PIB Consumo das famílias</t>
  </si>
  <si>
    <t>PIB Consumo da Administração</t>
  </si>
  <si>
    <t>PIB Formação bruta de capital fixo</t>
  </si>
  <si>
    <t>PIB Exportação de bens e serviços</t>
  </si>
  <si>
    <t>PIB Importação de bens e serviços</t>
  </si>
  <si>
    <t>PIB (Índice 1998=100)</t>
  </si>
  <si>
    <t>Deflator implícito (%) 1</t>
  </si>
  <si>
    <t>Crescimento nominal (%)</t>
  </si>
  <si>
    <t>PIB em R$ bilhões</t>
  </si>
  <si>
    <t>PIB em US$ bilhões</t>
  </si>
  <si>
    <t>População (milhões de hab)</t>
  </si>
  <si>
    <t>PIB per capita anual (US$)</t>
  </si>
  <si>
    <t>Atividade</t>
  </si>
  <si>
    <t>Produção Industrial (% a/a)</t>
  </si>
  <si>
    <t>Comércio Varejista (% a/a)</t>
  </si>
  <si>
    <t>Carteira de crédito (bilhões de reais)</t>
  </si>
  <si>
    <t>Mercado de Trabalho</t>
  </si>
  <si>
    <t>Empregados Ativos (% YoY)</t>
  </si>
  <si>
    <t xml:space="preserve">Rendimento real da população ocupada (% YoY) </t>
  </si>
  <si>
    <t xml:space="preserve">Taxa Média de Desemprego. (% of PEA) </t>
  </si>
  <si>
    <t>Massa Salarial (real % YoY)</t>
  </si>
  <si>
    <t>Inflação (% a.a.)</t>
  </si>
  <si>
    <t>IPC-FIPE</t>
  </si>
  <si>
    <t>IPCA-IBGE</t>
  </si>
  <si>
    <t>Taxa de Câmbio</t>
  </si>
  <si>
    <t>R$/US$ - final de período</t>
  </si>
  <si>
    <t>Variação (% a.a.)</t>
  </si>
  <si>
    <t>R$/ € - final de período</t>
  </si>
  <si>
    <t>Taxa de Juros (% a.a.)</t>
  </si>
  <si>
    <t>Taxa SELIC meta em final de ano</t>
  </si>
  <si>
    <t>Selic (efetiva)</t>
  </si>
  <si>
    <t xml:space="preserve">Taxa de Juros Nominal - CDI (taxa efetiva) </t>
  </si>
  <si>
    <t>CDI (final de período)</t>
  </si>
  <si>
    <t>Taxa de Juros Real s/ Inflação - IPC-FIPE</t>
  </si>
  <si>
    <t>Taxa de Juros Real s/ Inflação - IPCA</t>
  </si>
  <si>
    <t>Taxa de Juros Real s/ Inflação - IGP-M</t>
  </si>
  <si>
    <t>Taxa de Juros sobre Câmbio</t>
  </si>
  <si>
    <t>TR</t>
  </si>
  <si>
    <t>Contas Externas</t>
  </si>
  <si>
    <t>Exportações (US$ bilhões)</t>
  </si>
  <si>
    <t>Exportações (% a.a.)</t>
  </si>
  <si>
    <t>Importações (US$ bilhões)</t>
  </si>
  <si>
    <t>Importações (% a.a.)</t>
  </si>
  <si>
    <t>Balança Comercial (US$ bilhões)</t>
  </si>
  <si>
    <t>Saldo da Conta de Serviços + T.U. (US$ bilhões)</t>
  </si>
  <si>
    <t>Balança em Conta Corrente (US$ bilhões)</t>
  </si>
  <si>
    <t>Balança em Conta Corrente (% do PIB)</t>
  </si>
  <si>
    <t>Amortizações de médio e longo prazos (US$ bilhões) 3/</t>
  </si>
  <si>
    <t>Necessidade de financiamento externo (US$ bilhões) 4</t>
  </si>
  <si>
    <t>Investimentos Diretos Estrangeiros (US$ bilhões)</t>
  </si>
  <si>
    <t>Reservas Internacionais - Liquidez (US$ bilhões)</t>
  </si>
  <si>
    <t xml:space="preserve">Contas Públicas </t>
  </si>
  <si>
    <t>Neces. Fin. Setor Público (% do PIB) - Primário</t>
  </si>
  <si>
    <t>Neces. Fin. Setor Público (% do PIB) - Nominal 5</t>
  </si>
  <si>
    <t>Dívida Líquida do Setor Público (% do PIB) 6</t>
  </si>
  <si>
    <t>Cenário Internacional</t>
  </si>
  <si>
    <t>Crescimento Real (%) EUA</t>
  </si>
  <si>
    <t>Inflação CPI (%) EUA</t>
  </si>
  <si>
    <t>Inflação CPI Core (%) EUA</t>
  </si>
  <si>
    <t>Taxa Fed Funds (%a.a.) EUA - Fim de período</t>
  </si>
  <si>
    <t>Libor 6 meses (média)</t>
  </si>
  <si>
    <t>Libor 12 meses (média)</t>
  </si>
  <si>
    <t>Crescimento Real (%) Zona Euro</t>
  </si>
  <si>
    <t>Inflação (%) Zona do Euro</t>
  </si>
  <si>
    <t>Taxa Básica de Juros (%a.a.) Zona do Euro - Fim de período</t>
  </si>
  <si>
    <t xml:space="preserve">USD/€ - final de perído </t>
  </si>
  <si>
    <t>PIB Mundial</t>
  </si>
  <si>
    <t>PIB Am. Latina</t>
  </si>
  <si>
    <t>Risco País (final de período)</t>
  </si>
  <si>
    <t>IBOVESPA</t>
  </si>
  <si>
    <t>Barril de petróleo em dólares</t>
  </si>
  <si>
    <t>1 Até 1999, dados oficiais do IBGE; de 2002 em diante, variação do IGP centrado</t>
  </si>
  <si>
    <t>2 A variação de Rendimento Médio Real de 2002 é referente ao resultado acumulado no ano até novembro. A partir desta data houve alteração da metodologia de cálculo da PME.</t>
  </si>
  <si>
    <t>3 Não inclui amortizações refinanciadas; valores elevados em 2005-2006 refletem o pagamento antecipado (e voluntário) de dívida externa (ex: FMI, recompra de Bradies, etc)</t>
  </si>
  <si>
    <t>4 Saldo em contas correntes + amortizações</t>
  </si>
  <si>
    <t>5 Metodologia do Banco Central - desconsidera impacto da desvalorização cambial sobre a dívida externa</t>
  </si>
  <si>
    <t>6 PIB valorizado ao final de período, segundo metodologia do Banco Central</t>
  </si>
  <si>
    <t>Stress Case</t>
  </si>
  <si>
    <t>DEVOLUÇÔES</t>
  </si>
  <si>
    <t>% Gross</t>
  </si>
  <si>
    <t>RECEITA LÍQUIDA</t>
  </si>
  <si>
    <t>CUSTOS</t>
  </si>
  <si>
    <t>Intangíveis</t>
  </si>
  <si>
    <t>Bank Short Term</t>
  </si>
  <si>
    <t>Centro distribuição</t>
  </si>
  <si>
    <t>Capex 7</t>
  </si>
  <si>
    <t>Capex 8</t>
  </si>
  <si>
    <t>Capex 9</t>
  </si>
  <si>
    <t>Capex 10</t>
  </si>
  <si>
    <t>Capex 11</t>
  </si>
  <si>
    <t>Tempo de depreciação (anos)</t>
  </si>
  <si>
    <t>DEPRECIAÇÂO CAPEX</t>
  </si>
  <si>
    <t>DEPRECIAÇÂO HISTÒRICA</t>
  </si>
  <si>
    <t>DEPRECIAÇÂO TOTAL</t>
  </si>
  <si>
    <t>%CDI</t>
  </si>
  <si>
    <t>CDI+</t>
  </si>
  <si>
    <t>FX</t>
  </si>
  <si>
    <t>Spot</t>
  </si>
  <si>
    <t>New Deferred Taxes</t>
  </si>
  <si>
    <t>Minimum Cash</t>
  </si>
  <si>
    <t>Base Case</t>
  </si>
  <si>
    <t>Revenues, COGS &amp; SG&amp;A</t>
  </si>
  <si>
    <t>Fixed Assets &amp; CAPEX</t>
  </si>
  <si>
    <t>Working Capital</t>
  </si>
  <si>
    <t>Check Scenario</t>
  </si>
  <si>
    <t>Client Case</t>
  </si>
  <si>
    <t>REVOLVE AMOUNT</t>
  </si>
  <si>
    <t>Principais Premissas</t>
  </si>
  <si>
    <t>Crescimento</t>
  </si>
  <si>
    <t>Margem Ebitda</t>
  </si>
  <si>
    <t>Investimento (Capex)</t>
  </si>
  <si>
    <t>Capital de giro</t>
  </si>
  <si>
    <t>Cenários</t>
  </si>
  <si>
    <t>Ebitda</t>
  </si>
  <si>
    <t>2*Ebitda</t>
  </si>
  <si>
    <t>Caixa</t>
  </si>
  <si>
    <t>Dívida total permitida</t>
  </si>
  <si>
    <t>Índice</t>
  </si>
  <si>
    <t>Cenário</t>
  </si>
  <si>
    <t>Total Debt permitido a 2x</t>
  </si>
  <si>
    <t>Corte Sugerido</t>
  </si>
  <si>
    <t>Assets Amortization</t>
  </si>
  <si>
    <t>Intangible Amortization</t>
  </si>
  <si>
    <t>LT Bank Debt</t>
  </si>
  <si>
    <t>Efeito Caixa?</t>
  </si>
  <si>
    <t>(+) Depreciação</t>
  </si>
  <si>
    <t>31/06/11</t>
  </si>
  <si>
    <t>ST Bank Debt</t>
  </si>
  <si>
    <t>Variação NCG</t>
  </si>
  <si>
    <t>HISTORICO</t>
  </si>
  <si>
    <t>Semelhanca  entre crescimento da empresa e o crescimento do PIB</t>
  </si>
  <si>
    <t>(Ganho de escala *0,99%)</t>
  </si>
  <si>
    <t>Quando identificado falta de caixa, excel capta CP</t>
  </si>
  <si>
    <t>Premissas</t>
  </si>
  <si>
    <t>Avaliação Patrimonial</t>
  </si>
  <si>
    <t>% por ano</t>
  </si>
  <si>
    <t>(EBITDA)/(Juros + Amortização)</t>
  </si>
  <si>
    <t>Provisão Previdenciaria</t>
  </si>
  <si>
    <t>DívidDívida Previdenciaria</t>
  </si>
  <si>
    <t>Net Debt / EBITDA (com revolving)</t>
  </si>
  <si>
    <t>Diferido</t>
  </si>
  <si>
    <t>Redução Partes Relacionadas</t>
  </si>
  <si>
    <t>Impostos</t>
  </si>
  <si>
    <t>Receita</t>
  </si>
  <si>
    <t>Prazo Amortização</t>
  </si>
  <si>
    <t>Ágio Gerado</t>
  </si>
  <si>
    <t>S</t>
  </si>
  <si>
    <t>(+) Amortização</t>
  </si>
  <si>
    <t>Diferidos</t>
  </si>
  <si>
    <t>Liquidez</t>
  </si>
  <si>
    <t>% Custos</t>
  </si>
  <si>
    <t>% SG&amp;A</t>
  </si>
  <si>
    <t>Prazo Médio</t>
  </si>
  <si>
    <t>IMPOSTOS</t>
  </si>
  <si>
    <t>Vendas Canceladas</t>
  </si>
  <si>
    <t>Impostos Diretos</t>
  </si>
  <si>
    <t>item 4</t>
  </si>
  <si>
    <t>item 5</t>
  </si>
  <si>
    <t>Projeções Financeiras</t>
  </si>
  <si>
    <t>Resultado não operacional</t>
  </si>
  <si>
    <t>Total Debt</t>
  </si>
  <si>
    <t>Total Debt / EBITDA (com revolving)</t>
  </si>
  <si>
    <t>Provisão</t>
  </si>
  <si>
    <t>Taxes</t>
  </si>
  <si>
    <t>Partes Relacionadas</t>
  </si>
  <si>
    <t>Amortization Bancos</t>
  </si>
  <si>
    <t>Reconhecimento de Perdas Futuras</t>
  </si>
  <si>
    <t>Pré</t>
  </si>
  <si>
    <t>Mix</t>
  </si>
  <si>
    <t>Ágio</t>
  </si>
  <si>
    <t>Participação no Resultado</t>
  </si>
  <si>
    <t>Terrenos</t>
  </si>
  <si>
    <t>Edificações</t>
  </si>
  <si>
    <t>Veículos</t>
  </si>
  <si>
    <t>Máquinas e Equipamentos</t>
  </si>
  <si>
    <t>Custo Variável</t>
  </si>
  <si>
    <t>Custo Fixo</t>
  </si>
  <si>
    <t>CDI</t>
  </si>
  <si>
    <t>crec</t>
  </si>
  <si>
    <t>Bens destinados a venda</t>
  </si>
  <si>
    <t>Empréstimos de coligadas</t>
  </si>
  <si>
    <t>Cliente Case</t>
  </si>
  <si>
    <t xml:space="preserve">CASH FLOW </t>
  </si>
  <si>
    <t>Impostos Diferidos</t>
  </si>
  <si>
    <t>Total</t>
  </si>
  <si>
    <t>Unimed Rio</t>
  </si>
  <si>
    <t>Receitas</t>
  </si>
  <si>
    <t>Contraprest. efetivas de plano de assist. à saúde</t>
  </si>
  <si>
    <t>Outras receitas oper. de assist. à saúde não relac. com planos de saúde da operadora</t>
  </si>
  <si>
    <t>Eventos conhecidos ou avisados</t>
  </si>
  <si>
    <t>Outras Recuperações/Ressarcimentos/Deduções de</t>
  </si>
  <si>
    <t>Variação da provisão de eventos ocorridos e não avisados</t>
  </si>
  <si>
    <t>Eventos indenizáveis líquidos</t>
  </si>
  <si>
    <t>Recuperação de eventos conhecidos ou avisados</t>
  </si>
  <si>
    <t>,</t>
  </si>
  <si>
    <t>Outras despesas oper. de assist. à saúde não relac. com planos de saúde da operadora</t>
  </si>
  <si>
    <t>Despesas de comercialização</t>
  </si>
  <si>
    <t>Despesas administrativas</t>
  </si>
  <si>
    <t>Outras receitas operacionais</t>
  </si>
  <si>
    <t>Outras despesas operacionais</t>
  </si>
  <si>
    <t>Provisão para perdas sobre créditos</t>
  </si>
  <si>
    <t>Provisão para contingências - operacional</t>
  </si>
  <si>
    <t>Outras</t>
  </si>
  <si>
    <t>Aplicações de liquidez imediata e valores em trânsito</t>
  </si>
  <si>
    <t>Créd. operações pl. de assist. à saúde</t>
  </si>
  <si>
    <t>Despesas de comercialização diferidas</t>
  </si>
  <si>
    <t>Títulos e créditos a receber</t>
  </si>
  <si>
    <t>Outros valores e bens</t>
  </si>
  <si>
    <t>Ativo Fiscal Diferido</t>
  </si>
  <si>
    <t>Valores e bens</t>
  </si>
  <si>
    <t>Conta-corrente com cooperados</t>
  </si>
  <si>
    <t>Investimentos</t>
  </si>
  <si>
    <t>Provisões técnicas de operações de assist. à saúde</t>
  </si>
  <si>
    <t>Débitos de operações de assit. à saúde</t>
  </si>
  <si>
    <t>Débitos de oper. assist. à saúde não rel. c/plano de saúde da op.</t>
  </si>
  <si>
    <t>Provisões</t>
  </si>
  <si>
    <t>Débitos com aquisição de carteira</t>
  </si>
  <si>
    <t>Débitos diversos</t>
  </si>
  <si>
    <t>Recebimento antecipado</t>
  </si>
  <si>
    <t>Débitos com Aquisição de Carteira</t>
  </si>
  <si>
    <t>Receitas Patrimoniais</t>
  </si>
  <si>
    <t>Despesas Patrimoniais</t>
  </si>
  <si>
    <t>Fundo de reserva e Fundo de assist. de educ. e social</t>
  </si>
  <si>
    <t>Tributos e contribuições a recolher - parcelamento</t>
  </si>
  <si>
    <t>Tributos e contribuições a recolher</t>
  </si>
  <si>
    <t>Tributos a Recolher - Parcelamento</t>
  </si>
  <si>
    <t>Reserva Técnica</t>
  </si>
  <si>
    <t>Amortizacao</t>
  </si>
  <si>
    <t>Covenant 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</si>
</sst>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6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_(* #,##0_);_(* \(#,##0\);_(* &quot;-&quot;_);_(@_)"/>
    <numFmt numFmtId="167" formatCode="_(* #,##0.00_);_(* \(#,##0.00\);_(* &quot;-&quot;??_);_(@_)"/>
    <numFmt numFmtId="168" formatCode="[$-416]dd\-mmm\-yy;@"/>
    <numFmt numFmtId="169" formatCode="0.0%"/>
    <numFmt numFmtId="170" formatCode="#,##0.0"/>
    <numFmt numFmtId="171" formatCode="0.0"/>
    <numFmt numFmtId="172" formatCode="0.00000000"/>
    <numFmt numFmtId="173" formatCode="_(* #,##0.00_);_(* \(#,##0.00\);_(* &quot;-&quot;_);_(@_)"/>
    <numFmt numFmtId="174" formatCode="_(* #,##0_);_(* \(#,##0\);_(* &quot;-&quot;??_);_(@_)"/>
    <numFmt numFmtId="175" formatCode="&quot;R$&quot;#,##0_);\(&quot;R$&quot;#,##0\)"/>
    <numFmt numFmtId="176" formatCode="&quot;R$&quot;#,##0_);[Red]\(&quot;R$&quot;#,##0\)"/>
    <numFmt numFmtId="177" formatCode="&quot;R$&quot;#,##0.00_);\(&quot;R$&quot;#,##0.00\)"/>
    <numFmt numFmtId="178" formatCode="_-&quot;$&quot;* #,##0_-;\-&quot;$&quot;* #,##0_-;_-&quot;$&quot;* &quot;-&quot;_-;_-@_-"/>
    <numFmt numFmtId="179" formatCode="_-&quot;$&quot;* #,##0.00_-;\-&quot;$&quot;* #,##0.00_-;_-&quot;$&quot;* &quot;-&quot;??_-;_-@_-"/>
    <numFmt numFmtId="180" formatCode="#,##0.00\ &quot;Pts&quot;;\-#,##0.00\ &quot;Pts&quot;"/>
    <numFmt numFmtId="181" formatCode="_-* #,##0\ &quot;Pts&quot;_-;\-* #,##0\ &quot;Pts&quot;_-;_-* &quot;-&quot;\ &quot;Pts&quot;_-;_-@_-"/>
    <numFmt numFmtId="182" formatCode="0.0000000%"/>
    <numFmt numFmtId="183" formatCode="#,##0.000_);[Red]\(#,##0.000\)"/>
    <numFmt numFmtId="184" formatCode="0.0&quot;x&quot;;@_)"/>
    <numFmt numFmtId="185" formatCode="#,##0.0_);\(#,##0.0\)"/>
    <numFmt numFmtId="186" formatCode="#,##0;[Red]&quot;-&quot;#,##0"/>
    <numFmt numFmtId="187" formatCode="\$#,##0.00\ ;\(\$#,##0.00\)"/>
    <numFmt numFmtId="188" formatCode="\$#,##0\ ;\(\$#,##0\)"/>
    <numFmt numFmtId="189" formatCode="_-* #,##0.00\ [$€]_-;\-* #,##0.00\ [$€]_-;_-* &quot;-&quot;??\ [$€]_-;_-@_-"/>
    <numFmt numFmtId="190" formatCode="_ * #,##0_ ;_ * \-#,##0_ ;_ * &quot;-&quot;_ ;_ @_ "/>
    <numFmt numFmtId="191" formatCode="0.00_)"/>
    <numFmt numFmtId="192" formatCode="General_)"/>
    <numFmt numFmtId="193" formatCode="#,###"/>
    <numFmt numFmtId="194" formatCode="0.000000000"/>
    <numFmt numFmtId="195" formatCode="#,##0_%_);\(#,##0\)_%;#,##0_%_);@_%_)"/>
    <numFmt numFmtId="196" formatCode="#,##0.00_%_);\(#,##0.00\)_%;#,##0.00_%_);@_%_)"/>
    <numFmt numFmtId="197" formatCode="&quot;$&quot;#,##0.00_%_);\(&quot;$&quot;#,##0.00\)_%;&quot;$&quot;#,##0.00_%_);@_%_)"/>
    <numFmt numFmtId="198" formatCode="0_%_);\(0\)_%;0_%_);@_%_)"/>
    <numFmt numFmtId="199" formatCode="0.0\x_)_);&quot;NM&quot;_x_)_);0.0\x_)_);@_%_)"/>
    <numFmt numFmtId="200" formatCode="m/d/yy_%_)"/>
    <numFmt numFmtId="201" formatCode="0.0\%_);\(0.0\%\);0.0\%_);@_%_)"/>
    <numFmt numFmtId="202" formatCode="&quot;$&quot;#,##0_%_);\(&quot;$&quot;#,##0\)_%;&quot;$&quot;#,##0_%_);@_%_)"/>
    <numFmt numFmtId="203" formatCode="\£\ #,##0_);[Red]\(\£\ #,##0\)"/>
    <numFmt numFmtId="204" formatCode="\¥\ #,##0_);[Red]\(\¥\ #,##0\)"/>
    <numFmt numFmtId="205" formatCode="\•\ \ @"/>
    <numFmt numFmtId="206" formatCode="\ \ _•\–\ \ \ \ @"/>
    <numFmt numFmtId="207" formatCode="_ &quot;S/&quot;* #,##0_ ;_ &quot;S/&quot;* \-#,##0_ ;_ &quot;S/&quot;* &quot;-&quot;_ ;_ @_ "/>
    <numFmt numFmtId="208" formatCode="_ &quot;S/&quot;* #,##0.00_ ;_ &quot;S/&quot;* \-#,##0.00_ ;_ &quot;S/&quot;* &quot;-&quot;??_ ;_ @_ "/>
    <numFmt numFmtId="209" formatCode="_ * #,##0.00_ ;_ * \-#,##0.00_ ;_ * &quot;-&quot;??_ ;_ @_ "/>
    <numFmt numFmtId="210" formatCode="_(* #,##0.0_);_(* \(#,##0.0\);_(* &quot;-&quot;?_);_(@_)"/>
    <numFmt numFmtId="211" formatCode="_(* #,##0_);_(* \(#,##0\);_(* &quot;-&quot;?_);_(@_)"/>
    <numFmt numFmtId="212" formatCode="_(* #,##0.0_);_(* \(#,##0.0\);_(* &quot;-&quot;??_);_(@_)"/>
    <numFmt numFmtId="213" formatCode="0.0&quot;x&quot;"/>
    <numFmt numFmtId="214" formatCode="_(* #,##0.0000_);_(* \(#,##0.0000\);_(* &quot;-&quot;??_);_(@_)"/>
    <numFmt numFmtId="215" formatCode="_(* #,##0.00_);_(* \(#,##0.00\);_(* &quot;-&quot;?_);_(@_)"/>
    <numFmt numFmtId="216" formatCode="0\ &quot;days&quot;"/>
    <numFmt numFmtId="217" formatCode="0\ &quot;year&quot;"/>
    <numFmt numFmtId="218" formatCode="0.0000"/>
    <numFmt numFmtId="219" formatCode="#,##0.000"/>
    <numFmt numFmtId="220" formatCode="0.000"/>
    <numFmt numFmtId="221" formatCode="0.000000"/>
    <numFmt numFmtId="222" formatCode="_-* #,##0\ _P_t_s_-;\-* #,##0\ _P_t_s_-;_-* &quot;-&quot;\ _P_t_s_-;_-@_-"/>
    <numFmt numFmtId="223" formatCode="_-* #,##0.00\ _P_t_s_-;\-* #,##0.00\ _P_t_s_-;_-* &quot;-&quot;??\ _P_t_s_-;_-@_-"/>
    <numFmt numFmtId="224" formatCode="0.0%;\(0.0%\)"/>
    <numFmt numFmtId="225" formatCode="_-* #,##0.0_-;\-* #,##0.0_-;_-* &quot;-&quot;??_-;_-@_-"/>
    <numFmt numFmtId="226" formatCode="\£#,##0_);\(\£#,##0\)"/>
    <numFmt numFmtId="227" formatCode="#,##0;\(#,##0\);&quot;-&quot;"/>
    <numFmt numFmtId="228" formatCode="\ #,##0.0_);\(#,##0.0\);&quot; - &quot;_);@_)"/>
    <numFmt numFmtId="229" formatCode="d\ mmmm\ yyyy"/>
    <numFmt numFmtId="230" formatCode="#,##0;[Red]\(#,##0\);0"/>
    <numFmt numFmtId="231" formatCode="#,##0_);\(#,##0\);&quot; - &quot;_);@_)"/>
    <numFmt numFmtId="232" formatCode="_(\ #,##0.0_%_);_(\ \(#,##0.0_%\);_(\ &quot; - &quot;_%_);_(@_)"/>
    <numFmt numFmtId="233" formatCode="_(\ #,##0.0%_);_(\ \(#,##0.0%\);_(\ &quot; - &quot;\%_);_(@_)"/>
    <numFmt numFmtId="234" formatCode="\ #,##0.00_);\(#,##0.00\);&quot; - &quot;_);@_)"/>
    <numFmt numFmtId="235" formatCode="\ #,##0.000_);\(#,##0.000\);&quot; - &quot;_);@_)"/>
    <numFmt numFmtId="236" formatCode="0.00;[Red]0.00"/>
    <numFmt numFmtId="237" formatCode="_(* #,##0.000_);_(* \(#,##0.000\);_(* &quot;-&quot;_);_(@_)"/>
    <numFmt numFmtId="238" formatCode="0.00&quot;x&quot;"/>
    <numFmt numFmtId="239" formatCode="#,##0.0_)_%;\(#,##0.0\)_%;0.0_)_%;@_)_%"/>
    <numFmt numFmtId="240" formatCode="#,##0\ [$F-40C]"/>
    <numFmt numFmtId="241" formatCode="0_);\(0\)"/>
    <numFmt numFmtId="242" formatCode="* #,##0.0\x_);&quot;NM&quot;_)"/>
    <numFmt numFmtId="243" formatCode="#,##0\x_);&quot;NM&quot;_)"/>
    <numFmt numFmtId="244" formatCode="&quot;$&quot;#,##0.0_);\(&quot;$&quot;#,##0.0\)"/>
    <numFmt numFmtId="245" formatCode="* #,##0.0\ \x_);&quot;NM&quot;_)"/>
    <numFmt numFmtId="246" formatCode="* #,##0.0\ \x_);&quot;NM&quot;"/>
    <numFmt numFmtId="247" formatCode="#,##0.000000_);\(#,##0.000000\)"/>
    <numFmt numFmtId="248" formatCode="_(* &quot;$&quot;#,##0_);_(* &quot;$&quot;\(#,##0\);_(* &quot;$&quot;\ &quot;-&quot;_);_(@_)"/>
    <numFmt numFmtId="249" formatCode="hh:mm\ AM/PM_)"/>
    <numFmt numFmtId="250" formatCode="0.0_)"/>
    <numFmt numFmtId="251" formatCode="#,##0.0\ \ _);&quot;NM&quot;_)"/>
    <numFmt numFmtId="252" formatCode="* &quot;$&quot;\ #,##0.00_);* \(&quot;$&quot;\ #,##0.00\);* &quot;$&quot;\ "/>
    <numFmt numFmtId="253" formatCode="* &quot;$&quot;\ #,##0.0_);* \(&quot;$&quot;\ #,##0.0\);* \ "/>
    <numFmt numFmtId="254" formatCode="#,##0.0\%_);\(#,##0.0\%\);#,##0.0\%_);@_)"/>
    <numFmt numFmtId="255" formatCode="#,##0.000\x;&quot;NM&quot;_x"/>
    <numFmt numFmtId="256" formatCode="_-* #,##0.000_-;\-* #,##0.000_-;_-* &quot;-&quot;_-;_-@_-"/>
    <numFmt numFmtId="257" formatCode="_(* #,##0.00000000000000000_);_(* \(#,##0.00000000000000000\);_(* &quot;-&quot;_);_(@_)"/>
  </numFmts>
  <fonts count="17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sz val="12"/>
      <name val="Times New Roman"/>
      <family val="1"/>
    </font>
    <font>
      <sz val="8"/>
      <color indexed="12"/>
      <name val="Helv"/>
    </font>
    <font>
      <sz val="10"/>
      <name val="Geneva"/>
    </font>
    <font>
      <sz val="8"/>
      <name val="Geneva"/>
    </font>
    <font>
      <sz val="8"/>
      <color indexed="12"/>
      <name val="Tms Rmn"/>
    </font>
    <font>
      <b/>
      <sz val="12"/>
      <name val="Times New Roman"/>
      <family val="1"/>
    </font>
    <font>
      <b/>
      <sz val="12"/>
      <name val="Arial"/>
      <family val="2"/>
    </font>
    <font>
      <b/>
      <sz val="8"/>
      <name val="Book Antiqua"/>
      <family val="1"/>
    </font>
    <font>
      <sz val="8"/>
      <name val="Palatino"/>
      <family val="1"/>
    </font>
    <font>
      <sz val="12"/>
      <name val="Helv"/>
    </font>
    <font>
      <sz val="11"/>
      <color indexed="12"/>
      <name val="Book Antiqua"/>
      <family val="1"/>
    </font>
    <font>
      <sz val="6"/>
      <name val="Helv"/>
    </font>
    <font>
      <b/>
      <sz val="12"/>
      <name val="Times New Roman"/>
      <family val="1"/>
    </font>
    <font>
      <sz val="10"/>
      <name val="Arial"/>
      <family val="2"/>
    </font>
    <font>
      <sz val="7"/>
      <name val="Palatino"/>
      <family val="1"/>
    </font>
    <font>
      <sz val="7"/>
      <name val="Arial"/>
      <family val="2"/>
    </font>
    <font>
      <sz val="8"/>
      <name val="Arial"/>
      <family val="2"/>
    </font>
    <font>
      <b/>
      <sz val="8"/>
      <name val="Palatino"/>
    </font>
    <font>
      <u/>
      <sz val="7.5"/>
      <color indexed="12"/>
      <name val="Arial"/>
      <family val="2"/>
    </font>
    <font>
      <sz val="10"/>
      <name val="Courier"/>
      <family val="3"/>
    </font>
    <font>
      <sz val="8"/>
      <color indexed="10"/>
      <name val="Book Antiqua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Palatino"/>
    </font>
    <font>
      <sz val="8"/>
      <color indexed="8"/>
      <name val="Helv"/>
    </font>
    <font>
      <sz val="10"/>
      <name val="MS Sans Serif"/>
      <family val="2"/>
    </font>
    <font>
      <sz val="10"/>
      <color indexed="20"/>
      <name val="Times New Roman"/>
      <family val="1"/>
    </font>
    <font>
      <b/>
      <i/>
      <sz val="16"/>
      <name val="Helv"/>
    </font>
    <font>
      <sz val="10"/>
      <name val="Times New Roman"/>
      <family val="1"/>
    </font>
    <font>
      <sz val="10"/>
      <name val="Arial CE"/>
      <charset val="238"/>
    </font>
    <font>
      <b/>
      <sz val="8"/>
      <name val="Arial"/>
      <family val="2"/>
    </font>
    <font>
      <sz val="10"/>
      <color indexed="16"/>
      <name val="Helvetica-Black"/>
    </font>
    <font>
      <sz val="10"/>
      <name val="Book Antiqua"/>
      <family val="1"/>
    </font>
    <font>
      <sz val="12"/>
      <name val="Arial"/>
      <family val="2"/>
    </font>
    <font>
      <sz val="10"/>
      <color indexed="10"/>
      <name val="MS Sans Serif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sz val="10"/>
      <name val="Book Antiqua"/>
      <family val="1"/>
    </font>
    <font>
      <sz val="8"/>
      <name val="Helv"/>
    </font>
    <font>
      <b/>
      <sz val="9"/>
      <color indexed="8"/>
      <name val="Arial"/>
      <family val="2"/>
    </font>
    <font>
      <sz val="8"/>
      <name val="Book Antiqua"/>
      <family val="1"/>
    </font>
    <font>
      <sz val="12"/>
      <name val="新細明體"/>
      <charset val="136"/>
    </font>
    <font>
      <sz val="10"/>
      <name val="Geneva"/>
      <family val="2"/>
    </font>
    <font>
      <b/>
      <sz val="12"/>
      <color indexed="28"/>
      <name val="Arial"/>
      <family val="2"/>
    </font>
    <font>
      <b/>
      <sz val="10"/>
      <color indexed="12"/>
      <name val="Arial"/>
      <family val="2"/>
    </font>
    <font>
      <b/>
      <i/>
      <u/>
      <sz val="10"/>
      <name val="Arial"/>
      <family val="2"/>
    </font>
    <font>
      <sz val="10"/>
      <color indexed="17"/>
      <name val="Arial"/>
      <family val="2"/>
    </font>
    <font>
      <b/>
      <sz val="9"/>
      <color indexed="81"/>
      <name val="Tahoma"/>
      <family val="2"/>
    </font>
    <font>
      <i/>
      <sz val="10"/>
      <color indexed="12"/>
      <name val="Arial"/>
      <family val="2"/>
    </font>
    <font>
      <b/>
      <sz val="8"/>
      <color indexed="81"/>
      <name val="Tahoma"/>
      <family val="2"/>
    </font>
    <font>
      <i/>
      <sz val="10"/>
      <color indexed="23"/>
      <name val="Arial"/>
      <family val="2"/>
    </font>
    <font>
      <b/>
      <sz val="11"/>
      <name val="Arial"/>
      <family val="2"/>
    </font>
    <font>
      <b/>
      <sz val="6"/>
      <name val="Arial"/>
      <family val="2"/>
    </font>
    <font>
      <b/>
      <i/>
      <sz val="10"/>
      <color indexed="12"/>
      <name val="Arial"/>
      <family val="2"/>
    </font>
    <font>
      <b/>
      <i/>
      <sz val="10"/>
      <color indexed="17"/>
      <name val="Arial"/>
      <family val="2"/>
    </font>
    <font>
      <b/>
      <i/>
      <sz val="6"/>
      <name val="Arial"/>
      <family val="2"/>
    </font>
    <font>
      <b/>
      <sz val="8"/>
      <color indexed="9"/>
      <name val="Arial"/>
      <family val="2"/>
    </font>
    <font>
      <b/>
      <sz val="11"/>
      <color indexed="9"/>
      <name val="Arial"/>
      <family val="2"/>
    </font>
    <font>
      <b/>
      <i/>
      <sz val="12"/>
      <name val="Arial"/>
      <family val="2"/>
    </font>
    <font>
      <b/>
      <sz val="10"/>
      <color indexed="17"/>
      <name val="Arial"/>
      <family val="2"/>
    </font>
    <font>
      <sz val="10"/>
      <name val="Arial"/>
      <family val="2"/>
    </font>
    <font>
      <i/>
      <sz val="10"/>
      <color indexed="63"/>
      <name val="Arial"/>
      <family val="2"/>
    </font>
    <font>
      <b/>
      <i/>
      <sz val="10"/>
      <color indexed="63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i/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u/>
      <sz val="8"/>
      <color indexed="10"/>
      <name val="Arial"/>
      <family val="2"/>
    </font>
    <font>
      <sz val="8"/>
      <color indexed="8"/>
      <name val="Arial"/>
      <family val="2"/>
    </font>
    <font>
      <sz val="8"/>
      <color indexed="10"/>
      <name val="Arial"/>
      <family val="2"/>
    </font>
    <font>
      <sz val="7"/>
      <name val="Arial Narrow"/>
      <family val="2"/>
    </font>
    <font>
      <vertAlign val="superscript"/>
      <sz val="8"/>
      <name val="Arial Narrow"/>
      <family val="2"/>
    </font>
    <font>
      <i/>
      <sz val="8"/>
      <name val="Arial"/>
      <family val="2"/>
    </font>
    <font>
      <sz val="8"/>
      <name val="Arial Narrow"/>
      <family val="2"/>
    </font>
    <font>
      <sz val="8"/>
      <color indexed="81"/>
      <name val="Tahoma"/>
      <family val="2"/>
    </font>
    <font>
      <b/>
      <sz val="7"/>
      <name val="Arial"/>
      <family val="2"/>
    </font>
    <font>
      <sz val="9"/>
      <name val="Helv"/>
    </font>
    <font>
      <sz val="9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0"/>
      <color indexed="9"/>
      <name val="Arial"/>
      <family val="2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color indexed="12"/>
      <name val="Arial"/>
      <family val="2"/>
    </font>
    <font>
      <sz val="8"/>
      <name val="Arial"/>
      <family val="2"/>
    </font>
    <font>
      <sz val="12"/>
      <name val="ⓒoUAAA¨u"/>
      <family val="1"/>
      <charset val="255"/>
    </font>
    <font>
      <sz val="11"/>
      <name val="￥i￠￢￠?o"/>
      <family val="3"/>
      <charset val="255"/>
    </font>
    <font>
      <sz val="10"/>
      <name val="Arial Narrow"/>
      <family val="2"/>
    </font>
    <font>
      <i/>
      <sz val="10"/>
      <name val="Arial Narrow"/>
      <family val="2"/>
    </font>
    <font>
      <b/>
      <sz val="10"/>
      <color indexed="25"/>
      <name val="Arial Narrow"/>
      <family val="2"/>
    </font>
    <font>
      <i/>
      <sz val="10"/>
      <color indexed="25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25"/>
      <name val="Arial Narrow"/>
      <family val="2"/>
    </font>
    <font>
      <b/>
      <sz val="16"/>
      <name val="Arial"/>
      <family val="2"/>
    </font>
    <font>
      <b/>
      <sz val="14"/>
      <color indexed="25"/>
      <name val="Arial"/>
      <family val="2"/>
    </font>
    <font>
      <sz val="8"/>
      <color indexed="25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sz val="10"/>
      <name val="돋움체"/>
      <family val="3"/>
      <charset val="255"/>
    </font>
    <font>
      <sz val="12"/>
      <name val="바탕체"/>
      <family val="1"/>
      <charset val="255"/>
    </font>
    <font>
      <sz val="12"/>
      <name val="바탕체"/>
      <family val="3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10"/>
      <color indexed="12"/>
      <name val="Arial"/>
      <family val="2"/>
    </font>
    <font>
      <sz val="8"/>
      <color indexed="9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4"/>
      <color indexed="18"/>
      <name val="Arial"/>
      <family val="2"/>
    </font>
    <font>
      <b/>
      <sz val="10"/>
      <color indexed="1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4"/>
      <color indexed="10"/>
      <name val="Times New Roman"/>
      <family val="1"/>
    </font>
    <font>
      <sz val="8"/>
      <color indexed="18"/>
      <name val="Times New Roman"/>
      <family val="1"/>
    </font>
    <font>
      <b/>
      <sz val="11"/>
      <color indexed="32"/>
      <name val="Arial"/>
      <family val="2"/>
    </font>
    <font>
      <b/>
      <sz val="6"/>
      <name val="Palatino"/>
    </font>
    <font>
      <sz val="7"/>
      <color indexed="8"/>
      <name val="Tms Rmn"/>
    </font>
    <font>
      <sz val="8"/>
      <color indexed="56"/>
      <name val="Book Antiqua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i/>
      <sz val="8"/>
      <name val="Times New Roman"/>
      <family val="1"/>
    </font>
    <font>
      <b/>
      <sz val="14"/>
      <name val="Times New Roman"/>
      <family val="1"/>
    </font>
    <font>
      <sz val="8"/>
      <color indexed="32"/>
      <name val="Arial"/>
      <family val="2"/>
    </font>
    <font>
      <i/>
      <sz val="12"/>
      <color indexed="12"/>
      <name val="Times New Roman"/>
      <family val="1"/>
    </font>
    <font>
      <b/>
      <sz val="9"/>
      <name val="Arial"/>
      <family val="2"/>
    </font>
    <font>
      <b/>
      <i/>
      <sz val="12"/>
      <name val="Times New Roman"/>
      <family val="1"/>
    </font>
    <font>
      <sz val="26"/>
      <color rgb="FF0070C0"/>
      <name val="Arial"/>
      <family val="2"/>
    </font>
    <font>
      <sz val="10"/>
      <color theme="1"/>
      <name val="Arial"/>
      <family val="2"/>
    </font>
    <font>
      <sz val="11"/>
      <color indexed="28"/>
      <name val="Calibri"/>
      <family val="2"/>
    </font>
    <font>
      <sz val="11"/>
      <color indexed="9"/>
      <name val="Calibri"/>
      <family val="2"/>
    </font>
    <font>
      <sz val="11"/>
      <color indexed="23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45"/>
      <name val="Calibri"/>
      <family val="2"/>
    </font>
    <font>
      <b/>
      <sz val="11"/>
      <color indexed="28"/>
      <name val="Calibri"/>
      <family val="2"/>
    </font>
    <font>
      <sz val="11"/>
      <color indexed="47"/>
      <name val="Calibri"/>
      <family val="2"/>
    </font>
    <font>
      <i/>
      <sz val="11"/>
      <color indexed="18"/>
      <name val="Calibri"/>
      <family val="2"/>
    </font>
    <font>
      <b/>
      <sz val="18"/>
      <color indexed="31"/>
      <name val="Cambria"/>
      <family val="2"/>
    </font>
    <font>
      <b/>
      <sz val="13"/>
      <color indexed="31"/>
      <name val="Calibri"/>
      <family val="2"/>
    </font>
    <font>
      <b/>
      <sz val="11"/>
      <color indexed="31"/>
      <name val="Calibri"/>
      <family val="2"/>
    </font>
    <font>
      <i/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u/>
      <sz val="11"/>
      <color theme="10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gray06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lightGray"/>
    </fill>
    <fill>
      <patternFill patternType="solid">
        <fgColor indexed="43"/>
        <bgColor indexed="64"/>
      </patternFill>
    </fill>
    <fill>
      <patternFill patternType="lightGray">
        <fgColor indexed="13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</patternFill>
    </fill>
    <fill>
      <patternFill patternType="solid">
        <fgColor indexed="3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9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18"/>
      </patternFill>
    </fill>
    <fill>
      <patternFill patternType="solid">
        <fgColor indexed="16"/>
      </patternFill>
    </fill>
    <fill>
      <patternFill patternType="solid">
        <fgColor indexed="17"/>
      </patternFill>
    </fill>
    <fill>
      <patternFill patternType="solid">
        <fgColor indexed="45"/>
      </patternFill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35"/>
      </left>
      <right style="medium">
        <color indexed="35"/>
      </right>
      <top style="medium">
        <color indexed="35"/>
      </top>
      <bottom style="medium">
        <color indexed="35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 style="medium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10"/>
      </bottom>
      <diagonal/>
    </border>
    <border>
      <left/>
      <right style="medium">
        <color indexed="35"/>
      </right>
      <top style="medium">
        <color indexed="35"/>
      </top>
      <bottom style="medium">
        <color indexed="35"/>
      </bottom>
      <diagonal/>
    </border>
    <border>
      <left style="medium">
        <color indexed="35"/>
      </left>
      <right/>
      <top style="medium">
        <color indexed="35"/>
      </top>
      <bottom style="medium">
        <color indexed="35"/>
      </bottom>
      <diagonal/>
    </border>
    <border>
      <left style="medium">
        <color indexed="35"/>
      </left>
      <right style="medium">
        <color indexed="35"/>
      </right>
      <top style="medium">
        <color indexed="35"/>
      </top>
      <bottom/>
      <diagonal/>
    </border>
    <border>
      <left/>
      <right/>
      <top style="medium">
        <color indexed="35"/>
      </top>
      <bottom style="medium">
        <color indexed="3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ck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8"/>
      </left>
      <right style="double">
        <color indexed="28"/>
      </right>
      <top style="double">
        <color indexed="28"/>
      </top>
      <bottom style="double">
        <color indexed="28"/>
      </bottom>
      <diagonal/>
    </border>
    <border>
      <left/>
      <right/>
      <top/>
      <bottom style="double">
        <color indexed="17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 style="thin">
        <color indexed="28"/>
      </bottom>
      <diagonal/>
    </border>
    <border>
      <left/>
      <right/>
      <top/>
      <bottom style="thick">
        <color indexed="53"/>
      </bottom>
      <diagonal/>
    </border>
    <border>
      <left/>
      <right/>
      <top/>
      <bottom style="medium">
        <color indexed="53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380">
    <xf numFmtId="0" fontId="0" fillId="0" borderId="0"/>
    <xf numFmtId="0" fontId="19" fillId="0" borderId="0"/>
    <xf numFmtId="0" fontId="6" fillId="0" borderId="0"/>
    <xf numFmtId="0" fontId="16" fillId="0" borderId="0"/>
    <xf numFmtId="221" fontId="6" fillId="0" borderId="0">
      <alignment horizontal="left" wrapText="1"/>
    </xf>
    <xf numFmtId="0" fontId="19" fillId="0" borderId="0"/>
    <xf numFmtId="203" fontId="19" fillId="0" borderId="0" applyFont="0" applyFill="0" applyBorder="0" applyAlignment="0" applyProtection="0"/>
    <xf numFmtId="204" fontId="19" fillId="0" borderId="0" applyFont="0" applyFill="0" applyBorder="0" applyAlignment="0" applyProtection="0"/>
    <xf numFmtId="177" fontId="6" fillId="0" borderId="0">
      <alignment horizontal="left"/>
    </xf>
    <xf numFmtId="176" fontId="6" fillId="0" borderId="0">
      <alignment horizontal="left"/>
    </xf>
    <xf numFmtId="0" fontId="115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9" fillId="0" borderId="0"/>
    <xf numFmtId="0" fontId="105" fillId="0" borderId="0"/>
    <xf numFmtId="0" fontId="16" fillId="0" borderId="0">
      <alignment horizontal="right"/>
    </xf>
    <xf numFmtId="0" fontId="20" fillId="0" borderId="1">
      <protection hidden="1"/>
    </xf>
    <xf numFmtId="0" fontId="21" fillId="2" borderId="1" applyNumberFormat="0" applyFont="0" applyBorder="0" applyAlignment="0" applyProtection="0">
      <protection hidden="1"/>
    </xf>
    <xf numFmtId="0" fontId="22" fillId="0" borderId="0" applyFont="0" applyFill="0" applyBorder="0" applyAlignment="0" applyProtection="0">
      <alignment horizontal="right"/>
    </xf>
    <xf numFmtId="0" fontId="23" fillId="0" borderId="0" applyNumberFormat="0" applyFill="0" applyBorder="0" applyAlignment="0" applyProtection="0"/>
    <xf numFmtId="0" fontId="24" fillId="0" borderId="2" applyNumberFormat="0" applyFill="0" applyAlignment="0" applyProtection="0"/>
    <xf numFmtId="205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06" fillId="0" borderId="0" applyFill="0" applyBorder="0" applyAlignment="0"/>
    <xf numFmtId="0" fontId="10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106" fillId="0" borderId="0" applyFill="0" applyBorder="0" applyAlignment="0"/>
    <xf numFmtId="0" fontId="6" fillId="0" borderId="0" applyFill="0" applyBorder="0" applyAlignment="0"/>
    <xf numFmtId="0" fontId="106" fillId="0" borderId="0" applyFill="0" applyBorder="0" applyAlignment="0"/>
    <xf numFmtId="0" fontId="7" fillId="0" borderId="0" applyNumberFormat="0" applyFill="0" applyBorder="0" applyAlignment="0" applyProtection="0"/>
    <xf numFmtId="0" fontId="26" fillId="0" borderId="2" applyNumberFormat="0" applyFill="0" applyBorder="0" applyAlignment="0" applyProtection="0">
      <alignment horizontal="center"/>
    </xf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167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0" fontId="106" fillId="0" borderId="0" applyFont="0" applyFill="0" applyBorder="0" applyAlignment="0" applyProtection="0"/>
    <xf numFmtId="195" fontId="27" fillId="0" borderId="0" applyFont="0" applyFill="0" applyBorder="0" applyAlignment="0" applyProtection="0">
      <alignment horizontal="right"/>
    </xf>
    <xf numFmtId="196" fontId="27" fillId="0" borderId="0" applyFont="0" applyFill="0" applyBorder="0" applyAlignment="0" applyProtection="0">
      <alignment horizontal="right"/>
    </xf>
    <xf numFmtId="167" fontId="6" fillId="0" borderId="0" applyFont="0" applyFill="0" applyBorder="0" applyAlignment="0" applyProtection="0"/>
    <xf numFmtId="167" fontId="91" fillId="0" borderId="0" applyFont="0" applyFill="0" applyBorder="0" applyAlignment="0" applyProtection="0"/>
    <xf numFmtId="22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3" fontId="6" fillId="0" borderId="0" applyFill="0" applyBorder="0" applyAlignment="0" applyProtection="0"/>
    <xf numFmtId="0" fontId="28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185" fontId="6" fillId="0" borderId="0"/>
    <xf numFmtId="185" fontId="6" fillId="0" borderId="0" applyFill="0" applyBorder="0" applyAlignment="0" applyProtection="0">
      <alignment horizontal="left"/>
    </xf>
    <xf numFmtId="0" fontId="106" fillId="0" borderId="0" applyFont="0" applyFill="0" applyBorder="0" applyAlignment="0" applyProtection="0"/>
    <xf numFmtId="165" fontId="29" fillId="0" borderId="3">
      <protection locked="0"/>
    </xf>
    <xf numFmtId="202" fontId="27" fillId="0" borderId="0" applyFont="0" applyFill="0" applyBorder="0" applyAlignment="0" applyProtection="0">
      <alignment horizontal="right"/>
    </xf>
    <xf numFmtId="197" fontId="27" fillId="0" borderId="0" applyFont="0" applyFill="0" applyBorder="0" applyAlignment="0" applyProtection="0">
      <alignment horizontal="right"/>
    </xf>
    <xf numFmtId="224" fontId="107" fillId="0" borderId="0" applyFill="0" applyBorder="0">
      <alignment horizontal="right"/>
    </xf>
    <xf numFmtId="206" fontId="19" fillId="0" borderId="0" applyFont="0" applyFill="0" applyBorder="0" applyAlignment="0" applyProtection="0"/>
    <xf numFmtId="182" fontId="30" fillId="0" borderId="0" applyNumberFormat="0">
      <alignment horizontal="right"/>
    </xf>
    <xf numFmtId="200" fontId="27" fillId="0" borderId="0" applyFont="0" applyFill="0" applyBorder="0" applyAlignment="0" applyProtection="0"/>
    <xf numFmtId="14" fontId="91" fillId="0" borderId="0" applyFill="0" applyBorder="0" applyAlignment="0"/>
    <xf numFmtId="37" fontId="31" fillId="3" borderId="4" applyNumberFormat="0" applyAlignment="0">
      <alignment horizontal="left"/>
    </xf>
    <xf numFmtId="0" fontId="6" fillId="0" borderId="0">
      <protection locked="0"/>
    </xf>
    <xf numFmtId="198" fontId="27" fillId="0" borderId="5" applyNumberFormat="0" applyFont="0" applyFill="0" applyAlignment="0" applyProtection="0"/>
    <xf numFmtId="0" fontId="6" fillId="0" borderId="0">
      <protection locked="0"/>
    </xf>
    <xf numFmtId="0" fontId="6" fillId="0" borderId="0">
      <protection locked="0"/>
    </xf>
    <xf numFmtId="0" fontId="106" fillId="0" borderId="0" applyFill="0" applyBorder="0" applyAlignment="0"/>
    <xf numFmtId="0" fontId="106" fillId="0" borderId="0" applyFill="0" applyBorder="0" applyAlignment="0"/>
    <xf numFmtId="0" fontId="106" fillId="0" borderId="0" applyFill="0" applyBorder="0" applyAlignment="0"/>
    <xf numFmtId="0" fontId="6" fillId="0" borderId="0" applyFill="0" applyBorder="0" applyAlignment="0"/>
    <xf numFmtId="0" fontId="106" fillId="0" borderId="0" applyFill="0" applyBorder="0" applyAlignment="0"/>
    <xf numFmtId="0" fontId="6" fillId="0" borderId="0">
      <alignment vertical="top"/>
    </xf>
    <xf numFmtId="189" fontId="6" fillId="0" borderId="0" applyFont="0" applyFill="0" applyBorder="0" applyAlignment="0" applyProtection="0"/>
    <xf numFmtId="49" fontId="117" fillId="0" borderId="0" applyNumberFormat="0" applyFill="0" applyBorder="0" applyProtection="0">
      <alignment horizontal="center" vertical="top"/>
    </xf>
    <xf numFmtId="232" fontId="118" fillId="0" borderId="0" applyBorder="0">
      <alignment horizontal="right" vertical="top"/>
    </xf>
    <xf numFmtId="233" fontId="117" fillId="0" borderId="0" applyBorder="0">
      <alignment horizontal="right" vertical="top"/>
    </xf>
    <xf numFmtId="233" fontId="118" fillId="0" borderId="0" applyBorder="0">
      <alignment horizontal="right" vertical="top"/>
    </xf>
    <xf numFmtId="231" fontId="117" fillId="0" borderId="0" applyFill="0" applyBorder="0">
      <alignment horizontal="right" vertical="top"/>
    </xf>
    <xf numFmtId="228" fontId="117" fillId="0" borderId="0" applyFill="0" applyBorder="0">
      <alignment horizontal="right" vertical="top"/>
    </xf>
    <xf numFmtId="234" fontId="117" fillId="0" borderId="0" applyFill="0" applyBorder="0">
      <alignment horizontal="right" vertical="top"/>
    </xf>
    <xf numFmtId="235" fontId="117" fillId="0" borderId="0" applyFill="0" applyBorder="0">
      <alignment horizontal="right" vertical="top"/>
    </xf>
    <xf numFmtId="0" fontId="119" fillId="0" borderId="0">
      <alignment horizontal="left"/>
    </xf>
    <xf numFmtId="0" fontId="119" fillId="0" borderId="6">
      <alignment horizontal="right" wrapText="1"/>
    </xf>
    <xf numFmtId="49" fontId="119" fillId="0" borderId="6">
      <alignment horizontal="right" wrapText="1"/>
    </xf>
    <xf numFmtId="227" fontId="120" fillId="0" borderId="6">
      <alignment horizontal="right"/>
    </xf>
    <xf numFmtId="0" fontId="121" fillId="0" borderId="0">
      <alignment vertical="center"/>
    </xf>
    <xf numFmtId="229" fontId="121" fillId="0" borderId="0">
      <alignment horizontal="left" vertical="center"/>
    </xf>
    <xf numFmtId="230" fontId="122" fillId="0" borderId="0">
      <alignment vertical="center"/>
    </xf>
    <xf numFmtId="0" fontId="123" fillId="0" borderId="0">
      <alignment vertical="center"/>
    </xf>
    <xf numFmtId="227" fontId="120" fillId="0" borderId="6">
      <alignment horizontal="left"/>
    </xf>
    <xf numFmtId="227" fontId="117" fillId="0" borderId="0">
      <alignment horizontal="center"/>
    </xf>
    <xf numFmtId="227" fontId="124" fillId="0" borderId="6">
      <alignment horizontal="center"/>
    </xf>
    <xf numFmtId="41" fontId="117" fillId="0" borderId="6" applyFill="0" applyBorder="0" applyProtection="0">
      <alignment horizontal="right" vertical="top"/>
    </xf>
    <xf numFmtId="229" fontId="52" fillId="0" borderId="0">
      <alignment horizontal="left" vertical="center"/>
    </xf>
    <xf numFmtId="227" fontId="52" fillId="0" borderId="0"/>
    <xf numFmtId="227" fontId="125" fillId="0" borderId="0"/>
    <xf numFmtId="227" fontId="126" fillId="0" borderId="0"/>
    <xf numFmtId="227" fontId="6" fillId="0" borderId="0"/>
    <xf numFmtId="227" fontId="127" fillId="0" borderId="0">
      <alignment horizontal="left" vertical="top"/>
    </xf>
    <xf numFmtId="0" fontId="117" fillId="0" borderId="0" applyFill="0" applyBorder="0">
      <alignment horizontal="left" vertical="top" wrapText="1"/>
    </xf>
    <xf numFmtId="0" fontId="128" fillId="0" borderId="0">
      <alignment horizontal="left" vertical="top" wrapText="1"/>
    </xf>
    <xf numFmtId="0" fontId="129" fillId="0" borderId="0">
      <alignment horizontal="left" vertical="top" wrapText="1"/>
    </xf>
    <xf numFmtId="0" fontId="118" fillId="0" borderId="0">
      <alignment horizontal="left" vertical="top" wrapText="1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0" fontId="6" fillId="0" borderId="0">
      <protection locked="0"/>
    </xf>
    <xf numFmtId="3" fontId="32" fillId="0" borderId="0" applyFont="0" applyFill="0" applyBorder="0" applyAlignment="0" applyProtection="0"/>
    <xf numFmtId="0" fontId="33" fillId="0" borderId="0" applyFill="0" applyBorder="0" applyProtection="0">
      <alignment horizontal="left"/>
    </xf>
    <xf numFmtId="0" fontId="34" fillId="0" borderId="0" applyNumberFormat="0" applyFill="0" applyBorder="0" applyAlignment="0" applyProtection="0"/>
    <xf numFmtId="37" fontId="7" fillId="0" borderId="0"/>
    <xf numFmtId="38" fontId="35" fillId="4" borderId="0" applyNumberFormat="0" applyBorder="0" applyAlignment="0" applyProtection="0"/>
    <xf numFmtId="201" fontId="27" fillId="0" borderId="0" applyFont="0" applyFill="0" applyBorder="0" applyAlignment="0" applyProtection="0">
      <alignment horizontal="right"/>
    </xf>
    <xf numFmtId="175" fontId="6" fillId="0" borderId="0" applyNumberFormat="0" applyFill="0" applyBorder="0" applyProtection="0">
      <alignment horizontal="right"/>
    </xf>
    <xf numFmtId="0" fontId="17" fillId="0" borderId="7" applyNumberFormat="0" applyAlignment="0" applyProtection="0">
      <alignment horizontal="left" vertical="center"/>
    </xf>
    <xf numFmtId="0" fontId="17" fillId="0" borderId="8">
      <alignment horizontal="left" vertical="center"/>
    </xf>
    <xf numFmtId="0" fontId="36" fillId="0" borderId="0">
      <alignment horizontal="center"/>
    </xf>
    <xf numFmtId="0" fontId="36" fillId="0" borderId="0">
      <alignment horizontal="center"/>
    </xf>
    <xf numFmtId="0" fontId="3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38" fillId="0" borderId="0"/>
    <xf numFmtId="0" fontId="39" fillId="0" borderId="0" applyNumberFormat="0" applyFill="0" applyBorder="0" applyAlignment="0" applyProtection="0"/>
    <xf numFmtId="169" fontId="6" fillId="4" borderId="0">
      <protection locked="0"/>
    </xf>
    <xf numFmtId="172" fontId="40" fillId="0" borderId="0"/>
    <xf numFmtId="192" fontId="6" fillId="0" borderId="0"/>
    <xf numFmtId="193" fontId="6" fillId="0" borderId="0"/>
    <xf numFmtId="10" fontId="35" fillId="5" borderId="9" applyNumberFormat="0" applyBorder="0" applyAlignment="0" applyProtection="0"/>
    <xf numFmtId="3" fontId="6" fillId="4" borderId="0">
      <alignment horizontal="right"/>
      <protection locked="0"/>
    </xf>
    <xf numFmtId="170" fontId="6" fillId="4" borderId="0" applyBorder="0">
      <alignment horizontal="right"/>
      <protection locked="0"/>
    </xf>
    <xf numFmtId="0" fontId="41" fillId="0" borderId="0" applyNumberFormat="0" applyFill="0" applyBorder="0" applyAlignment="0" applyProtection="0"/>
    <xf numFmtId="1" fontId="6" fillId="0" borderId="0" applyNumberFormat="0" applyFill="0" applyBorder="0" applyAlignment="0" applyProtection="0"/>
    <xf numFmtId="0" fontId="15" fillId="0" borderId="0" applyNumberFormat="0" applyFill="0" applyBorder="0" applyAlignment="0">
      <protection locked="0"/>
    </xf>
    <xf numFmtId="0" fontId="73" fillId="6" borderId="10">
      <alignment horizontal="centerContinuous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2" fillId="0" borderId="0"/>
    <xf numFmtId="0" fontId="106" fillId="0" borderId="0" applyFill="0" applyBorder="0" applyAlignment="0"/>
    <xf numFmtId="0" fontId="106" fillId="0" borderId="0" applyFill="0" applyBorder="0" applyAlignment="0"/>
    <xf numFmtId="0" fontId="106" fillId="0" borderId="0" applyFill="0" applyBorder="0" applyAlignment="0"/>
    <xf numFmtId="0" fontId="6" fillId="0" borderId="0" applyFill="0" applyBorder="0" applyAlignment="0"/>
    <xf numFmtId="0" fontId="106" fillId="0" borderId="0" applyFill="0" applyBorder="0" applyAlignment="0"/>
    <xf numFmtId="0" fontId="43" fillId="0" borderId="1">
      <alignment horizontal="left"/>
      <protection locked="0"/>
    </xf>
    <xf numFmtId="186" fontId="44" fillId="0" borderId="0" applyFont="0" applyFill="0" applyBorder="0" applyAlignment="0" applyProtection="0"/>
    <xf numFmtId="41" fontId="6" fillId="0" borderId="0" applyFont="0" applyFill="0" applyBorder="0" applyAlignment="0" applyProtection="0"/>
    <xf numFmtId="38" fontId="44" fillId="0" borderId="0" applyFont="0" applyFill="0" applyBorder="0" applyAlignment="0" applyProtection="0"/>
    <xf numFmtId="0" fontId="45" fillId="0" borderId="0" applyBorder="0"/>
    <xf numFmtId="190" fontId="6" fillId="0" borderId="0" applyFont="0" applyFill="0" applyBorder="0" applyAlignment="0" applyProtection="0"/>
    <xf numFmtId="4" fontId="6" fillId="0" borderId="0"/>
    <xf numFmtId="209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99" fontId="27" fillId="0" borderId="0" applyFont="0" applyFill="0" applyBorder="0" applyAlignment="0" applyProtection="0">
      <alignment horizontal="right"/>
    </xf>
    <xf numFmtId="37" fontId="6" fillId="0" borderId="0"/>
    <xf numFmtId="0" fontId="38" fillId="0" borderId="0"/>
    <xf numFmtId="171" fontId="46" fillId="0" borderId="0"/>
    <xf numFmtId="172" fontId="40" fillId="0" borderId="0"/>
    <xf numFmtId="192" fontId="6" fillId="0" borderId="0"/>
    <xf numFmtId="193" fontId="6" fillId="0" borderId="0"/>
    <xf numFmtId="194" fontId="40" fillId="0" borderId="0">
      <alignment horizontal="right"/>
    </xf>
    <xf numFmtId="0" fontId="6" fillId="0" borderId="0"/>
    <xf numFmtId="192" fontId="6" fillId="0" borderId="0"/>
    <xf numFmtId="0" fontId="6" fillId="0" borderId="0"/>
    <xf numFmtId="0" fontId="96" fillId="0" borderId="0"/>
    <xf numFmtId="3" fontId="6" fillId="0" borderId="0"/>
    <xf numFmtId="3" fontId="6" fillId="0" borderId="0">
      <alignment horizontal="left"/>
    </xf>
    <xf numFmtId="0" fontId="47" fillId="0" borderId="0"/>
    <xf numFmtId="0" fontId="48" fillId="0" borderId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0" fontId="30" fillId="0" borderId="0" applyNumberFormat="0" applyFill="0" applyBorder="0" applyAlignment="0" applyProtection="0"/>
    <xf numFmtId="40" fontId="108" fillId="7" borderId="0">
      <alignment horizontal="right"/>
    </xf>
    <xf numFmtId="0" fontId="109" fillId="7" borderId="0">
      <alignment horizontal="right"/>
    </xf>
    <xf numFmtId="0" fontId="110" fillId="8" borderId="11"/>
    <xf numFmtId="0" fontId="111" fillId="0" borderId="0" applyBorder="0">
      <alignment horizontal="centerContinuous"/>
    </xf>
    <xf numFmtId="0" fontId="112" fillId="0" borderId="0" applyBorder="0">
      <alignment horizontal="centerContinuous"/>
    </xf>
    <xf numFmtId="1" fontId="50" fillId="0" borderId="0" applyProtection="0">
      <alignment horizontal="right" vertical="center"/>
    </xf>
    <xf numFmtId="0" fontId="28" fillId="0" borderId="0"/>
    <xf numFmtId="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/>
    <xf numFmtId="9" fontId="6" fillId="0" borderId="0" applyFont="0" applyFill="0" applyBorder="0" applyAlignment="0" applyProtection="0"/>
    <xf numFmtId="183" fontId="51" fillId="0" borderId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6" fillId="0" borderId="0" applyFill="0" applyBorder="0" applyAlignment="0"/>
    <xf numFmtId="0" fontId="106" fillId="0" borderId="0" applyFill="0" applyBorder="0" applyAlignment="0"/>
    <xf numFmtId="0" fontId="106" fillId="0" borderId="0" applyFill="0" applyBorder="0" applyAlignment="0"/>
    <xf numFmtId="0" fontId="6" fillId="0" borderId="0" applyFill="0" applyBorder="0" applyAlignment="0"/>
    <xf numFmtId="0" fontId="106" fillId="0" borderId="0" applyFill="0" applyBorder="0" applyAlignment="0"/>
    <xf numFmtId="0" fontId="44" fillId="0" borderId="0" applyNumberFormat="0" applyFont="0" applyFill="0" applyBorder="0" applyAlignment="0" applyProtection="0">
      <alignment horizontal="left"/>
    </xf>
    <xf numFmtId="15" fontId="44" fillId="0" borderId="0" applyFont="0" applyFill="0" applyBorder="0" applyAlignment="0" applyProtection="0"/>
    <xf numFmtId="4" fontId="44" fillId="0" borderId="0" applyFont="0" applyFill="0" applyBorder="0" applyAlignment="0" applyProtection="0"/>
    <xf numFmtId="0" fontId="6" fillId="0" borderId="12">
      <alignment horizontal="center"/>
    </xf>
    <xf numFmtId="3" fontId="44" fillId="0" borderId="0" applyFont="0" applyFill="0" applyBorder="0" applyAlignment="0" applyProtection="0"/>
    <xf numFmtId="0" fontId="44" fillId="9" borderId="0" applyNumberFormat="0" applyFont="0" applyBorder="0" applyAlignment="0" applyProtection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6" fillId="0" borderId="0"/>
    <xf numFmtId="3" fontId="25" fillId="0" borderId="0" applyFill="0" applyBorder="0" applyAlignment="0" applyProtection="0"/>
    <xf numFmtId="0" fontId="47" fillId="0" borderId="0">
      <alignment vertical="top"/>
    </xf>
    <xf numFmtId="184" fontId="52" fillId="0" borderId="0" applyFont="0" applyFill="0" applyBorder="0" applyAlignment="0" applyProtection="0">
      <alignment horizontal="right"/>
    </xf>
    <xf numFmtId="0" fontId="53" fillId="0" borderId="1" applyNumberFormat="0" applyFill="0" applyBorder="0" applyAlignment="0" applyProtection="0">
      <protection hidden="1"/>
    </xf>
    <xf numFmtId="0" fontId="79" fillId="10" borderId="10">
      <alignment horizontal="centerContinuous"/>
    </xf>
    <xf numFmtId="38" fontId="6" fillId="0" borderId="0"/>
    <xf numFmtId="0" fontId="10" fillId="11" borderId="13" applyNumberFormat="0" applyProtection="0">
      <alignment horizontal="left" vertical="center" indent="1"/>
    </xf>
    <xf numFmtId="236" fontId="91" fillId="12" borderId="13" applyProtection="0">
      <alignment horizontal="right" vertical="center"/>
    </xf>
    <xf numFmtId="185" fontId="6" fillId="0" borderId="0">
      <alignment horizontal="left"/>
    </xf>
    <xf numFmtId="185" fontId="6" fillId="0" borderId="0">
      <alignment horizontal="left"/>
    </xf>
    <xf numFmtId="0" fontId="6" fillId="0" borderId="0"/>
    <xf numFmtId="0" fontId="18" fillId="0" borderId="0" applyNumberFormat="0" applyFill="0" applyBorder="0" applyAlignment="0" applyProtection="0"/>
    <xf numFmtId="3" fontId="6" fillId="0" borderId="0"/>
    <xf numFmtId="3" fontId="6" fillId="0" borderId="0"/>
    <xf numFmtId="3" fontId="6" fillId="0" borderId="14"/>
    <xf numFmtId="174" fontId="10" fillId="0" borderId="15"/>
    <xf numFmtId="0" fontId="56" fillId="0" borderId="0" applyBorder="0" applyProtection="0">
      <alignment vertical="center"/>
    </xf>
    <xf numFmtId="198" fontId="56" fillId="0" borderId="2" applyBorder="0" applyProtection="0">
      <alignment horizontal="right" vertical="center"/>
    </xf>
    <xf numFmtId="0" fontId="57" fillId="13" borderId="0" applyBorder="0" applyProtection="0">
      <alignment horizontal="centerContinuous" vertical="center"/>
    </xf>
    <xf numFmtId="0" fontId="57" fillId="14" borderId="2" applyBorder="0" applyProtection="0">
      <alignment horizontal="centerContinuous" vertical="center"/>
    </xf>
    <xf numFmtId="0" fontId="58" fillId="0" borderId="0" applyFill="0" applyBorder="0" applyProtection="0">
      <alignment horizontal="left"/>
    </xf>
    <xf numFmtId="0" fontId="33" fillId="0" borderId="16" applyFill="0" applyBorder="0" applyProtection="0">
      <alignment horizontal="left" vertical="top"/>
    </xf>
    <xf numFmtId="0" fontId="6" fillId="0" borderId="0"/>
    <xf numFmtId="49" fontId="91" fillId="0" borderId="0" applyFill="0" applyBorder="0" applyAlignment="0"/>
    <xf numFmtId="0" fontId="38" fillId="0" borderId="0" applyFill="0" applyBorder="0" applyAlignment="0"/>
    <xf numFmtId="0" fontId="6" fillId="0" borderId="0" applyFill="0" applyBorder="0" applyAlignment="0"/>
    <xf numFmtId="0" fontId="6" fillId="0" borderId="0" applyNumberFormat="0" applyFill="0" applyBorder="0" applyAlignment="0" applyProtection="0">
      <alignment horizontal="centerContinuous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horizontal="centerContinuous"/>
    </xf>
    <xf numFmtId="170" fontId="59" fillId="0" borderId="0">
      <alignment horizontal="center"/>
    </xf>
    <xf numFmtId="0" fontId="6" fillId="0" borderId="0">
      <alignment horizontal="center"/>
    </xf>
    <xf numFmtId="0" fontId="6" fillId="0" borderId="0" applyNumberFormat="0" applyFill="0" applyBorder="0" applyAlignment="0" applyProtection="0"/>
    <xf numFmtId="185" fontId="6" fillId="15" borderId="0" applyFill="0" applyBorder="0" applyAlignment="0" applyProtection="0">
      <alignment horizontal="left"/>
    </xf>
    <xf numFmtId="0" fontId="10" fillId="0" borderId="0"/>
    <xf numFmtId="0" fontId="60" fillId="2" borderId="1"/>
    <xf numFmtId="3" fontId="61" fillId="0" borderId="15"/>
    <xf numFmtId="226" fontId="7" fillId="0" borderId="0"/>
    <xf numFmtId="38" fontId="7" fillId="16" borderId="0" applyNumberFormat="0" applyBorder="0" applyAlignment="0" applyProtection="0"/>
    <xf numFmtId="37" fontId="7" fillId="16" borderId="0" applyNumberFormat="0" applyBorder="0" applyAlignment="0" applyProtection="0"/>
    <xf numFmtId="37" fontId="7" fillId="0" borderId="0"/>
    <xf numFmtId="37" fontId="7" fillId="16" borderId="0" applyBorder="0" applyAlignment="0" applyProtection="0"/>
    <xf numFmtId="3" fontId="113" fillId="0" borderId="17" applyProtection="0"/>
    <xf numFmtId="164" fontId="44" fillId="0" borderId="0" applyFont="0" applyFill="0" applyBorder="0" applyAlignment="0" applyProtection="0"/>
    <xf numFmtId="181" fontId="6" fillId="0" borderId="0" applyFont="0" applyFill="0" applyBorder="0" applyAlignment="0" applyProtection="0"/>
    <xf numFmtId="191" fontId="47" fillId="0" borderId="0" applyFont="0" applyFill="0" applyBorder="0" applyAlignment="0" applyProtection="0"/>
    <xf numFmtId="0" fontId="6" fillId="0" borderId="0">
      <alignment horizontal="right"/>
    </xf>
    <xf numFmtId="0" fontId="62" fillId="17" borderId="18" applyNumberFormat="0" applyFont="0" applyBorder="0" applyAlignment="0" applyProtection="0">
      <alignment horizontal="right"/>
    </xf>
    <xf numFmtId="0" fontId="16" fillId="0" borderId="0"/>
    <xf numFmtId="41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2" fillId="0" borderId="0"/>
    <xf numFmtId="178" fontId="63" fillId="0" borderId="0" applyFont="0" applyFill="0" applyBorder="0" applyAlignment="0" applyProtection="0"/>
    <xf numFmtId="164" fontId="64" fillId="0" borderId="0" applyFont="0" applyFill="0" applyBorder="0" applyAlignment="0" applyProtection="0"/>
    <xf numFmtId="179" fontId="63" fillId="0" borderId="0" applyFont="0" applyFill="0" applyBorder="0" applyAlignment="0" applyProtection="0"/>
    <xf numFmtId="167" fontId="6" fillId="0" borderId="0" applyFont="0" applyFill="0" applyBorder="0" applyAlignment="0" applyProtection="0"/>
    <xf numFmtId="37" fontId="28" fillId="0" borderId="0"/>
    <xf numFmtId="0" fontId="6" fillId="0" borderId="0"/>
    <xf numFmtId="0" fontId="47" fillId="0" borderId="0"/>
    <xf numFmtId="239" fontId="6" fillId="0" borderId="0" applyFont="0" applyFill="0" applyBorder="0" applyAlignment="0" applyProtection="0"/>
    <xf numFmtId="0" fontId="6" fillId="4" borderId="0"/>
    <xf numFmtId="0" fontId="6" fillId="27" borderId="0" applyNumberFormat="0" applyFont="0" applyAlignment="0" applyProtection="0"/>
    <xf numFmtId="0" fontId="141" fillId="0" borderId="0" applyNumberFormat="0" applyFill="0" applyBorder="0" applyProtection="0">
      <alignment vertical="top"/>
    </xf>
    <xf numFmtId="0" fontId="142" fillId="0" borderId="36" applyNumberFormat="0" applyFill="0" applyProtection="0">
      <alignment horizontal="center"/>
    </xf>
    <xf numFmtId="0" fontId="142" fillId="0" borderId="0" applyNumberFormat="0" applyFill="0" applyBorder="0" applyProtection="0">
      <alignment horizontal="left"/>
    </xf>
    <xf numFmtId="240" fontId="6" fillId="0" borderId="0"/>
    <xf numFmtId="169" fontId="52" fillId="0" borderId="0"/>
    <xf numFmtId="241" fontId="47" fillId="0" borderId="0"/>
    <xf numFmtId="242" fontId="47" fillId="0" borderId="11"/>
    <xf numFmtId="243" fontId="47" fillId="0" borderId="2"/>
    <xf numFmtId="243" fontId="47" fillId="0" borderId="24" applyBorder="0"/>
    <xf numFmtId="0" fontId="143" fillId="0" borderId="12" applyNumberFormat="0" applyFont="0" applyFill="0" applyAlignment="0" applyProtection="0"/>
    <xf numFmtId="0" fontId="143" fillId="0" borderId="37" applyNumberFormat="0" applyFont="0" applyFill="0" applyAlignment="0" applyProtection="0"/>
    <xf numFmtId="244" fontId="6" fillId="0" borderId="0"/>
    <xf numFmtId="245" fontId="6" fillId="0" borderId="0" applyFont="0" applyFill="0" applyBorder="0" applyAlignment="0" applyProtection="0"/>
    <xf numFmtId="40" fontId="144" fillId="0" borderId="0" applyFont="0" applyFill="0" applyBorder="0" applyAlignment="0" applyProtection="0">
      <alignment horizontal="center"/>
    </xf>
    <xf numFmtId="246" fontId="6" fillId="0" borderId="0" applyFont="0" applyFill="0" applyBorder="0" applyAlignment="0" applyProtection="0">
      <alignment horizontal="center"/>
    </xf>
    <xf numFmtId="170" fontId="6" fillId="0" borderId="0" applyFont="0" applyFill="0" applyBorder="0" applyAlignment="0" applyProtection="0"/>
    <xf numFmtId="202" fontId="47" fillId="0" borderId="0" applyFont="0" applyFill="0" applyBorder="0" applyAlignment="0" applyProtection="0"/>
    <xf numFmtId="247" fontId="47" fillId="0" borderId="0" applyFont="0" applyFill="0" applyBorder="0" applyAlignment="0" applyProtection="0"/>
    <xf numFmtId="185" fontId="145" fillId="0" borderId="0"/>
    <xf numFmtId="165" fontId="146" fillId="0" borderId="0" applyNumberFormat="0" applyFill="0" applyBorder="0" applyAlignment="0"/>
    <xf numFmtId="192" fontId="143" fillId="0" borderId="0" applyFont="0" applyFill="0" applyBorder="0" applyProtection="0">
      <alignment horizontal="right"/>
    </xf>
    <xf numFmtId="248" fontId="6" fillId="0" borderId="0" applyFont="0" applyFill="0" applyBorder="0" applyProtection="0">
      <alignment horizontal="right"/>
    </xf>
    <xf numFmtId="1" fontId="147" fillId="28" borderId="23" applyNumberFormat="0" applyBorder="0" applyAlignment="0">
      <alignment horizontal="centerContinuous" vertical="center"/>
      <protection locked="0"/>
    </xf>
    <xf numFmtId="0" fontId="148" fillId="0" borderId="0">
      <alignment horizontal="left"/>
    </xf>
    <xf numFmtId="0" fontId="149" fillId="0" borderId="0" applyNumberFormat="0" applyFill="0" applyBorder="0" applyAlignment="0" applyProtection="0"/>
    <xf numFmtId="0" fontId="150" fillId="0" borderId="0"/>
    <xf numFmtId="0" fontId="47" fillId="0" borderId="0"/>
    <xf numFmtId="166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249" fontId="6" fillId="0" borderId="0" applyFont="0" applyFill="0" applyBorder="0" applyAlignment="0" applyProtection="0"/>
    <xf numFmtId="250" fontId="6" fillId="0" borderId="0" applyFont="0" applyFill="0" applyBorder="0" applyAlignment="0" applyProtection="0"/>
    <xf numFmtId="251" fontId="6" fillId="0" borderId="0" applyFill="0" applyBorder="0" applyProtection="0">
      <alignment horizontal="right"/>
    </xf>
    <xf numFmtId="252" fontId="6" fillId="0" borderId="0" applyFill="0" applyBorder="0" applyProtection="0">
      <alignment horizontal="right"/>
    </xf>
    <xf numFmtId="253" fontId="47" fillId="0" borderId="0"/>
    <xf numFmtId="0" fontId="24" fillId="7" borderId="0" applyNumberFormat="0" applyFont="0" applyAlignment="0">
      <alignment horizontal="centerContinuous"/>
    </xf>
    <xf numFmtId="0" fontId="151" fillId="0" borderId="0" applyFill="0" applyBorder="0" applyProtection="0">
      <alignment horizontal="left"/>
    </xf>
    <xf numFmtId="0" fontId="152" fillId="0" borderId="0" applyFill="0" applyBorder="0" applyProtection="0">
      <alignment horizontal="left"/>
    </xf>
    <xf numFmtId="0" fontId="153" fillId="0" borderId="0" applyFont="0" applyFill="0" applyBorder="0" applyAlignment="0" applyProtection="0"/>
    <xf numFmtId="254" fontId="143" fillId="0" borderId="0" applyFont="0" applyFill="0" applyBorder="0" applyProtection="0">
      <alignment horizontal="right"/>
    </xf>
    <xf numFmtId="9" fontId="6" fillId="0" borderId="0" applyFont="0" applyFill="0" applyBorder="0" applyAlignment="0" applyProtection="0"/>
    <xf numFmtId="255" fontId="6" fillId="0" borderId="0"/>
    <xf numFmtId="0" fontId="154" fillId="0" borderId="0"/>
    <xf numFmtId="0" fontId="154" fillId="0" borderId="38">
      <alignment horizontal="right"/>
    </xf>
    <xf numFmtId="218" fontId="6" fillId="4" borderId="0" applyBorder="0" applyAlignment="0">
      <protection hidden="1"/>
    </xf>
    <xf numFmtId="1" fontId="155" fillId="4" borderId="0">
      <alignment horizontal="center"/>
    </xf>
    <xf numFmtId="0" fontId="47" fillId="29" borderId="0" applyNumberFormat="0" applyFont="0" applyBorder="0" applyAlignment="0" applyProtection="0"/>
    <xf numFmtId="220" fontId="47" fillId="0" borderId="0"/>
    <xf numFmtId="0" fontId="156" fillId="0" borderId="0"/>
    <xf numFmtId="0" fontId="157" fillId="0" borderId="0" applyFill="0" applyBorder="0" applyProtection="0">
      <alignment horizontal="center" vertical="center"/>
    </xf>
    <xf numFmtId="0" fontId="157" fillId="0" borderId="0" applyFill="0" applyBorder="0" applyProtection="0"/>
    <xf numFmtId="218" fontId="6" fillId="4" borderId="16" applyBorder="0">
      <alignment horizontal="right" vertical="center"/>
      <protection locked="0"/>
    </xf>
    <xf numFmtId="1" fontId="158" fillId="0" borderId="0">
      <alignment horizontal="right"/>
    </xf>
    <xf numFmtId="0" fontId="47" fillId="0" borderId="0"/>
    <xf numFmtId="0" fontId="5" fillId="0" borderId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61" fillId="32" borderId="0" applyNumberFormat="0" applyBorder="0" applyAlignment="0" applyProtection="0"/>
    <xf numFmtId="0" fontId="161" fillId="33" borderId="0" applyNumberFormat="0" applyBorder="0" applyAlignment="0" applyProtection="0"/>
    <xf numFmtId="0" fontId="161" fillId="34" borderId="0" applyNumberFormat="0" applyBorder="0" applyAlignment="0" applyProtection="0"/>
    <xf numFmtId="0" fontId="161" fillId="35" borderId="0" applyNumberFormat="0" applyBorder="0" applyAlignment="0" applyProtection="0"/>
    <xf numFmtId="0" fontId="161" fillId="34" borderId="0" applyNumberFormat="0" applyBorder="0" applyAlignment="0" applyProtection="0"/>
    <xf numFmtId="0" fontId="161" fillId="33" borderId="0" applyNumberFormat="0" applyBorder="0" applyAlignment="0" applyProtection="0"/>
    <xf numFmtId="0" fontId="161" fillId="32" borderId="0" applyNumberFormat="0" applyBorder="0" applyAlignment="0" applyProtection="0"/>
    <xf numFmtId="0" fontId="161" fillId="33" borderId="0" applyNumberFormat="0" applyBorder="0" applyAlignment="0" applyProtection="0"/>
    <xf numFmtId="0" fontId="161" fillId="34" borderId="0" applyNumberFormat="0" applyBorder="0" applyAlignment="0" applyProtection="0"/>
    <xf numFmtId="0" fontId="161" fillId="36" borderId="0" applyNumberFormat="0" applyBorder="0" applyAlignment="0" applyProtection="0"/>
    <xf numFmtId="0" fontId="161" fillId="34" borderId="0" applyNumberFormat="0" applyBorder="0" applyAlignment="0" applyProtection="0"/>
    <xf numFmtId="0" fontId="161" fillId="33" borderId="0" applyNumberFormat="0" applyBorder="0" applyAlignment="0" applyProtection="0"/>
    <xf numFmtId="0" fontId="162" fillId="37" borderId="0" applyNumberFormat="0" applyBorder="0" applyAlignment="0" applyProtection="0"/>
    <xf numFmtId="0" fontId="162" fillId="33" borderId="0" applyNumberFormat="0" applyBorder="0" applyAlignment="0" applyProtection="0"/>
    <xf numFmtId="0" fontId="162" fillId="38" borderId="0" applyNumberFormat="0" applyBorder="0" applyAlignment="0" applyProtection="0"/>
    <xf numFmtId="0" fontId="162" fillId="36" borderId="0" applyNumberFormat="0" applyBorder="0" applyAlignment="0" applyProtection="0"/>
    <xf numFmtId="0" fontId="162" fillId="38" borderId="0" applyNumberFormat="0" applyBorder="0" applyAlignment="0" applyProtection="0"/>
    <xf numFmtId="0" fontId="162" fillId="33" borderId="0" applyNumberFormat="0" applyBorder="0" applyAlignment="0" applyProtection="0"/>
    <xf numFmtId="0" fontId="163" fillId="34" borderId="0" applyNumberFormat="0" applyBorder="0" applyAlignment="0" applyProtection="0"/>
    <xf numFmtId="0" fontId="164" fillId="35" borderId="39" applyNumberFormat="0" applyAlignment="0" applyProtection="0"/>
    <xf numFmtId="0" fontId="165" fillId="39" borderId="40" applyNumberFormat="0" applyAlignment="0" applyProtection="0"/>
    <xf numFmtId="0" fontId="166" fillId="0" borderId="41" applyNumberFormat="0" applyFill="0" applyAlignment="0" applyProtection="0"/>
    <xf numFmtId="0" fontId="162" fillId="40" borderId="0" applyNumberFormat="0" applyBorder="0" applyAlignment="0" applyProtection="0"/>
    <xf numFmtId="0" fontId="162" fillId="33" borderId="0" applyNumberFormat="0" applyBorder="0" applyAlignment="0" applyProtection="0"/>
    <xf numFmtId="0" fontId="162" fillId="41" borderId="0" applyNumberFormat="0" applyBorder="0" applyAlignment="0" applyProtection="0"/>
    <xf numFmtId="0" fontId="162" fillId="39" borderId="0" applyNumberFormat="0" applyBorder="0" applyAlignment="0" applyProtection="0"/>
    <xf numFmtId="0" fontId="162" fillId="40" borderId="0" applyNumberFormat="0" applyBorder="0" applyAlignment="0" applyProtection="0"/>
    <xf numFmtId="0" fontId="162" fillId="33" borderId="0" applyNumberFormat="0" applyBorder="0" applyAlignment="0" applyProtection="0"/>
    <xf numFmtId="0" fontId="161" fillId="33" borderId="39" applyNumberFormat="0" applyAlignment="0" applyProtection="0"/>
    <xf numFmtId="0" fontId="19" fillId="0" borderId="0" applyNumberFormat="0" applyFill="0" applyBorder="0" applyAlignment="0" applyProtection="0"/>
    <xf numFmtId="0" fontId="167" fillId="42" borderId="0" applyNumberFormat="0" applyBorder="0" applyAlignment="0" applyProtection="0"/>
    <xf numFmtId="0" fontId="166" fillId="41" borderId="0" applyNumberFormat="0" applyBorder="0" applyAlignment="0" applyProtection="0"/>
    <xf numFmtId="0" fontId="6" fillId="41" borderId="42" applyNumberFormat="0" applyFont="0" applyAlignment="0" applyProtection="0"/>
    <xf numFmtId="0" fontId="168" fillId="35" borderId="43" applyNumberFormat="0" applyAlignment="0" applyProtection="0"/>
    <xf numFmtId="167" fontId="4" fillId="0" borderId="0" applyFon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2" fillId="0" borderId="44" applyNumberFormat="0" applyFill="0" applyAlignment="0" applyProtection="0"/>
    <xf numFmtId="0" fontId="173" fillId="0" borderId="45" applyNumberFormat="0" applyFill="0" applyAlignment="0" applyProtection="0"/>
    <xf numFmtId="0" fontId="173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0" fontId="3" fillId="0" borderId="0"/>
    <xf numFmtId="167" fontId="2" fillId="0" borderId="0" applyFont="0" applyFill="0" applyBorder="0" applyAlignment="0" applyProtection="0"/>
    <xf numFmtId="0" fontId="1" fillId="0" borderId="0"/>
    <xf numFmtId="0" fontId="1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0">
    <xf numFmtId="0" fontId="0" fillId="0" borderId="0" xfId="0"/>
    <xf numFmtId="168" fontId="0" fillId="0" borderId="19" xfId="0" applyNumberForma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0" borderId="0" xfId="0" applyFont="1"/>
    <xf numFmtId="166" fontId="13" fillId="0" borderId="0" xfId="0" applyNumberFormat="1" applyFont="1"/>
    <xf numFmtId="10" fontId="15" fillId="0" borderId="0" xfId="186" applyNumberFormat="1" applyFont="1" applyFill="1" applyBorder="1" applyAlignment="1">
      <alignment horizontal="right"/>
    </xf>
    <xf numFmtId="166" fontId="0" fillId="0" borderId="0" xfId="0" applyNumberFormat="1" applyAlignment="1">
      <alignment horizontal="right"/>
    </xf>
    <xf numFmtId="10" fontId="16" fillId="0" borderId="0" xfId="186" applyNumberFormat="1" applyFont="1" applyFill="1" applyBorder="1" applyAlignment="1">
      <alignment horizontal="right"/>
    </xf>
    <xf numFmtId="167" fontId="0" fillId="0" borderId="0" xfId="35" applyFont="1"/>
    <xf numFmtId="10" fontId="14" fillId="0" borderId="0" xfId="186" applyNumberFormat="1" applyFont="1" applyFill="1" applyBorder="1" applyAlignment="1">
      <alignment horizontal="right"/>
    </xf>
    <xf numFmtId="10" fontId="6" fillId="0" borderId="0" xfId="186" applyNumberFormat="1" applyFont="1" applyFill="1" applyBorder="1" applyAlignment="1">
      <alignment horizontal="right"/>
    </xf>
    <xf numFmtId="0" fontId="0" fillId="0" borderId="19" xfId="0" applyBorder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65" fillId="0" borderId="19" xfId="0" applyFont="1" applyBorder="1"/>
    <xf numFmtId="0" fontId="16" fillId="0" borderId="0" xfId="0" applyFont="1"/>
    <xf numFmtId="0" fontId="0" fillId="0" borderId="0" xfId="0" applyAlignment="1">
      <alignment horizontal="left" indent="1"/>
    </xf>
    <xf numFmtId="0" fontId="16" fillId="0" borderId="0" xfId="0" applyFont="1" applyAlignment="1">
      <alignment horizontal="left" indent="1"/>
    </xf>
    <xf numFmtId="0" fontId="13" fillId="0" borderId="0" xfId="0" applyFont="1" applyAlignment="1">
      <alignment horizontal="left" indent="2"/>
    </xf>
    <xf numFmtId="210" fontId="0" fillId="0" borderId="0" xfId="0" applyNumberFormat="1"/>
    <xf numFmtId="10" fontId="15" fillId="0" borderId="0" xfId="186" applyNumberFormat="1" applyFont="1" applyFill="1" applyAlignment="1">
      <alignment horizontal="right"/>
    </xf>
    <xf numFmtId="10" fontId="15" fillId="0" borderId="20" xfId="186" applyNumberFormat="1" applyFont="1" applyFill="1" applyBorder="1" applyAlignment="1">
      <alignment horizontal="right"/>
    </xf>
    <xf numFmtId="0" fontId="13" fillId="0" borderId="0" xfId="0" applyFont="1" applyAlignment="1">
      <alignment horizontal="left" indent="1"/>
    </xf>
    <xf numFmtId="0" fontId="0" fillId="0" borderId="8" xfId="0" applyBorder="1"/>
    <xf numFmtId="211" fontId="0" fillId="0" borderId="0" xfId="0" applyNumberFormat="1"/>
    <xf numFmtId="0" fontId="10" fillId="0" borderId="21" xfId="0" applyFont="1" applyBorder="1"/>
    <xf numFmtId="166" fontId="0" fillId="0" borderId="0" xfId="0" applyNumberFormat="1"/>
    <xf numFmtId="166" fontId="16" fillId="0" borderId="0" xfId="0" applyNumberFormat="1" applyFont="1"/>
    <xf numFmtId="166" fontId="10" fillId="0" borderId="0" xfId="0" applyNumberFormat="1" applyFont="1"/>
    <xf numFmtId="166" fontId="10" fillId="0" borderId="8" xfId="0" applyNumberFormat="1" applyFont="1" applyBorder="1"/>
    <xf numFmtId="166" fontId="16" fillId="0" borderId="0" xfId="186" applyNumberFormat="1" applyFont="1" applyFill="1" applyAlignment="1">
      <alignment horizontal="right"/>
    </xf>
    <xf numFmtId="166" fontId="16" fillId="0" borderId="20" xfId="186" applyNumberFormat="1" applyFont="1" applyFill="1" applyBorder="1" applyAlignment="1">
      <alignment horizontal="right"/>
    </xf>
    <xf numFmtId="166" fontId="10" fillId="0" borderId="8" xfId="186" applyNumberFormat="1" applyFont="1" applyFill="1" applyBorder="1" applyAlignment="1">
      <alignment horizontal="right"/>
    </xf>
    <xf numFmtId="166" fontId="10" fillId="0" borderId="0" xfId="186" applyNumberFormat="1" applyFont="1" applyFill="1" applyAlignment="1">
      <alignment horizontal="right"/>
    </xf>
    <xf numFmtId="174" fontId="0" fillId="0" borderId="0" xfId="35" applyNumberFormat="1" applyFont="1"/>
    <xf numFmtId="10" fontId="0" fillId="0" borderId="0" xfId="186" applyNumberFormat="1" applyFont="1"/>
    <xf numFmtId="0" fontId="0" fillId="0" borderId="0" xfId="0" applyAlignment="1">
      <alignment horizontal="right"/>
    </xf>
    <xf numFmtId="168" fontId="0" fillId="0" borderId="0" xfId="0" applyNumberFormat="1" applyAlignment="1">
      <alignment horizontal="center"/>
    </xf>
    <xf numFmtId="0" fontId="13" fillId="0" borderId="0" xfId="0" applyFont="1"/>
    <xf numFmtId="10" fontId="0" fillId="0" borderId="0" xfId="186" applyNumberFormat="1" applyFont="1" applyBorder="1"/>
    <xf numFmtId="174" fontId="10" fillId="0" borderId="0" xfId="35" applyNumberFormat="1" applyFont="1" applyBorder="1"/>
    <xf numFmtId="169" fontId="16" fillId="0" borderId="0" xfId="186" applyNumberFormat="1" applyFont="1" applyBorder="1" applyAlignment="1">
      <alignment horizontal="right"/>
    </xf>
    <xf numFmtId="174" fontId="10" fillId="0" borderId="8" xfId="35" applyNumberFormat="1" applyFont="1" applyFill="1" applyBorder="1" applyAlignment="1">
      <alignment horizontal="right"/>
    </xf>
    <xf numFmtId="174" fontId="0" fillId="0" borderId="0" xfId="0" applyNumberFormat="1"/>
    <xf numFmtId="174" fontId="0" fillId="0" borderId="0" xfId="35" applyNumberFormat="1" applyFont="1" applyBorder="1"/>
    <xf numFmtId="174" fontId="16" fillId="0" borderId="0" xfId="35" applyNumberFormat="1" applyFont="1" applyFill="1" applyBorder="1" applyAlignment="1">
      <alignment horizontal="right"/>
    </xf>
    <xf numFmtId="169" fontId="0" fillId="0" borderId="0" xfId="186" applyNumberFormat="1" applyFont="1" applyBorder="1" applyAlignment="1">
      <alignment horizontal="center"/>
    </xf>
    <xf numFmtId="174" fontId="10" fillId="0" borderId="20" xfId="35" applyNumberFormat="1" applyFont="1" applyFill="1" applyBorder="1" applyAlignment="1">
      <alignment horizontal="right"/>
    </xf>
    <xf numFmtId="10" fontId="15" fillId="18" borderId="0" xfId="186" applyNumberFormat="1" applyFont="1" applyFill="1" applyBorder="1" applyAlignment="1">
      <alignment horizontal="right"/>
    </xf>
    <xf numFmtId="166" fontId="6" fillId="0" borderId="0" xfId="0" applyNumberFormat="1" applyFont="1"/>
    <xf numFmtId="174" fontId="66" fillId="18" borderId="0" xfId="35" applyNumberFormat="1" applyFont="1" applyFill="1" applyAlignment="1">
      <alignment horizontal="center"/>
    </xf>
    <xf numFmtId="166" fontId="13" fillId="0" borderId="0" xfId="0" applyNumberFormat="1" applyFont="1" applyAlignment="1">
      <alignment horizontal="right"/>
    </xf>
    <xf numFmtId="166" fontId="13" fillId="0" borderId="20" xfId="0" applyNumberFormat="1" applyFont="1" applyBorder="1" applyAlignment="1">
      <alignment horizontal="right"/>
    </xf>
    <xf numFmtId="10" fontId="66" fillId="0" borderId="0" xfId="186" applyNumberFormat="1" applyFont="1" applyFill="1" applyAlignment="1">
      <alignment horizontal="right"/>
    </xf>
    <xf numFmtId="174" fontId="66" fillId="0" borderId="0" xfId="35" applyNumberFormat="1" applyFont="1" applyFill="1" applyAlignment="1">
      <alignment horizontal="right"/>
    </xf>
    <xf numFmtId="10" fontId="66" fillId="0" borderId="20" xfId="186" applyNumberFormat="1" applyFont="1" applyFill="1" applyBorder="1" applyAlignment="1">
      <alignment horizontal="right"/>
    </xf>
    <xf numFmtId="166" fontId="16" fillId="0" borderId="0" xfId="186" applyNumberFormat="1" applyFont="1" applyFill="1" applyBorder="1" applyAlignment="1">
      <alignment horizontal="right"/>
    </xf>
    <xf numFmtId="166" fontId="10" fillId="0" borderId="0" xfId="186" applyNumberFormat="1" applyFont="1" applyFill="1" applyBorder="1" applyAlignment="1">
      <alignment horizontal="right"/>
    </xf>
    <xf numFmtId="169" fontId="15" fillId="0" borderId="0" xfId="0" applyNumberFormat="1" applyFont="1"/>
    <xf numFmtId="211" fontId="15" fillId="0" borderId="0" xfId="186" applyNumberFormat="1" applyFont="1" applyFill="1" applyBorder="1" applyAlignment="1">
      <alignment horizontal="right"/>
    </xf>
    <xf numFmtId="166" fontId="16" fillId="0" borderId="8" xfId="186" applyNumberFormat="1" applyFont="1" applyFill="1" applyBorder="1" applyAlignment="1">
      <alignment horizontal="right"/>
    </xf>
    <xf numFmtId="211" fontId="15" fillId="0" borderId="8" xfId="186" applyNumberFormat="1" applyFont="1" applyFill="1" applyBorder="1" applyAlignment="1">
      <alignment horizontal="right"/>
    </xf>
    <xf numFmtId="166" fontId="16" fillId="0" borderId="8" xfId="0" applyNumberFormat="1" applyFont="1" applyBorder="1"/>
    <xf numFmtId="10" fontId="15" fillId="0" borderId="8" xfId="186" applyNumberFormat="1" applyFont="1" applyFill="1" applyBorder="1" applyAlignment="1">
      <alignment horizontal="right"/>
    </xf>
    <xf numFmtId="10" fontId="15" fillId="0" borderId="22" xfId="186" applyNumberFormat="1" applyFont="1" applyFill="1" applyBorder="1" applyAlignment="1">
      <alignment horizontal="right"/>
    </xf>
    <xf numFmtId="166" fontId="10" fillId="0" borderId="0" xfId="35" applyNumberFormat="1" applyFont="1" applyFill="1"/>
    <xf numFmtId="166" fontId="10" fillId="0" borderId="0" xfId="186" applyNumberFormat="1" applyFont="1" applyFill="1" applyAlignment="1">
      <alignment horizontal="center"/>
    </xf>
    <xf numFmtId="166" fontId="10" fillId="0" borderId="0" xfId="35" applyNumberFormat="1" applyFont="1"/>
    <xf numFmtId="166" fontId="10" fillId="0" borderId="0" xfId="35" applyNumberFormat="1" applyFont="1" applyFill="1" applyBorder="1"/>
    <xf numFmtId="166" fontId="15" fillId="0" borderId="0" xfId="186" applyNumberFormat="1" applyFont="1" applyFill="1" applyAlignment="1">
      <alignment horizontal="right"/>
    </xf>
    <xf numFmtId="166" fontId="15" fillId="0" borderId="20" xfId="186" applyNumberFormat="1" applyFont="1" applyFill="1" applyBorder="1" applyAlignment="1">
      <alignment horizontal="right"/>
    </xf>
    <xf numFmtId="10" fontId="10" fillId="18" borderId="0" xfId="186" applyNumberFormat="1" applyFont="1" applyFill="1" applyAlignment="1">
      <alignment horizontal="center"/>
    </xf>
    <xf numFmtId="174" fontId="10" fillId="0" borderId="0" xfId="35" applyNumberFormat="1" applyFont="1" applyFill="1" applyAlignment="1">
      <alignment horizontal="right"/>
    </xf>
    <xf numFmtId="10" fontId="10" fillId="0" borderId="0" xfId="186" applyNumberFormat="1" applyFont="1" applyFill="1" applyAlignment="1">
      <alignment horizontal="right"/>
    </xf>
    <xf numFmtId="41" fontId="0" fillId="0" borderId="0" xfId="0" applyNumberFormat="1"/>
    <xf numFmtId="41" fontId="10" fillId="0" borderId="0" xfId="35" applyNumberFormat="1" applyFont="1" applyFill="1"/>
    <xf numFmtId="10" fontId="14" fillId="0" borderId="0" xfId="186" applyNumberFormat="1" applyFont="1" applyAlignment="1">
      <alignment horizontal="right"/>
    </xf>
    <xf numFmtId="168" fontId="16" fillId="0" borderId="0" xfId="186" applyNumberFormat="1" applyFont="1" applyFill="1" applyBorder="1" applyAlignment="1">
      <alignment horizontal="center"/>
    </xf>
    <xf numFmtId="169" fontId="0" fillId="0" borderId="0" xfId="186" applyNumberFormat="1" applyFont="1"/>
    <xf numFmtId="211" fontId="16" fillId="0" borderId="0" xfId="0" applyNumberFormat="1" applyFont="1"/>
    <xf numFmtId="169" fontId="0" fillId="0" borderId="0" xfId="186" applyNumberFormat="1" applyFont="1" applyFill="1"/>
    <xf numFmtId="211" fontId="16" fillId="0" borderId="0" xfId="186" applyNumberFormat="1" applyFont="1" applyFill="1" applyBorder="1" applyAlignment="1">
      <alignment horizontal="right"/>
    </xf>
    <xf numFmtId="174" fontId="15" fillId="0" borderId="0" xfId="35" applyNumberFormat="1" applyFont="1" applyFill="1" applyBorder="1" applyAlignment="1">
      <alignment horizontal="right"/>
    </xf>
    <xf numFmtId="169" fontId="15" fillId="0" borderId="0" xfId="186" applyNumberFormat="1" applyFont="1" applyFill="1" applyBorder="1" applyAlignment="1">
      <alignment horizontal="right"/>
    </xf>
    <xf numFmtId="169" fontId="13" fillId="0" borderId="0" xfId="186" applyNumberFormat="1" applyFont="1" applyAlignment="1">
      <alignment horizontal="right"/>
    </xf>
    <xf numFmtId="169" fontId="70" fillId="0" borderId="0" xfId="186" applyNumberFormat="1" applyFont="1" applyAlignment="1">
      <alignment horizontal="right"/>
    </xf>
    <xf numFmtId="174" fontId="0" fillId="0" borderId="0" xfId="35" applyNumberFormat="1" applyFont="1" applyFill="1"/>
    <xf numFmtId="10" fontId="13" fillId="0" borderId="0" xfId="186" applyNumberFormat="1" applyFont="1" applyFill="1" applyAlignment="1">
      <alignment horizontal="right"/>
    </xf>
    <xf numFmtId="169" fontId="0" fillId="0" borderId="0" xfId="0" applyNumberFormat="1"/>
    <xf numFmtId="0" fontId="72" fillId="0" borderId="0" xfId="0" applyFont="1"/>
    <xf numFmtId="0" fontId="72" fillId="0" borderId="0" xfId="0" quotePrefix="1" applyFont="1"/>
    <xf numFmtId="0" fontId="12" fillId="0" borderId="0" xfId="0" applyFont="1" applyAlignment="1">
      <alignment horizontal="center"/>
    </xf>
    <xf numFmtId="0" fontId="11" fillId="0" borderId="0" xfId="0" applyFont="1"/>
    <xf numFmtId="3" fontId="10" fillId="0" borderId="0" xfId="0" applyNumberFormat="1" applyFont="1" applyAlignment="1">
      <alignment horizontal="center"/>
    </xf>
    <xf numFmtId="167" fontId="0" fillId="0" borderId="0" xfId="35" applyFont="1" applyBorder="1" applyAlignment="1">
      <alignment horizontal="center"/>
    </xf>
    <xf numFmtId="174" fontId="0" fillId="0" borderId="0" xfId="35" applyNumberFormat="1" applyFont="1" applyBorder="1" applyAlignment="1">
      <alignment horizontal="center"/>
    </xf>
    <xf numFmtId="211" fontId="68" fillId="0" borderId="0" xfId="186" applyNumberFormat="1" applyFont="1" applyFill="1" applyBorder="1" applyAlignment="1">
      <alignment horizontal="right"/>
    </xf>
    <xf numFmtId="169" fontId="68" fillId="0" borderId="0" xfId="186" applyNumberFormat="1" applyFont="1" applyFill="1" applyBorder="1" applyAlignment="1">
      <alignment horizontal="right"/>
    </xf>
    <xf numFmtId="17" fontId="0" fillId="0" borderId="0" xfId="0" applyNumberFormat="1"/>
    <xf numFmtId="9" fontId="0" fillId="0" borderId="0" xfId="0" applyNumberFormat="1"/>
    <xf numFmtId="10" fontId="0" fillId="0" borderId="0" xfId="0" applyNumberFormat="1"/>
    <xf numFmtId="214" fontId="0" fillId="0" borderId="0" xfId="35" applyNumberFormat="1" applyFont="1"/>
    <xf numFmtId="169" fontId="70" fillId="0" borderId="0" xfId="186" applyNumberFormat="1" applyFont="1" applyFill="1" applyBorder="1" applyAlignment="1">
      <alignment horizontal="right"/>
    </xf>
    <xf numFmtId="174" fontId="10" fillId="0" borderId="0" xfId="35" applyNumberFormat="1" applyFont="1" applyFill="1" applyBorder="1"/>
    <xf numFmtId="174" fontId="0" fillId="0" borderId="0" xfId="35" applyNumberFormat="1" applyFont="1" applyFill="1" applyBorder="1"/>
    <xf numFmtId="0" fontId="67" fillId="0" borderId="21" xfId="0" applyFont="1" applyBorder="1" applyAlignment="1">
      <alignment horizontal="left" indent="1"/>
    </xf>
    <xf numFmtId="0" fontId="13" fillId="0" borderId="8" xfId="0" applyFont="1" applyBorder="1"/>
    <xf numFmtId="41" fontId="10" fillId="0" borderId="0" xfId="35" applyNumberFormat="1" applyFont="1" applyBorder="1"/>
    <xf numFmtId="41" fontId="10" fillId="0" borderId="8" xfId="35" applyNumberFormat="1" applyFont="1" applyFill="1" applyBorder="1"/>
    <xf numFmtId="41" fontId="10" fillId="0" borderId="8" xfId="35" applyNumberFormat="1" applyFont="1" applyBorder="1"/>
    <xf numFmtId="41" fontId="16" fillId="0" borderId="0" xfId="35" applyNumberFormat="1" applyFont="1" applyFill="1" applyBorder="1" applyAlignment="1">
      <alignment horizontal="right"/>
    </xf>
    <xf numFmtId="41" fontId="0" fillId="0" borderId="0" xfId="35" applyNumberFormat="1" applyFont="1" applyBorder="1"/>
    <xf numFmtId="41" fontId="16" fillId="0" borderId="0" xfId="35" applyNumberFormat="1" applyFont="1" applyBorder="1" applyAlignment="1">
      <alignment horizontal="right"/>
    </xf>
    <xf numFmtId="41" fontId="10" fillId="0" borderId="0" xfId="0" applyNumberFormat="1" applyFont="1"/>
    <xf numFmtId="0" fontId="12" fillId="0" borderId="23" xfId="0" applyFont="1" applyBorder="1"/>
    <xf numFmtId="0" fontId="13" fillId="0" borderId="14" xfId="0" applyFont="1" applyBorder="1"/>
    <xf numFmtId="213" fontId="12" fillId="0" borderId="14" xfId="186" applyNumberFormat="1" applyFont="1" applyFill="1" applyBorder="1" applyAlignment="1">
      <alignment horizontal="right"/>
    </xf>
    <xf numFmtId="0" fontId="12" fillId="0" borderId="16" xfId="0" applyFont="1" applyBorder="1"/>
    <xf numFmtId="213" fontId="12" fillId="0" borderId="0" xfId="186" applyNumberFormat="1" applyFont="1" applyFill="1" applyBorder="1" applyAlignment="1">
      <alignment horizontal="right"/>
    </xf>
    <xf numFmtId="0" fontId="12" fillId="0" borderId="24" xfId="0" applyFont="1" applyBorder="1"/>
    <xf numFmtId="0" fontId="13" fillId="0" borderId="2" xfId="0" applyFont="1" applyBorder="1"/>
    <xf numFmtId="213" fontId="12" fillId="0" borderId="2" xfId="186" applyNumberFormat="1" applyFont="1" applyFill="1" applyBorder="1" applyAlignment="1">
      <alignment horizontal="right"/>
    </xf>
    <xf numFmtId="213" fontId="12" fillId="0" borderId="8" xfId="186" applyNumberFormat="1" applyFont="1" applyFill="1" applyBorder="1" applyAlignment="1">
      <alignment horizontal="right"/>
    </xf>
    <xf numFmtId="212" fontId="6" fillId="0" borderId="25" xfId="35" applyNumberFormat="1" applyBorder="1" applyAlignment="1">
      <alignment horizontal="center" vertical="center" wrapText="1"/>
    </xf>
    <xf numFmtId="212" fontId="6" fillId="0" borderId="25" xfId="35" applyNumberFormat="1" applyFont="1" applyBorder="1" applyAlignment="1">
      <alignment horizontal="center" vertical="center" wrapText="1"/>
    </xf>
    <xf numFmtId="213" fontId="10" fillId="0" borderId="25" xfId="0" applyNumberFormat="1" applyFont="1" applyBorder="1" applyAlignment="1">
      <alignment horizontal="right" vertical="center" wrapText="1"/>
    </xf>
    <xf numFmtId="10" fontId="66" fillId="0" borderId="0" xfId="186" applyNumberFormat="1" applyFont="1" applyFill="1" applyBorder="1" applyAlignment="1">
      <alignment horizontal="right"/>
    </xf>
    <xf numFmtId="211" fontId="10" fillId="0" borderId="0" xfId="186" applyNumberFormat="1" applyFont="1" applyFill="1" applyBorder="1" applyAlignment="1">
      <alignment horizontal="right"/>
    </xf>
    <xf numFmtId="173" fontId="0" fillId="0" borderId="0" xfId="0" applyNumberFormat="1"/>
    <xf numFmtId="166" fontId="16" fillId="0" borderId="0" xfId="35" applyNumberFormat="1" applyFont="1" applyFill="1" applyAlignment="1">
      <alignment horizontal="right"/>
    </xf>
    <xf numFmtId="166" fontId="66" fillId="18" borderId="0" xfId="35" applyNumberFormat="1" applyFont="1" applyFill="1" applyAlignment="1">
      <alignment horizontal="center"/>
    </xf>
    <xf numFmtId="168" fontId="70" fillId="0" borderId="8" xfId="0" applyNumberFormat="1" applyFont="1" applyBorder="1" applyAlignment="1">
      <alignment horizontal="center"/>
    </xf>
    <xf numFmtId="215" fontId="10" fillId="0" borderId="0" xfId="0" applyNumberFormat="1" applyFont="1"/>
    <xf numFmtId="166" fontId="0" fillId="0" borderId="0" xfId="35" applyNumberFormat="1" applyFont="1" applyBorder="1"/>
    <xf numFmtId="166" fontId="16" fillId="0" borderId="0" xfId="35" applyNumberFormat="1" applyFont="1" applyFill="1" applyBorder="1" applyAlignment="1">
      <alignment horizontal="right"/>
    </xf>
    <xf numFmtId="166" fontId="10" fillId="0" borderId="0" xfId="35" applyNumberFormat="1" applyFont="1" applyBorder="1" applyAlignment="1">
      <alignment horizontal="right"/>
    </xf>
    <xf numFmtId="10" fontId="66" fillId="18" borderId="0" xfId="186" applyNumberFormat="1" applyFont="1" applyFill="1" applyAlignment="1">
      <alignment horizontal="right"/>
    </xf>
    <xf numFmtId="166" fontId="10" fillId="0" borderId="0" xfId="35" applyNumberFormat="1" applyFont="1" applyFill="1" applyAlignment="1">
      <alignment horizontal="center"/>
    </xf>
    <xf numFmtId="217" fontId="13" fillId="0" borderId="8" xfId="35" applyNumberFormat="1" applyFont="1" applyFill="1" applyBorder="1" applyAlignment="1">
      <alignment horizontal="center"/>
    </xf>
    <xf numFmtId="174" fontId="81" fillId="18" borderId="0" xfId="35" applyNumberFormat="1" applyFont="1" applyFill="1" applyBorder="1" applyAlignment="1">
      <alignment horizontal="right"/>
    </xf>
    <xf numFmtId="174" fontId="10" fillId="0" borderId="0" xfId="35" applyNumberFormat="1" applyFont="1" applyFill="1" applyBorder="1" applyAlignment="1">
      <alignment horizontal="right"/>
    </xf>
    <xf numFmtId="174" fontId="66" fillId="18" borderId="0" xfId="35" applyNumberFormat="1" applyFont="1" applyFill="1" applyBorder="1" applyAlignment="1">
      <alignment horizontal="right"/>
    </xf>
    <xf numFmtId="166" fontId="15" fillId="18" borderId="0" xfId="186" applyNumberFormat="1" applyFont="1" applyFill="1" applyAlignment="1">
      <alignment horizontal="right"/>
    </xf>
    <xf numFmtId="166" fontId="15" fillId="18" borderId="0" xfId="186" applyNumberFormat="1" applyFont="1" applyFill="1" applyBorder="1" applyAlignment="1">
      <alignment horizontal="right"/>
    </xf>
    <xf numFmtId="166" fontId="15" fillId="0" borderId="0" xfId="186" applyNumberFormat="1" applyFont="1" applyFill="1" applyBorder="1" applyAlignment="1">
      <alignment horizontal="right"/>
    </xf>
    <xf numFmtId="166" fontId="0" fillId="0" borderId="0" xfId="186" applyNumberFormat="1" applyFont="1" applyFill="1"/>
    <xf numFmtId="166" fontId="15" fillId="18" borderId="0" xfId="35" applyNumberFormat="1" applyFont="1" applyFill="1" applyBorder="1" applyAlignment="1">
      <alignment horizontal="right"/>
    </xf>
    <xf numFmtId="174" fontId="81" fillId="18" borderId="0" xfId="35" applyNumberFormat="1" applyFont="1" applyFill="1" applyAlignment="1">
      <alignment horizontal="center"/>
    </xf>
    <xf numFmtId="169" fontId="12" fillId="0" borderId="25" xfId="186" applyNumberFormat="1" applyFont="1" applyBorder="1" applyAlignment="1">
      <alignment horizontal="right" vertical="center" wrapText="1"/>
    </xf>
    <xf numFmtId="10" fontId="0" fillId="0" borderId="0" xfId="186" applyNumberFormat="1" applyFont="1" applyBorder="1" applyAlignment="1">
      <alignment horizontal="center"/>
    </xf>
    <xf numFmtId="174" fontId="13" fillId="0" borderId="0" xfId="35" applyNumberFormat="1" applyFont="1" applyAlignment="1">
      <alignment horizontal="right"/>
    </xf>
    <xf numFmtId="169" fontId="15" fillId="0" borderId="0" xfId="186" applyNumberFormat="1" applyFont="1" applyFill="1" applyAlignment="1">
      <alignment horizontal="right"/>
    </xf>
    <xf numFmtId="166" fontId="68" fillId="18" borderId="0" xfId="186" applyNumberFormat="1" applyFont="1" applyFill="1" applyAlignment="1">
      <alignment horizontal="right"/>
    </xf>
    <xf numFmtId="213" fontId="75" fillId="0" borderId="8" xfId="186" applyNumberFormat="1" applyFont="1" applyFill="1" applyBorder="1" applyAlignment="1">
      <alignment horizontal="right"/>
    </xf>
    <xf numFmtId="212" fontId="83" fillId="0" borderId="25" xfId="35" applyNumberFormat="1" applyFont="1" applyBorder="1" applyAlignment="1">
      <alignment horizontal="center" vertical="center" wrapText="1"/>
    </xf>
    <xf numFmtId="169" fontId="83" fillId="0" borderId="25" xfId="186" applyNumberFormat="1" applyFont="1" applyBorder="1" applyAlignment="1">
      <alignment horizontal="right" vertical="center" wrapText="1"/>
    </xf>
    <xf numFmtId="212" fontId="83" fillId="0" borderId="25" xfId="35" applyNumberFormat="1" applyFont="1" applyFill="1" applyBorder="1" applyAlignment="1">
      <alignment horizontal="right" vertical="center" wrapText="1"/>
    </xf>
    <xf numFmtId="213" fontId="75" fillId="0" borderId="14" xfId="186" applyNumberFormat="1" applyFont="1" applyFill="1" applyBorder="1" applyAlignment="1">
      <alignment horizontal="right"/>
    </xf>
    <xf numFmtId="213" fontId="75" fillId="0" borderId="0" xfId="186" applyNumberFormat="1" applyFont="1" applyFill="1" applyBorder="1" applyAlignment="1">
      <alignment horizontal="right"/>
    </xf>
    <xf numFmtId="213" fontId="75" fillId="0" borderId="2" xfId="186" applyNumberFormat="1" applyFont="1" applyFill="1" applyBorder="1" applyAlignment="1">
      <alignment horizontal="right"/>
    </xf>
    <xf numFmtId="212" fontId="83" fillId="0" borderId="25" xfId="35" applyNumberFormat="1" applyFont="1" applyBorder="1" applyAlignment="1">
      <alignment horizontal="right" vertical="center" wrapText="1"/>
    </xf>
    <xf numFmtId="212" fontId="6" fillId="0" borderId="25" xfId="35" applyNumberFormat="1" applyFont="1" applyBorder="1" applyAlignment="1">
      <alignment horizontal="right" vertical="center" wrapText="1"/>
    </xf>
    <xf numFmtId="213" fontId="54" fillId="0" borderId="25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left" vertical="center"/>
    </xf>
    <xf numFmtId="3" fontId="13" fillId="0" borderId="0" xfId="186" applyNumberFormat="1" applyFont="1" applyFill="1" applyBorder="1" applyAlignment="1">
      <alignment horizontal="center" vertical="center"/>
    </xf>
    <xf numFmtId="212" fontId="0" fillId="0" borderId="0" xfId="35" applyNumberFormat="1" applyFont="1" applyAlignment="1">
      <alignment vertical="center"/>
    </xf>
    <xf numFmtId="174" fontId="6" fillId="0" borderId="0" xfId="35" applyNumberFormat="1" applyAlignment="1">
      <alignment vertical="center"/>
    </xf>
    <xf numFmtId="3" fontId="13" fillId="0" borderId="0" xfId="0" applyNumberFormat="1" applyFont="1" applyAlignment="1">
      <alignment horizontal="center" vertical="center"/>
    </xf>
    <xf numFmtId="167" fontId="6" fillId="0" borderId="0" xfId="35" applyAlignment="1">
      <alignment vertical="center"/>
    </xf>
    <xf numFmtId="10" fontId="0" fillId="0" borderId="0" xfId="186" applyNumberFormat="1" applyFont="1" applyAlignment="1">
      <alignment vertical="center"/>
    </xf>
    <xf numFmtId="174" fontId="0" fillId="0" borderId="0" xfId="35" applyNumberFormat="1" applyFont="1" applyAlignment="1">
      <alignment vertical="center"/>
    </xf>
    <xf numFmtId="10" fontId="6" fillId="0" borderId="0" xfId="186" applyNumberFormat="1" applyAlignment="1">
      <alignment vertical="center"/>
    </xf>
    <xf numFmtId="0" fontId="80" fillId="0" borderId="0" xfId="0" applyFont="1" applyAlignment="1">
      <alignment vertical="center"/>
    </xf>
    <xf numFmtId="169" fontId="6" fillId="0" borderId="0" xfId="186" applyNumberFormat="1" applyAlignment="1">
      <alignment vertical="center"/>
    </xf>
    <xf numFmtId="0" fontId="0" fillId="18" borderId="25" xfId="0" applyFill="1" applyBorder="1" applyAlignment="1">
      <alignment vertical="center" wrapText="1"/>
    </xf>
    <xf numFmtId="171" fontId="0" fillId="0" borderId="0" xfId="0" applyNumberFormat="1" applyAlignment="1">
      <alignment vertical="center"/>
    </xf>
    <xf numFmtId="0" fontId="13" fillId="18" borderId="25" xfId="0" applyFont="1" applyFill="1" applyBorder="1" applyAlignment="1">
      <alignment horizontal="left" vertical="center" wrapText="1"/>
    </xf>
    <xf numFmtId="0" fontId="54" fillId="19" borderId="25" xfId="0" applyFont="1" applyFill="1" applyBorder="1" applyAlignment="1">
      <alignment vertical="center" wrapText="1"/>
    </xf>
    <xf numFmtId="210" fontId="54" fillId="19" borderId="25" xfId="0" applyNumberFormat="1" applyFont="1" applyFill="1" applyBorder="1" applyAlignment="1">
      <alignment horizontal="center" vertical="center" wrapText="1"/>
    </xf>
    <xf numFmtId="0" fontId="12" fillId="18" borderId="25" xfId="0" applyFont="1" applyFill="1" applyBorder="1" applyAlignment="1">
      <alignment horizontal="left" vertical="center" wrapText="1"/>
    </xf>
    <xf numFmtId="212" fontId="6" fillId="0" borderId="0" xfId="35" applyNumberFormat="1" applyAlignment="1">
      <alignment vertical="center"/>
    </xf>
    <xf numFmtId="210" fontId="0" fillId="0" borderId="0" xfId="0" applyNumberFormat="1" applyAlignment="1">
      <alignment vertical="center"/>
    </xf>
    <xf numFmtId="0" fontId="73" fillId="0" borderId="0" xfId="0" applyFont="1" applyAlignment="1">
      <alignment horizontal="center" vertical="center" wrapText="1"/>
    </xf>
    <xf numFmtId="210" fontId="86" fillId="19" borderId="25" xfId="0" applyNumberFormat="1" applyFont="1" applyFill="1" applyBorder="1" applyAlignment="1">
      <alignment horizontal="center" vertical="center" wrapText="1"/>
    </xf>
    <xf numFmtId="210" fontId="54" fillId="0" borderId="0" xfId="0" applyNumberFormat="1" applyFont="1" applyAlignment="1">
      <alignment horizontal="center" vertical="center" wrapText="1"/>
    </xf>
    <xf numFmtId="0" fontId="55" fillId="18" borderId="25" xfId="0" applyFont="1" applyFill="1" applyBorder="1" applyAlignment="1">
      <alignment vertical="center" wrapText="1"/>
    </xf>
    <xf numFmtId="210" fontId="55" fillId="0" borderId="25" xfId="0" applyNumberFormat="1" applyFont="1" applyBorder="1" applyAlignment="1">
      <alignment horizontal="center" vertical="center" wrapText="1"/>
    </xf>
    <xf numFmtId="210" fontId="89" fillId="0" borderId="25" xfId="0" applyNumberFormat="1" applyFont="1" applyBorder="1" applyAlignment="1">
      <alignment horizontal="center" vertical="center" wrapText="1"/>
    </xf>
    <xf numFmtId="210" fontId="55" fillId="0" borderId="0" xfId="0" applyNumberFormat="1" applyFont="1" applyAlignment="1">
      <alignment horizontal="center" vertical="center" wrapText="1"/>
    </xf>
    <xf numFmtId="0" fontId="54" fillId="20" borderId="25" xfId="0" applyFont="1" applyFill="1" applyBorder="1" applyAlignment="1">
      <alignment vertical="center" wrapText="1"/>
    </xf>
    <xf numFmtId="210" fontId="54" fillId="20" borderId="25" xfId="0" applyNumberFormat="1" applyFont="1" applyFill="1" applyBorder="1" applyAlignment="1">
      <alignment horizontal="center" vertical="center" wrapText="1"/>
    </xf>
    <xf numFmtId="210" fontId="86" fillId="20" borderId="25" xfId="0" applyNumberFormat="1" applyFont="1" applyFill="1" applyBorder="1" applyAlignment="1">
      <alignment horizontal="center" vertical="center" wrapText="1"/>
    </xf>
    <xf numFmtId="210" fontId="85" fillId="0" borderId="0" xfId="0" applyNumberFormat="1" applyFont="1" applyAlignment="1">
      <alignment vertical="center"/>
    </xf>
    <xf numFmtId="167" fontId="0" fillId="0" borderId="0" xfId="0" applyNumberFormat="1" applyAlignment="1">
      <alignment vertical="center"/>
    </xf>
    <xf numFmtId="212" fontId="88" fillId="0" borderId="25" xfId="35" applyNumberFormat="1" applyFont="1" applyBorder="1" applyAlignment="1">
      <alignment horizontal="center" vertical="center" wrapText="1"/>
    </xf>
    <xf numFmtId="212" fontId="87" fillId="20" borderId="25" xfId="35" applyNumberFormat="1" applyFont="1" applyFill="1" applyBorder="1" applyAlignment="1">
      <alignment horizontal="center" vertical="center" wrapText="1"/>
    </xf>
    <xf numFmtId="212" fontId="54" fillId="20" borderId="25" xfId="35" applyNumberFormat="1" applyFont="1" applyFill="1" applyBorder="1" applyAlignment="1">
      <alignment horizontal="center" vertical="center" wrapText="1"/>
    </xf>
    <xf numFmtId="212" fontId="82" fillId="0" borderId="25" xfId="35" applyNumberFormat="1" applyFont="1" applyBorder="1" applyAlignment="1">
      <alignment horizontal="center" vertical="center" wrapText="1"/>
    </xf>
    <xf numFmtId="0" fontId="54" fillId="18" borderId="25" xfId="0" applyFont="1" applyFill="1" applyBorder="1" applyAlignment="1">
      <alignment vertical="center" wrapText="1"/>
    </xf>
    <xf numFmtId="213" fontId="90" fillId="0" borderId="25" xfId="0" applyNumberFormat="1" applyFont="1" applyBorder="1" applyAlignment="1">
      <alignment horizontal="right" vertical="center" wrapText="1"/>
    </xf>
    <xf numFmtId="213" fontId="84" fillId="0" borderId="25" xfId="0" applyNumberFormat="1" applyFont="1" applyBorder="1" applyAlignment="1">
      <alignment horizontal="right" vertical="center" wrapText="1"/>
    </xf>
    <xf numFmtId="212" fontId="85" fillId="0" borderId="25" xfId="35" applyNumberFormat="1" applyFont="1" applyBorder="1" applyAlignment="1">
      <alignment horizontal="center" vertical="center" wrapText="1"/>
    </xf>
    <xf numFmtId="212" fontId="86" fillId="0" borderId="25" xfId="35" applyNumberFormat="1" applyFont="1" applyBorder="1" applyAlignment="1">
      <alignment horizontal="center" vertical="center" wrapText="1"/>
    </xf>
    <xf numFmtId="212" fontId="86" fillId="20" borderId="25" xfId="35" applyNumberFormat="1" applyFont="1" applyFill="1" applyBorder="1" applyAlignment="1">
      <alignment horizontal="center" vertical="center" wrapText="1"/>
    </xf>
    <xf numFmtId="210" fontId="86" fillId="0" borderId="25" xfId="35" applyNumberFormat="1" applyFont="1" applyBorder="1" applyAlignment="1">
      <alignment horizontal="center" vertical="center" wrapText="1"/>
    </xf>
    <xf numFmtId="212" fontId="91" fillId="0" borderId="25" xfId="35" applyNumberFormat="1" applyFont="1" applyBorder="1" applyAlignment="1">
      <alignment horizontal="center" vertical="center" wrapText="1"/>
    </xf>
    <xf numFmtId="169" fontId="92" fillId="0" borderId="25" xfId="186" applyNumberFormat="1" applyFont="1" applyBorder="1" applyAlignment="1">
      <alignment horizontal="right" vertical="center" wrapText="1"/>
    </xf>
    <xf numFmtId="169" fontId="94" fillId="0" borderId="25" xfId="186" applyNumberFormat="1" applyFont="1" applyBorder="1" applyAlignment="1">
      <alignment horizontal="right" vertical="center" wrapText="1"/>
    </xf>
    <xf numFmtId="213" fontId="92" fillId="0" borderId="25" xfId="0" applyNumberFormat="1" applyFont="1" applyBorder="1" applyAlignment="1">
      <alignment horizontal="right" vertical="center" wrapText="1"/>
    </xf>
    <xf numFmtId="212" fontId="91" fillId="0" borderId="25" xfId="35" applyNumberFormat="1" applyFont="1" applyBorder="1" applyAlignment="1">
      <alignment horizontal="right" vertical="center" wrapText="1"/>
    </xf>
    <xf numFmtId="213" fontId="93" fillId="0" borderId="25" xfId="0" applyNumberFormat="1" applyFont="1" applyBorder="1" applyAlignment="1">
      <alignment horizontal="right" vertical="center" wrapText="1"/>
    </xf>
    <xf numFmtId="212" fontId="92" fillId="0" borderId="25" xfId="35" applyNumberFormat="1" applyFont="1" applyBorder="1" applyAlignment="1">
      <alignment horizontal="right" vertical="center" wrapText="1"/>
    </xf>
    <xf numFmtId="212" fontId="84" fillId="0" borderId="25" xfId="35" applyNumberFormat="1" applyFont="1" applyBorder="1" applyAlignment="1">
      <alignment horizontal="right" vertical="center" wrapText="1"/>
    </xf>
    <xf numFmtId="212" fontId="54" fillId="20" borderId="25" xfId="35" applyNumberFormat="1" applyFont="1" applyFill="1" applyBorder="1" applyAlignment="1">
      <alignment horizontal="right" vertical="center" wrapText="1"/>
    </xf>
    <xf numFmtId="212" fontId="84" fillId="20" borderId="25" xfId="35" applyNumberFormat="1" applyFont="1" applyFill="1" applyBorder="1" applyAlignment="1">
      <alignment horizontal="right" vertical="center" wrapText="1"/>
    </xf>
    <xf numFmtId="169" fontId="16" fillId="0" borderId="0" xfId="186" applyNumberFormat="1" applyFont="1" applyFill="1" applyBorder="1"/>
    <xf numFmtId="10" fontId="75" fillId="0" borderId="0" xfId="186" applyNumberFormat="1" applyFont="1" applyFill="1" applyAlignment="1">
      <alignment horizontal="right"/>
    </xf>
    <xf numFmtId="174" fontId="66" fillId="0" borderId="0" xfId="35" applyNumberFormat="1" applyFont="1" applyFill="1"/>
    <xf numFmtId="212" fontId="0" fillId="0" borderId="0" xfId="35" applyNumberFormat="1" applyFont="1"/>
    <xf numFmtId="10" fontId="13" fillId="0" borderId="0" xfId="186" applyNumberFormat="1" applyFont="1"/>
    <xf numFmtId="168" fontId="0" fillId="21" borderId="19" xfId="0" applyNumberFormat="1" applyFill="1" applyBorder="1" applyAlignment="1">
      <alignment horizontal="center"/>
    </xf>
    <xf numFmtId="0" fontId="95" fillId="0" borderId="0" xfId="0" applyFont="1"/>
    <xf numFmtId="217" fontId="75" fillId="0" borderId="22" xfId="35" applyNumberFormat="1" applyFont="1" applyFill="1" applyBorder="1" applyAlignment="1">
      <alignment horizontal="center"/>
    </xf>
    <xf numFmtId="0" fontId="49" fillId="0" borderId="0" xfId="168" applyFont="1" applyAlignment="1">
      <alignment horizontal="centerContinuous"/>
    </xf>
    <xf numFmtId="0" fontId="7" fillId="0" borderId="0" xfId="168" applyFont="1" applyAlignment="1">
      <alignment horizontal="center"/>
    </xf>
    <xf numFmtId="0" fontId="7" fillId="0" borderId="0" xfId="168" applyFont="1"/>
    <xf numFmtId="0" fontId="97" fillId="7" borderId="0" xfId="126" applyFont="1" applyFill="1" applyAlignment="1" applyProtection="1">
      <alignment horizontal="centerContinuous"/>
    </xf>
    <xf numFmtId="0" fontId="7" fillId="7" borderId="0" xfId="168" applyFont="1" applyFill="1" applyAlignment="1">
      <alignment horizontal="center"/>
    </xf>
    <xf numFmtId="10" fontId="7" fillId="7" borderId="0" xfId="191" applyNumberFormat="1" applyFont="1" applyFill="1" applyAlignment="1">
      <alignment horizontal="center"/>
    </xf>
    <xf numFmtId="10" fontId="7" fillId="7" borderId="0" xfId="191" applyNumberFormat="1" applyFont="1" applyFill="1"/>
    <xf numFmtId="0" fontId="7" fillId="7" borderId="0" xfId="168" applyFont="1" applyFill="1"/>
    <xf numFmtId="0" fontId="49" fillId="7" borderId="0" xfId="168" applyFont="1" applyFill="1" applyAlignment="1">
      <alignment horizontal="center"/>
    </xf>
    <xf numFmtId="167" fontId="7" fillId="7" borderId="0" xfId="40" applyFont="1" applyFill="1" applyAlignment="1">
      <alignment horizontal="center"/>
    </xf>
    <xf numFmtId="167" fontId="7" fillId="7" borderId="0" xfId="191" applyNumberFormat="1" applyFont="1" applyFill="1" applyAlignment="1">
      <alignment horizontal="center"/>
    </xf>
    <xf numFmtId="0" fontId="49" fillId="7" borderId="0" xfId="168" applyFont="1" applyFill="1" applyAlignment="1">
      <alignment horizontal="left"/>
    </xf>
    <xf numFmtId="170" fontId="7" fillId="7" borderId="0" xfId="168" applyNumberFormat="1" applyFont="1" applyFill="1" applyAlignment="1">
      <alignment horizontal="center"/>
    </xf>
    <xf numFmtId="167" fontId="7" fillId="7" borderId="0" xfId="168" applyNumberFormat="1" applyFont="1" applyFill="1" applyAlignment="1">
      <alignment horizontal="center"/>
    </xf>
    <xf numFmtId="0" fontId="78" fillId="22" borderId="0" xfId="168" applyFont="1" applyFill="1" applyAlignment="1">
      <alignment horizontal="center"/>
    </xf>
    <xf numFmtId="0" fontId="78" fillId="22" borderId="0" xfId="168" applyFont="1" applyFill="1"/>
    <xf numFmtId="171" fontId="49" fillId="4" borderId="0" xfId="168" applyNumberFormat="1" applyFont="1" applyFill="1"/>
    <xf numFmtId="0" fontId="78" fillId="22" borderId="0" xfId="168" applyFont="1" applyFill="1" applyAlignment="1">
      <alignment horizontal="right"/>
    </xf>
    <xf numFmtId="1" fontId="49" fillId="23" borderId="0" xfId="168" applyNumberFormat="1" applyFont="1" applyFill="1" applyAlignment="1">
      <alignment horizontal="right"/>
    </xf>
    <xf numFmtId="0" fontId="49" fillId="0" borderId="0" xfId="168" applyFont="1"/>
    <xf numFmtId="0" fontId="49" fillId="7" borderId="0" xfId="168" applyFont="1" applyFill="1"/>
    <xf numFmtId="171" fontId="7" fillId="7" borderId="0" xfId="168" applyNumberFormat="1" applyFont="1" applyFill="1" applyAlignment="1">
      <alignment horizontal="center"/>
    </xf>
    <xf numFmtId="2" fontId="7" fillId="7" borderId="0" xfId="168" applyNumberFormat="1" applyFont="1" applyFill="1" applyAlignment="1">
      <alignment horizontal="center"/>
    </xf>
    <xf numFmtId="218" fontId="7" fillId="7" borderId="0" xfId="168" applyNumberFormat="1" applyFont="1" applyFill="1" applyAlignment="1">
      <alignment horizontal="center"/>
    </xf>
    <xf numFmtId="218" fontId="7" fillId="0" borderId="0" xfId="168" applyNumberFormat="1" applyFont="1" applyAlignment="1">
      <alignment horizontal="left"/>
    </xf>
    <xf numFmtId="218" fontId="7" fillId="0" borderId="0" xfId="168" applyNumberFormat="1" applyFont="1" applyAlignment="1">
      <alignment horizontal="center"/>
    </xf>
    <xf numFmtId="170" fontId="7" fillId="7" borderId="0" xfId="168" applyNumberFormat="1" applyFont="1" applyFill="1" applyAlignment="1">
      <alignment horizontal="right"/>
    </xf>
    <xf numFmtId="170" fontId="7" fillId="0" borderId="26" xfId="168" applyNumberFormat="1" applyFont="1" applyBorder="1" applyAlignment="1">
      <alignment horizontal="right"/>
    </xf>
    <xf numFmtId="0" fontId="7" fillId="7" borderId="0" xfId="168" applyFont="1" applyFill="1" applyAlignment="1">
      <alignment horizontal="left"/>
    </xf>
    <xf numFmtId="10" fontId="7" fillId="0" borderId="0" xfId="191" applyNumberFormat="1" applyFont="1" applyFill="1"/>
    <xf numFmtId="3" fontId="98" fillId="7" borderId="27" xfId="168" applyNumberFormat="1" applyFont="1" applyFill="1" applyBorder="1" applyAlignment="1">
      <alignment horizontal="right"/>
    </xf>
    <xf numFmtId="4" fontId="7" fillId="7" borderId="0" xfId="168" applyNumberFormat="1" applyFont="1" applyFill="1" applyAlignment="1">
      <alignment horizontal="right"/>
    </xf>
    <xf numFmtId="4" fontId="7" fillId="7" borderId="27" xfId="168" applyNumberFormat="1" applyFont="1" applyFill="1" applyBorder="1" applyAlignment="1">
      <alignment horizontal="right"/>
    </xf>
    <xf numFmtId="4" fontId="7" fillId="0" borderId="0" xfId="168" applyNumberFormat="1" applyFont="1"/>
    <xf numFmtId="4" fontId="7" fillId="7" borderId="0" xfId="168" applyNumberFormat="1" applyFont="1" applyFill="1" applyAlignment="1">
      <alignment horizontal="right" vertical="center" wrapText="1"/>
    </xf>
    <xf numFmtId="4" fontId="7" fillId="0" borderId="26" xfId="168" applyNumberFormat="1" applyFont="1" applyBorder="1" applyAlignment="1">
      <alignment horizontal="right" vertical="center"/>
    </xf>
    <xf numFmtId="3" fontId="7" fillId="7" borderId="0" xfId="168" applyNumberFormat="1" applyFont="1" applyFill="1" applyAlignment="1">
      <alignment horizontal="right" vertical="center" wrapText="1"/>
    </xf>
    <xf numFmtId="174" fontId="7" fillId="7" borderId="0" xfId="40" applyNumberFormat="1" applyFont="1" applyFill="1" applyBorder="1" applyAlignment="1">
      <alignment horizontal="right" vertical="center" wrapText="1"/>
    </xf>
    <xf numFmtId="3" fontId="7" fillId="7" borderId="0" xfId="168" applyNumberFormat="1" applyFont="1" applyFill="1" applyAlignment="1">
      <alignment horizontal="right"/>
    </xf>
    <xf numFmtId="219" fontId="7" fillId="7" borderId="0" xfId="168" applyNumberFormat="1" applyFont="1" applyFill="1" applyAlignment="1">
      <alignment horizontal="right"/>
    </xf>
    <xf numFmtId="170" fontId="7" fillId="7" borderId="0" xfId="40" applyNumberFormat="1" applyFont="1" applyFill="1" applyAlignment="1">
      <alignment horizontal="right"/>
    </xf>
    <xf numFmtId="169" fontId="7" fillId="0" borderId="26" xfId="191" applyNumberFormat="1" applyFont="1" applyFill="1" applyBorder="1" applyAlignment="1">
      <alignment horizontal="right"/>
    </xf>
    <xf numFmtId="170" fontId="49" fillId="7" borderId="0" xfId="168" applyNumberFormat="1" applyFont="1" applyFill="1" applyAlignment="1">
      <alignment horizontal="right"/>
    </xf>
    <xf numFmtId="9" fontId="7" fillId="0" borderId="26" xfId="191" applyFont="1" applyFill="1" applyBorder="1" applyAlignment="1">
      <alignment horizontal="right"/>
    </xf>
    <xf numFmtId="171" fontId="7" fillId="0" borderId="26" xfId="168" applyNumberFormat="1" applyFont="1" applyBorder="1" applyAlignment="1">
      <alignment horizontal="right"/>
    </xf>
    <xf numFmtId="171" fontId="7" fillId="7" borderId="0" xfId="168" applyNumberFormat="1" applyFont="1" applyFill="1" applyAlignment="1">
      <alignment horizontal="right"/>
    </xf>
    <xf numFmtId="2" fontId="99" fillId="0" borderId="26" xfId="168" applyNumberFormat="1" applyFont="1" applyBorder="1" applyAlignment="1">
      <alignment horizontal="left"/>
    </xf>
    <xf numFmtId="2" fontId="7" fillId="0" borderId="26" xfId="168" applyNumberFormat="1" applyFont="1" applyBorder="1" applyAlignment="1">
      <alignment horizontal="right"/>
    </xf>
    <xf numFmtId="170" fontId="7" fillId="0" borderId="0" xfId="168" applyNumberFormat="1" applyFont="1" applyAlignment="1">
      <alignment horizontal="right"/>
    </xf>
    <xf numFmtId="2" fontId="7" fillId="23" borderId="26" xfId="168" applyNumberFormat="1" applyFont="1" applyFill="1" applyBorder="1" applyAlignment="1">
      <alignment horizontal="right"/>
    </xf>
    <xf numFmtId="170" fontId="7" fillId="0" borderId="0" xfId="168" applyNumberFormat="1" applyFont="1" applyAlignment="1">
      <alignment horizontal="center"/>
    </xf>
    <xf numFmtId="0" fontId="7" fillId="0" borderId="26" xfId="168" applyFont="1" applyBorder="1" applyAlignment="1">
      <alignment horizontal="center"/>
    </xf>
    <xf numFmtId="2" fontId="7" fillId="0" borderId="26" xfId="168" applyNumberFormat="1" applyFont="1" applyBorder="1" applyAlignment="1">
      <alignment horizontal="left"/>
    </xf>
    <xf numFmtId="0" fontId="7" fillId="0" borderId="0" xfId="168" applyFont="1" applyAlignment="1">
      <alignment horizontal="right"/>
    </xf>
    <xf numFmtId="10" fontId="7" fillId="7" borderId="0" xfId="191" applyNumberFormat="1" applyFont="1" applyFill="1" applyAlignment="1">
      <alignment horizontal="right"/>
    </xf>
    <xf numFmtId="170" fontId="7" fillId="7" borderId="0" xfId="191" applyNumberFormat="1" applyFont="1" applyFill="1" applyAlignment="1">
      <alignment horizontal="right"/>
    </xf>
    <xf numFmtId="220" fontId="7" fillId="0" borderId="26" xfId="168" applyNumberFormat="1" applyFont="1" applyBorder="1" applyAlignment="1">
      <alignment horizontal="center"/>
    </xf>
    <xf numFmtId="170" fontId="7" fillId="7" borderId="0" xfId="191" applyNumberFormat="1" applyFont="1" applyFill="1" applyBorder="1" applyAlignment="1">
      <alignment horizontal="right"/>
    </xf>
    <xf numFmtId="10" fontId="7" fillId="0" borderId="26" xfId="191" applyNumberFormat="1" applyFont="1" applyFill="1" applyBorder="1" applyAlignment="1">
      <alignment horizontal="right"/>
    </xf>
    <xf numFmtId="219" fontId="7" fillId="0" borderId="26" xfId="168" applyNumberFormat="1" applyFont="1" applyBorder="1" applyAlignment="1">
      <alignment horizontal="right"/>
    </xf>
    <xf numFmtId="4" fontId="7" fillId="0" borderId="27" xfId="168" applyNumberFormat="1" applyFont="1" applyBorder="1" applyAlignment="1">
      <alignment horizontal="right"/>
    </xf>
    <xf numFmtId="4" fontId="49" fillId="7" borderId="0" xfId="168" applyNumberFormat="1" applyFont="1" applyFill="1" applyAlignment="1">
      <alignment horizontal="center" vertical="center" wrapText="1"/>
    </xf>
    <xf numFmtId="4" fontId="7" fillId="7" borderId="0" xfId="168" applyNumberFormat="1" applyFont="1" applyFill="1" applyAlignment="1">
      <alignment horizontal="center" vertical="center" wrapText="1"/>
    </xf>
    <xf numFmtId="4" fontId="7" fillId="7" borderId="0" xfId="168" applyNumberFormat="1" applyFont="1" applyFill="1" applyAlignment="1">
      <alignment horizontal="center" vertical="center"/>
    </xf>
    <xf numFmtId="4" fontId="7" fillId="23" borderId="27" xfId="168" applyNumberFormat="1" applyFont="1" applyFill="1" applyBorder="1" applyAlignment="1">
      <alignment horizontal="right" vertical="center"/>
    </xf>
    <xf numFmtId="4" fontId="7" fillId="23" borderId="27" xfId="168" quotePrefix="1" applyNumberFormat="1" applyFont="1" applyFill="1" applyBorder="1" applyAlignment="1">
      <alignment horizontal="right" vertical="center"/>
    </xf>
    <xf numFmtId="170" fontId="7" fillId="23" borderId="27" xfId="168" applyNumberFormat="1" applyFont="1" applyFill="1" applyBorder="1" applyAlignment="1">
      <alignment horizontal="right" vertical="center"/>
    </xf>
    <xf numFmtId="4" fontId="7" fillId="7" borderId="27" xfId="168" applyNumberFormat="1" applyFont="1" applyFill="1" applyBorder="1" applyAlignment="1">
      <alignment horizontal="right" vertical="center"/>
    </xf>
    <xf numFmtId="4" fontId="7" fillId="7" borderId="27" xfId="168" quotePrefix="1" applyNumberFormat="1" applyFont="1" applyFill="1" applyBorder="1" applyAlignment="1">
      <alignment horizontal="right" vertical="center"/>
    </xf>
    <xf numFmtId="170" fontId="7" fillId="7" borderId="27" xfId="168" applyNumberFormat="1" applyFont="1" applyFill="1" applyBorder="1" applyAlignment="1">
      <alignment horizontal="right" vertical="center"/>
    </xf>
    <xf numFmtId="0" fontId="7" fillId="7" borderId="28" xfId="168" applyFont="1" applyFill="1" applyBorder="1"/>
    <xf numFmtId="170" fontId="7" fillId="7" borderId="28" xfId="168" applyNumberFormat="1" applyFont="1" applyFill="1" applyBorder="1" applyAlignment="1">
      <alignment horizontal="right"/>
    </xf>
    <xf numFmtId="4" fontId="7" fillId="7" borderId="28" xfId="168" applyNumberFormat="1" applyFont="1" applyFill="1" applyBorder="1" applyAlignment="1">
      <alignment horizontal="right"/>
    </xf>
    <xf numFmtId="4" fontId="7" fillId="0" borderId="29" xfId="168" applyNumberFormat="1" applyFont="1" applyBorder="1" applyAlignment="1">
      <alignment horizontal="right"/>
    </xf>
    <xf numFmtId="167" fontId="7" fillId="0" borderId="29" xfId="40" applyFont="1" applyFill="1" applyBorder="1" applyAlignment="1">
      <alignment horizontal="right"/>
    </xf>
    <xf numFmtId="0" fontId="100" fillId="7" borderId="0" xfId="168" applyFont="1" applyFill="1"/>
    <xf numFmtId="0" fontId="101" fillId="7" borderId="0" xfId="168" applyFont="1" applyFill="1" applyAlignment="1">
      <alignment horizontal="center"/>
    </xf>
    <xf numFmtId="0" fontId="34" fillId="7" borderId="0" xfId="168" applyFont="1" applyFill="1" applyAlignment="1">
      <alignment horizontal="left"/>
    </xf>
    <xf numFmtId="171" fontId="102" fillId="7" borderId="0" xfId="168" applyNumberFormat="1" applyFont="1" applyFill="1" applyAlignment="1">
      <alignment horizontal="center"/>
    </xf>
    <xf numFmtId="0" fontId="103" fillId="0" borderId="0" xfId="168" applyFont="1"/>
    <xf numFmtId="4" fontId="7" fillId="0" borderId="0" xfId="168" applyNumberFormat="1" applyFont="1" applyAlignment="1">
      <alignment horizontal="center"/>
    </xf>
    <xf numFmtId="170" fontId="7" fillId="0" borderId="0" xfId="168" applyNumberFormat="1" applyFont="1" applyAlignment="1">
      <alignment horizontal="left"/>
    </xf>
    <xf numFmtId="167" fontId="13" fillId="0" borderId="0" xfId="35" applyFont="1" applyFill="1"/>
    <xf numFmtId="10" fontId="76" fillId="0" borderId="0" xfId="186" applyNumberFormat="1" applyFont="1" applyFill="1" applyAlignment="1">
      <alignment horizontal="right"/>
    </xf>
    <xf numFmtId="174" fontId="13" fillId="0" borderId="0" xfId="35" applyNumberFormat="1" applyFont="1" applyFill="1"/>
    <xf numFmtId="167" fontId="0" fillId="0" borderId="0" xfId="35" applyFont="1" applyFill="1"/>
    <xf numFmtId="10" fontId="14" fillId="0" borderId="0" xfId="186" applyNumberFormat="1" applyFont="1" applyFill="1"/>
    <xf numFmtId="166" fontId="93" fillId="24" borderId="8" xfId="35" applyNumberFormat="1" applyFont="1" applyFill="1" applyBorder="1"/>
    <xf numFmtId="10" fontId="91" fillId="0" borderId="0" xfId="186" applyNumberFormat="1" applyFont="1" applyFill="1" applyAlignment="1">
      <alignment horizontal="right"/>
    </xf>
    <xf numFmtId="0" fontId="10" fillId="0" borderId="8" xfId="0" applyFont="1" applyBorder="1"/>
    <xf numFmtId="0" fontId="133" fillId="0" borderId="0" xfId="0" applyFont="1"/>
    <xf numFmtId="174" fontId="133" fillId="0" borderId="0" xfId="35" applyNumberFormat="1" applyFont="1"/>
    <xf numFmtId="168" fontId="133" fillId="0" borderId="19" xfId="0" applyNumberFormat="1" applyFont="1" applyBorder="1" applyAlignment="1">
      <alignment horizontal="center"/>
    </xf>
    <xf numFmtId="168" fontId="133" fillId="0" borderId="0" xfId="0" applyNumberFormat="1" applyFont="1" applyAlignment="1">
      <alignment horizontal="center"/>
    </xf>
    <xf numFmtId="10" fontId="133" fillId="0" borderId="20" xfId="186" applyNumberFormat="1" applyFont="1" applyFill="1" applyBorder="1" applyAlignment="1">
      <alignment horizontal="right"/>
    </xf>
    <xf numFmtId="166" fontId="134" fillId="0" borderId="8" xfId="186" applyNumberFormat="1" applyFont="1" applyFill="1" applyBorder="1" applyAlignment="1">
      <alignment horizontal="right"/>
    </xf>
    <xf numFmtId="166" fontId="134" fillId="0" borderId="22" xfId="186" applyNumberFormat="1" applyFont="1" applyFill="1" applyBorder="1" applyAlignment="1">
      <alignment horizontal="right"/>
    </xf>
    <xf numFmtId="166" fontId="133" fillId="0" borderId="0" xfId="0" applyNumberFormat="1" applyFont="1"/>
    <xf numFmtId="166" fontId="133" fillId="0" borderId="20" xfId="186" applyNumberFormat="1" applyFont="1" applyFill="1" applyBorder="1" applyAlignment="1">
      <alignment horizontal="right"/>
    </xf>
    <xf numFmtId="166" fontId="134" fillId="0" borderId="0" xfId="186" applyNumberFormat="1" applyFont="1" applyFill="1" applyAlignment="1">
      <alignment horizontal="right"/>
    </xf>
    <xf numFmtId="166" fontId="133" fillId="18" borderId="0" xfId="186" applyNumberFormat="1" applyFont="1" applyFill="1" applyAlignment="1">
      <alignment horizontal="right"/>
    </xf>
    <xf numFmtId="166" fontId="133" fillId="18" borderId="0" xfId="186" applyNumberFormat="1" applyFont="1" applyFill="1" applyBorder="1" applyAlignment="1">
      <alignment horizontal="right"/>
    </xf>
    <xf numFmtId="166" fontId="133" fillId="0" borderId="0" xfId="186" applyNumberFormat="1" applyFont="1" applyFill="1" applyAlignment="1">
      <alignment horizontal="right"/>
    </xf>
    <xf numFmtId="166" fontId="134" fillId="18" borderId="0" xfId="186" applyNumberFormat="1" applyFont="1" applyFill="1" applyAlignment="1">
      <alignment horizontal="right"/>
    </xf>
    <xf numFmtId="166" fontId="134" fillId="18" borderId="20" xfId="186" applyNumberFormat="1" applyFont="1" applyFill="1" applyBorder="1" applyAlignment="1">
      <alignment horizontal="right"/>
    </xf>
    <xf numFmtId="166" fontId="135" fillId="0" borderId="8" xfId="0" applyNumberFormat="1" applyFont="1" applyBorder="1"/>
    <xf numFmtId="211" fontId="133" fillId="0" borderId="0" xfId="0" applyNumberFormat="1" applyFont="1"/>
    <xf numFmtId="213" fontId="136" fillId="0" borderId="8" xfId="186" applyNumberFormat="1" applyFont="1" applyFill="1" applyBorder="1" applyAlignment="1">
      <alignment horizontal="right"/>
    </xf>
    <xf numFmtId="166" fontId="133" fillId="0" borderId="0" xfId="186" applyNumberFormat="1" applyFont="1" applyFill="1" applyBorder="1" applyAlignment="1">
      <alignment horizontal="right"/>
    </xf>
    <xf numFmtId="166" fontId="134" fillId="0" borderId="0" xfId="186" applyNumberFormat="1" applyFont="1" applyFill="1" applyBorder="1" applyAlignment="1">
      <alignment horizontal="right"/>
    </xf>
    <xf numFmtId="174" fontId="91" fillId="7" borderId="0" xfId="35" applyNumberFormat="1" applyFont="1" applyFill="1" applyBorder="1"/>
    <xf numFmtId="41" fontId="10" fillId="0" borderId="0" xfId="35" applyNumberFormat="1" applyFont="1" applyFill="1" applyBorder="1"/>
    <xf numFmtId="174" fontId="0" fillId="0" borderId="8" xfId="0" applyNumberFormat="1" applyBorder="1"/>
    <xf numFmtId="174" fontId="14" fillId="18" borderId="0" xfId="35" applyNumberFormat="1" applyFont="1" applyFill="1" applyBorder="1" applyAlignment="1">
      <alignment horizontal="right"/>
    </xf>
    <xf numFmtId="167" fontId="16" fillId="0" borderId="0" xfId="35" applyFont="1" applyFill="1" applyBorder="1" applyAlignment="1">
      <alignment horizontal="right"/>
    </xf>
    <xf numFmtId="212" fontId="137" fillId="4" borderId="0" xfId="35" applyNumberFormat="1" applyFont="1" applyFill="1"/>
    <xf numFmtId="212" fontId="91" fillId="0" borderId="0" xfId="35" applyNumberFormat="1" applyFont="1" applyFill="1"/>
    <xf numFmtId="0" fontId="6" fillId="0" borderId="0" xfId="0" applyFont="1"/>
    <xf numFmtId="174" fontId="96" fillId="0" borderId="0" xfId="35" applyNumberFormat="1" applyFont="1"/>
    <xf numFmtId="168" fontId="6" fillId="0" borderId="0" xfId="186" applyNumberFormat="1" applyFont="1" applyFill="1" applyBorder="1" applyAlignment="1">
      <alignment horizontal="center"/>
    </xf>
    <xf numFmtId="166" fontId="68" fillId="0" borderId="0" xfId="0" applyNumberFormat="1" applyFont="1"/>
    <xf numFmtId="10" fontId="96" fillId="0" borderId="0" xfId="186" applyNumberFormat="1" applyFont="1" applyAlignment="1">
      <alignment horizontal="right"/>
    </xf>
    <xf numFmtId="10" fontId="14" fillId="18" borderId="0" xfId="186" applyNumberFormat="1" applyFont="1" applyFill="1" applyAlignment="1">
      <alignment horizontal="center"/>
    </xf>
    <xf numFmtId="10" fontId="14" fillId="0" borderId="0" xfId="186" applyNumberFormat="1" applyFont="1" applyFill="1" applyAlignment="1">
      <alignment horizontal="right"/>
    </xf>
    <xf numFmtId="10" fontId="14" fillId="0" borderId="20" xfId="186" applyNumberFormat="1" applyFont="1" applyFill="1" applyBorder="1" applyAlignment="1">
      <alignment horizontal="right"/>
    </xf>
    <xf numFmtId="10" fontId="96" fillId="0" borderId="0" xfId="186" applyNumberFormat="1" applyFont="1"/>
    <xf numFmtId="10" fontId="14" fillId="0" borderId="0" xfId="186" applyNumberFormat="1" applyFont="1" applyFill="1" applyBorder="1" applyAlignment="1">
      <alignment horizontal="center"/>
    </xf>
    <xf numFmtId="166" fontId="6" fillId="0" borderId="0" xfId="35" applyNumberFormat="1" applyFont="1" applyFill="1" applyAlignment="1">
      <alignment horizontal="right"/>
    </xf>
    <xf numFmtId="166" fontId="96" fillId="0" borderId="0" xfId="35" applyNumberFormat="1" applyFont="1"/>
    <xf numFmtId="174" fontId="14" fillId="0" borderId="0" xfId="35" applyNumberFormat="1" applyFont="1" applyFill="1" applyAlignment="1">
      <alignment horizontal="right"/>
    </xf>
    <xf numFmtId="10" fontId="14" fillId="0" borderId="0" xfId="186" applyNumberFormat="1" applyFont="1" applyFill="1" applyAlignment="1">
      <alignment horizontal="center"/>
    </xf>
    <xf numFmtId="10" fontId="14" fillId="0" borderId="0" xfId="186" applyNumberFormat="1" applyFont="1" applyFill="1" applyAlignment="1"/>
    <xf numFmtId="166" fontId="6" fillId="0" borderId="0" xfId="35" applyNumberFormat="1" applyFont="1"/>
    <xf numFmtId="10" fontId="14" fillId="18" borderId="0" xfId="186" applyNumberFormat="1" applyFont="1" applyFill="1" applyAlignment="1">
      <alignment horizontal="right"/>
    </xf>
    <xf numFmtId="174" fontId="96" fillId="0" borderId="0" xfId="35" applyNumberFormat="1" applyFont="1" applyFill="1"/>
    <xf numFmtId="167" fontId="14" fillId="18" borderId="0" xfId="35" applyFont="1" applyFill="1" applyAlignment="1">
      <alignment horizontal="right"/>
    </xf>
    <xf numFmtId="41" fontId="6" fillId="0" borderId="0" xfId="35" applyNumberFormat="1" applyFont="1"/>
    <xf numFmtId="166" fontId="6" fillId="0" borderId="0" xfId="35" applyNumberFormat="1" applyFont="1" applyFill="1"/>
    <xf numFmtId="10" fontId="6" fillId="0" borderId="0" xfId="186" applyNumberFormat="1" applyFont="1" applyFill="1" applyAlignment="1">
      <alignment horizontal="right"/>
    </xf>
    <xf numFmtId="167" fontId="96" fillId="0" borderId="0" xfId="35" applyFont="1"/>
    <xf numFmtId="214" fontId="96" fillId="0" borderId="0" xfId="35" applyNumberFormat="1" applyFont="1"/>
    <xf numFmtId="10" fontId="96" fillId="0" borderId="0" xfId="186" applyNumberFormat="1" applyFont="1" applyBorder="1" applyAlignment="1">
      <alignment horizontal="center"/>
    </xf>
    <xf numFmtId="214" fontId="96" fillId="0" borderId="0" xfId="35" applyNumberFormat="1" applyFont="1" applyBorder="1" applyAlignment="1">
      <alignment horizontal="center"/>
    </xf>
    <xf numFmtId="4" fontId="7" fillId="0" borderId="0" xfId="168" applyNumberFormat="1" applyFont="1" applyAlignment="1">
      <alignment horizontal="right" vertical="center"/>
    </xf>
    <xf numFmtId="4" fontId="7" fillId="0" borderId="0" xfId="168" applyNumberFormat="1" applyFont="1" applyAlignment="1">
      <alignment horizontal="right" vertical="center" wrapText="1"/>
    </xf>
    <xf numFmtId="3" fontId="7" fillId="0" borderId="0" xfId="168" applyNumberFormat="1" applyFont="1" applyAlignment="1">
      <alignment horizontal="right"/>
    </xf>
    <xf numFmtId="219" fontId="7" fillId="0" borderId="0" xfId="168" applyNumberFormat="1" applyFont="1" applyAlignment="1">
      <alignment horizontal="right"/>
    </xf>
    <xf numFmtId="170" fontId="7" fillId="0" borderId="0" xfId="40" applyNumberFormat="1" applyFont="1" applyFill="1" applyAlignment="1">
      <alignment horizontal="right"/>
    </xf>
    <xf numFmtId="166" fontId="92" fillId="18" borderId="0" xfId="186" applyNumberFormat="1" applyFont="1" applyFill="1" applyAlignment="1">
      <alignment horizontal="right"/>
    </xf>
    <xf numFmtId="0" fontId="110" fillId="0" borderId="0" xfId="0" applyFont="1"/>
    <xf numFmtId="211" fontId="66" fillId="0" borderId="0" xfId="186" applyNumberFormat="1" applyFont="1" applyFill="1" applyBorder="1" applyAlignment="1">
      <alignment horizontal="right"/>
    </xf>
    <xf numFmtId="0" fontId="10" fillId="0" borderId="0" xfId="0" quotePrefix="1" applyFont="1" applyAlignment="1">
      <alignment horizontal="center"/>
    </xf>
    <xf numFmtId="166" fontId="0" fillId="0" borderId="8" xfId="0" applyNumberFormat="1" applyBorder="1"/>
    <xf numFmtId="166" fontId="14" fillId="0" borderId="0" xfId="186" applyNumberFormat="1" applyFont="1" applyFill="1" applyAlignment="1">
      <alignment horizontal="right"/>
    </xf>
    <xf numFmtId="3" fontId="13" fillId="0" borderId="0" xfId="0" applyNumberFormat="1" applyFont="1" applyAlignment="1">
      <alignment horizontal="left" vertical="center"/>
    </xf>
    <xf numFmtId="211" fontId="81" fillId="18" borderId="0" xfId="186" applyNumberFormat="1" applyFont="1" applyFill="1" applyBorder="1" applyAlignment="1">
      <alignment horizontal="right"/>
    </xf>
    <xf numFmtId="211" fontId="14" fillId="0" borderId="0" xfId="186" applyNumberFormat="1" applyFont="1" applyFill="1" applyBorder="1" applyAlignment="1">
      <alignment horizontal="right"/>
    </xf>
    <xf numFmtId="166" fontId="6" fillId="0" borderId="0" xfId="186" applyNumberFormat="1" applyFont="1" applyFill="1" applyBorder="1" applyAlignment="1">
      <alignment horizontal="right"/>
    </xf>
    <xf numFmtId="10" fontId="14" fillId="18" borderId="0" xfId="186" applyNumberFormat="1" applyFont="1" applyFill="1" applyBorder="1" applyAlignment="1">
      <alignment horizontal="right"/>
    </xf>
    <xf numFmtId="174" fontId="14" fillId="18" borderId="0" xfId="35" applyNumberFormat="1" applyFont="1" applyFill="1" applyAlignment="1">
      <alignment horizontal="center"/>
    </xf>
    <xf numFmtId="0" fontId="12" fillId="0" borderId="21" xfId="0" applyFont="1" applyBorder="1"/>
    <xf numFmtId="3" fontId="0" fillId="4" borderId="9" xfId="0" applyNumberFormat="1" applyFill="1" applyBorder="1" applyAlignment="1">
      <alignment horizontal="center" vertical="center"/>
    </xf>
    <xf numFmtId="10" fontId="6" fillId="0" borderId="0" xfId="186" applyNumberFormat="1" applyFont="1" applyFill="1"/>
    <xf numFmtId="174" fontId="79" fillId="22" borderId="25" xfId="0" applyNumberFormat="1" applyFont="1" applyFill="1" applyBorder="1" applyAlignment="1">
      <alignment horizontal="center" vertical="center" wrapText="1"/>
    </xf>
    <xf numFmtId="0" fontId="79" fillId="22" borderId="25" xfId="0" applyFont="1" applyFill="1" applyBorder="1" applyAlignment="1">
      <alignment horizontal="center" vertical="center" wrapText="1"/>
    </xf>
    <xf numFmtId="3" fontId="13" fillId="18" borderId="25" xfId="0" applyNumberFormat="1" applyFont="1" applyFill="1" applyBorder="1" applyAlignment="1">
      <alignment horizontal="left" vertical="center" wrapText="1"/>
    </xf>
    <xf numFmtId="167" fontId="0" fillId="0" borderId="0" xfId="35" applyFont="1" applyAlignment="1">
      <alignment vertical="center"/>
    </xf>
    <xf numFmtId="210" fontId="0" fillId="0" borderId="2" xfId="0" applyNumberFormat="1" applyBorder="1" applyAlignment="1">
      <alignment vertical="center"/>
    </xf>
    <xf numFmtId="0" fontId="78" fillId="22" borderId="25" xfId="0" applyFont="1" applyFill="1" applyBorder="1" applyAlignment="1">
      <alignment vertical="center" wrapText="1"/>
    </xf>
    <xf numFmtId="174" fontId="79" fillId="22" borderId="25" xfId="35" applyNumberFormat="1" applyFont="1" applyFill="1" applyBorder="1" applyAlignment="1">
      <alignment horizontal="center" vertical="center" wrapText="1"/>
    </xf>
    <xf numFmtId="167" fontId="0" fillId="0" borderId="0" xfId="35" applyFont="1" applyAlignment="1">
      <alignment horizontal="right" vertical="center"/>
    </xf>
    <xf numFmtId="0" fontId="79" fillId="22" borderId="30" xfId="0" applyFont="1" applyFill="1" applyBorder="1" applyAlignment="1">
      <alignment vertical="center" wrapText="1"/>
    </xf>
    <xf numFmtId="0" fontId="79" fillId="22" borderId="31" xfId="0" applyFont="1" applyFill="1" applyBorder="1" applyAlignment="1">
      <alignment vertical="center" wrapText="1"/>
    </xf>
    <xf numFmtId="10" fontId="12" fillId="18" borderId="32" xfId="0" applyNumberFormat="1" applyFont="1" applyFill="1" applyBorder="1" applyAlignment="1">
      <alignment vertical="center" wrapText="1"/>
    </xf>
    <xf numFmtId="166" fontId="91" fillId="18" borderId="0" xfId="186" applyNumberFormat="1" applyFont="1" applyFill="1" applyBorder="1" applyAlignment="1">
      <alignment horizontal="right"/>
    </xf>
    <xf numFmtId="0" fontId="6" fillId="0" borderId="0" xfId="0" applyFont="1" applyAlignment="1">
      <alignment horizontal="left" indent="1"/>
    </xf>
    <xf numFmtId="174" fontId="66" fillId="0" borderId="0" xfId="35" applyNumberFormat="1" applyFont="1" applyFill="1" applyBorder="1" applyAlignment="1">
      <alignment horizontal="right"/>
    </xf>
    <xf numFmtId="9" fontId="0" fillId="0" borderId="0" xfId="186" applyFont="1"/>
    <xf numFmtId="3" fontId="0" fillId="4" borderId="34" xfId="0" applyNumberFormat="1" applyFill="1" applyBorder="1" applyAlignment="1">
      <alignment horizontal="center" vertical="center"/>
    </xf>
    <xf numFmtId="0" fontId="78" fillId="22" borderId="9" xfId="0" applyFont="1" applyFill="1" applyBorder="1" applyAlignment="1">
      <alignment vertical="center" wrapText="1"/>
    </xf>
    <xf numFmtId="0" fontId="0" fillId="0" borderId="9" xfId="0" applyBorder="1" applyAlignment="1">
      <alignment vertical="center"/>
    </xf>
    <xf numFmtId="166" fontId="7" fillId="7" borderId="0" xfId="168" applyNumberFormat="1" applyFont="1" applyFill="1" applyAlignment="1">
      <alignment horizontal="center"/>
    </xf>
    <xf numFmtId="0" fontId="10" fillId="18" borderId="25" xfId="0" applyFont="1" applyFill="1" applyBorder="1" applyAlignment="1">
      <alignment vertical="center" wrapText="1"/>
    </xf>
    <xf numFmtId="0" fontId="13" fillId="18" borderId="25" xfId="0" applyFont="1" applyFill="1" applyBorder="1" applyAlignment="1">
      <alignment vertical="center" wrapText="1"/>
    </xf>
    <xf numFmtId="213" fontId="83" fillId="0" borderId="25" xfId="0" applyNumberFormat="1" applyFont="1" applyBorder="1" applyAlignment="1">
      <alignment horizontal="center" vertical="center" wrapText="1"/>
    </xf>
    <xf numFmtId="167" fontId="139" fillId="0" borderId="0" xfId="35" applyFont="1" applyAlignment="1">
      <alignment horizontal="right" vertical="center"/>
    </xf>
    <xf numFmtId="174" fontId="0" fillId="0" borderId="0" xfId="35" applyNumberFormat="1" applyFont="1" applyFill="1" applyAlignment="1">
      <alignment vertical="center"/>
    </xf>
    <xf numFmtId="174" fontId="10" fillId="0" borderId="25" xfId="35" applyNumberFormat="1" applyFont="1" applyBorder="1" applyAlignment="1">
      <alignment horizontal="right" vertical="center" wrapText="1"/>
    </xf>
    <xf numFmtId="166" fontId="13" fillId="0" borderId="0" xfId="0" applyNumberFormat="1" applyFont="1" applyAlignment="1">
      <alignment horizontal="left"/>
    </xf>
    <xf numFmtId="210" fontId="6" fillId="0" borderId="0" xfId="0" applyNumberFormat="1" applyFont="1" applyAlignment="1">
      <alignment vertical="center"/>
    </xf>
    <xf numFmtId="9" fontId="81" fillId="18" borderId="0" xfId="186" applyFont="1" applyFill="1" applyBorder="1" applyAlignment="1">
      <alignment horizontal="right"/>
    </xf>
    <xf numFmtId="238" fontId="54" fillId="0" borderId="25" xfId="0" applyNumberFormat="1" applyFont="1" applyBorder="1" applyAlignment="1">
      <alignment horizontal="right" vertical="center" wrapText="1"/>
    </xf>
    <xf numFmtId="166" fontId="14" fillId="18" borderId="0" xfId="186" applyNumberFormat="1" applyFont="1" applyFill="1" applyAlignment="1">
      <alignment horizontal="right"/>
    </xf>
    <xf numFmtId="166" fontId="6" fillId="0" borderId="0" xfId="186" applyNumberFormat="1" applyFont="1" applyFill="1" applyAlignment="1">
      <alignment horizontal="right"/>
    </xf>
    <xf numFmtId="167" fontId="13" fillId="0" borderId="0" xfId="35" applyFont="1" applyFill="1" applyAlignment="1">
      <alignment horizontal="right"/>
    </xf>
    <xf numFmtId="174" fontId="13" fillId="0" borderId="8" xfId="35" applyNumberFormat="1" applyFont="1" applyBorder="1" applyAlignment="1">
      <alignment horizontal="right"/>
    </xf>
    <xf numFmtId="167" fontId="13" fillId="0" borderId="0" xfId="35" applyFont="1" applyFill="1" applyAlignment="1">
      <alignment horizontal="left" indent="2"/>
    </xf>
    <xf numFmtId="167" fontId="16" fillId="0" borderId="0" xfId="35" applyFont="1" applyFill="1" applyAlignment="1">
      <alignment horizontal="left" indent="1"/>
    </xf>
    <xf numFmtId="167" fontId="66" fillId="0" borderId="0" xfId="35" applyFont="1" applyFill="1"/>
    <xf numFmtId="174" fontId="10" fillId="0" borderId="8" xfId="35" applyNumberFormat="1" applyFont="1" applyFill="1" applyBorder="1"/>
    <xf numFmtId="166" fontId="93" fillId="0" borderId="8" xfId="35" applyNumberFormat="1" applyFont="1" applyFill="1" applyBorder="1"/>
    <xf numFmtId="185" fontId="10" fillId="0" borderId="2" xfId="169" applyNumberFormat="1" applyFont="1" applyBorder="1"/>
    <xf numFmtId="185" fontId="10" fillId="0" borderId="35" xfId="169" applyNumberFormat="1" applyFont="1" applyBorder="1"/>
    <xf numFmtId="10" fontId="13" fillId="0" borderId="0" xfId="186" applyNumberFormat="1" applyFont="1" applyFill="1" applyAlignment="1">
      <alignment horizontal="left" indent="1"/>
    </xf>
    <xf numFmtId="10" fontId="13" fillId="0" borderId="0" xfId="186" applyNumberFormat="1" applyFont="1" applyAlignment="1">
      <alignment horizontal="right"/>
    </xf>
    <xf numFmtId="174" fontId="10" fillId="0" borderId="8" xfId="35" applyNumberFormat="1" applyFont="1" applyBorder="1"/>
    <xf numFmtId="174" fontId="140" fillId="0" borderId="0" xfId="35" applyNumberFormat="1" applyFont="1" applyAlignment="1">
      <alignment horizontal="right" indent="1" readingOrder="1"/>
    </xf>
    <xf numFmtId="10" fontId="13" fillId="0" borderId="0" xfId="0" applyNumberFormat="1" applyFont="1" applyAlignment="1">
      <alignment horizontal="left" indent="1"/>
    </xf>
    <xf numFmtId="166" fontId="13" fillId="0" borderId="0" xfId="35" applyNumberFormat="1" applyFont="1" applyFill="1"/>
    <xf numFmtId="166" fontId="13" fillId="0" borderId="8" xfId="0" applyNumberFormat="1" applyFont="1" applyBorder="1"/>
    <xf numFmtId="167" fontId="6" fillId="18" borderId="0" xfId="35" applyFont="1" applyFill="1" applyAlignment="1">
      <alignment horizontal="center"/>
    </xf>
    <xf numFmtId="10" fontId="55" fillId="0" borderId="25" xfId="186" applyNumberFormat="1" applyFont="1" applyBorder="1" applyAlignment="1">
      <alignment horizontal="right" vertical="center" wrapText="1"/>
    </xf>
    <xf numFmtId="10" fontId="6" fillId="0" borderId="0" xfId="186" applyNumberFormat="1" applyFont="1"/>
    <xf numFmtId="10" fontId="6" fillId="0" borderId="0" xfId="186" applyNumberFormat="1" applyFont="1" applyFill="1" applyAlignment="1">
      <alignment horizontal="left" indent="1"/>
    </xf>
    <xf numFmtId="10" fontId="6" fillId="0" borderId="0" xfId="186" applyNumberFormat="1" applyFont="1" applyAlignment="1">
      <alignment horizontal="right"/>
    </xf>
    <xf numFmtId="10" fontId="6" fillId="0" borderId="0" xfId="186" applyNumberFormat="1" applyFont="1" applyBorder="1" applyAlignment="1">
      <alignment horizontal="right"/>
    </xf>
    <xf numFmtId="9" fontId="10" fillId="0" borderId="0" xfId="186" applyFont="1" applyBorder="1"/>
    <xf numFmtId="166" fontId="14" fillId="0" borderId="0" xfId="186" applyNumberFormat="1" applyFont="1" applyFill="1" applyAlignment="1">
      <alignment horizontal="center"/>
    </xf>
    <xf numFmtId="0" fontId="159" fillId="0" borderId="0" xfId="0" applyFont="1"/>
    <xf numFmtId="10" fontId="54" fillId="19" borderId="25" xfId="186" applyNumberFormat="1" applyFont="1" applyFill="1" applyBorder="1" applyAlignment="1">
      <alignment horizontal="center" vertical="center" wrapText="1"/>
    </xf>
    <xf numFmtId="0" fontId="10" fillId="19" borderId="25" xfId="0" applyFont="1" applyFill="1" applyBorder="1" applyAlignment="1">
      <alignment vertical="center" wrapText="1"/>
    </xf>
    <xf numFmtId="210" fontId="10" fillId="19" borderId="25" xfId="0" applyNumberFormat="1" applyFont="1" applyFill="1" applyBorder="1" applyAlignment="1">
      <alignment horizontal="center" vertical="center" wrapText="1"/>
    </xf>
    <xf numFmtId="166" fontId="160" fillId="0" borderId="0" xfId="0" applyNumberFormat="1" applyFont="1"/>
    <xf numFmtId="174" fontId="6" fillId="0" borderId="0" xfId="0" applyNumberFormat="1" applyFont="1"/>
    <xf numFmtId="256" fontId="10" fillId="0" borderId="0" xfId="35" applyNumberFormat="1" applyFont="1" applyFill="1" applyBorder="1"/>
    <xf numFmtId="174" fontId="14" fillId="31" borderId="0" xfId="35" applyNumberFormat="1" applyFont="1" applyFill="1" applyAlignment="1">
      <alignment horizontal="right"/>
    </xf>
    <xf numFmtId="169" fontId="160" fillId="30" borderId="0" xfId="186" applyNumberFormat="1" applyFont="1" applyFill="1" applyAlignment="1">
      <alignment horizontal="right"/>
    </xf>
    <xf numFmtId="166" fontId="92" fillId="18" borderId="20" xfId="186" applyNumberFormat="1" applyFont="1" applyFill="1" applyBorder="1" applyAlignment="1">
      <alignment horizontal="right"/>
    </xf>
    <xf numFmtId="166" fontId="96" fillId="30" borderId="0" xfId="35" applyNumberFormat="1" applyFont="1" applyFill="1"/>
    <xf numFmtId="10" fontId="139" fillId="18" borderId="0" xfId="186" applyNumberFormat="1" applyFont="1" applyFill="1" applyAlignment="1">
      <alignment horizontal="center"/>
    </xf>
    <xf numFmtId="0" fontId="92" fillId="0" borderId="25" xfId="186" applyNumberFormat="1" applyFont="1" applyBorder="1" applyAlignment="1">
      <alignment horizontal="right" vertical="center" wrapText="1"/>
    </xf>
    <xf numFmtId="0" fontId="10" fillId="20" borderId="25" xfId="0" applyFont="1" applyFill="1" applyBorder="1" applyAlignment="1">
      <alignment vertical="center" wrapText="1"/>
    </xf>
    <xf numFmtId="174" fontId="174" fillId="0" borderId="0" xfId="35" applyNumberFormat="1" applyFont="1" applyAlignment="1">
      <alignment horizontal="right"/>
    </xf>
    <xf numFmtId="10" fontId="6" fillId="0" borderId="14" xfId="186" applyNumberFormat="1" applyFont="1" applyBorder="1" applyAlignment="1">
      <alignment horizontal="right"/>
    </xf>
    <xf numFmtId="10" fontId="14" fillId="0" borderId="0" xfId="186" applyNumberFormat="1" applyFont="1" applyFill="1" applyBorder="1"/>
    <xf numFmtId="10" fontId="6" fillId="0" borderId="2" xfId="186" applyNumberFormat="1" applyFont="1" applyFill="1" applyBorder="1"/>
    <xf numFmtId="174" fontId="6" fillId="0" borderId="0" xfId="35" applyNumberFormat="1" applyFont="1" applyFill="1"/>
    <xf numFmtId="169" fontId="6" fillId="0" borderId="0" xfId="186" applyNumberFormat="1" applyFont="1" applyFill="1"/>
    <xf numFmtId="174" fontId="6" fillId="0" borderId="2" xfId="35" applyNumberFormat="1" applyFont="1" applyFill="1" applyBorder="1"/>
    <xf numFmtId="169" fontId="160" fillId="0" borderId="0" xfId="186" applyNumberFormat="1" applyFont="1" applyFill="1"/>
    <xf numFmtId="169" fontId="160" fillId="0" borderId="0" xfId="186" applyNumberFormat="1" applyFont="1" applyAlignment="1">
      <alignment horizontal="right"/>
    </xf>
    <xf numFmtId="10" fontId="160" fillId="0" borderId="0" xfId="186" applyNumberFormat="1" applyFont="1" applyFill="1" applyAlignment="1">
      <alignment horizontal="right"/>
    </xf>
    <xf numFmtId="10" fontId="139" fillId="0" borderId="0" xfId="186" applyNumberFormat="1" applyFont="1" applyFill="1" applyAlignment="1">
      <alignment horizontal="center"/>
    </xf>
    <xf numFmtId="10" fontId="96" fillId="0" borderId="0" xfId="186" applyNumberFormat="1" applyFont="1" applyFill="1"/>
    <xf numFmtId="167" fontId="14" fillId="0" borderId="20" xfId="35" applyFont="1" applyFill="1" applyBorder="1" applyAlignment="1">
      <alignment horizontal="right"/>
    </xf>
    <xf numFmtId="167" fontId="6" fillId="0" borderId="0" xfId="35" applyFont="1" applyFill="1"/>
    <xf numFmtId="167" fontId="6" fillId="0" borderId="0" xfId="35" applyFont="1"/>
    <xf numFmtId="166" fontId="0" fillId="26" borderId="0" xfId="0" applyNumberFormat="1" applyFill="1"/>
    <xf numFmtId="174" fontId="10" fillId="0" borderId="0" xfId="35" applyNumberFormat="1" applyFont="1"/>
    <xf numFmtId="9" fontId="0" fillId="0" borderId="0" xfId="186" applyFont="1" applyAlignment="1">
      <alignment vertical="center"/>
    </xf>
    <xf numFmtId="9" fontId="0" fillId="0" borderId="0" xfId="186" applyFont="1" applyBorder="1" applyAlignment="1">
      <alignment horizontal="center"/>
    </xf>
    <xf numFmtId="0" fontId="175" fillId="0" borderId="0" xfId="374" applyFont="1" applyAlignment="1">
      <alignment horizontal="left" indent="1"/>
    </xf>
    <xf numFmtId="257" fontId="133" fillId="0" borderId="0" xfId="0" applyNumberFormat="1" applyFont="1"/>
    <xf numFmtId="166" fontId="139" fillId="0" borderId="0" xfId="0" applyNumberFormat="1" applyFont="1"/>
    <xf numFmtId="167" fontId="0" fillId="0" borderId="0" xfId="0" applyNumberFormat="1"/>
    <xf numFmtId="167" fontId="0" fillId="0" borderId="0" xfId="0" applyNumberFormat="1" applyAlignment="1">
      <alignment horizontal="left"/>
    </xf>
    <xf numFmtId="167" fontId="6" fillId="0" borderId="0" xfId="0" applyNumberFormat="1" applyFont="1"/>
    <xf numFmtId="166" fontId="176" fillId="0" borderId="0" xfId="0" applyNumberFormat="1" applyFont="1"/>
    <xf numFmtId="0" fontId="0" fillId="43" borderId="0" xfId="0" applyFill="1"/>
    <xf numFmtId="0" fontId="6" fillId="43" borderId="0" xfId="0" applyFont="1" applyFill="1"/>
    <xf numFmtId="0" fontId="10" fillId="43" borderId="0" xfId="0" applyFont="1" applyFill="1"/>
    <xf numFmtId="174" fontId="0" fillId="43" borderId="0" xfId="35" applyNumberFormat="1" applyFont="1" applyFill="1"/>
    <xf numFmtId="9" fontId="133" fillId="0" borderId="20" xfId="186" applyFont="1" applyFill="1" applyBorder="1" applyAlignment="1">
      <alignment horizontal="right"/>
    </xf>
    <xf numFmtId="167" fontId="14" fillId="0" borderId="20" xfId="186" applyNumberFormat="1" applyFont="1" applyFill="1" applyBorder="1" applyAlignment="1">
      <alignment horizontal="right"/>
    </xf>
    <xf numFmtId="166" fontId="6" fillId="0" borderId="0" xfId="35" applyNumberFormat="1" applyFont="1" applyFill="1" applyBorder="1" applyAlignment="1">
      <alignment horizontal="right"/>
    </xf>
    <xf numFmtId="210" fontId="6" fillId="0" borderId="0" xfId="186" applyNumberFormat="1" applyAlignment="1">
      <alignment vertical="center"/>
    </xf>
    <xf numFmtId="166" fontId="176" fillId="0" borderId="0" xfId="186" applyNumberFormat="1" applyFont="1" applyFill="1" applyAlignment="1">
      <alignment horizontal="center"/>
    </xf>
    <xf numFmtId="166" fontId="139" fillId="30" borderId="0" xfId="35" applyNumberFormat="1" applyFont="1" applyFill="1"/>
    <xf numFmtId="9" fontId="6" fillId="0" borderId="0" xfId="186" quotePrefix="1" applyFont="1"/>
    <xf numFmtId="174" fontId="6" fillId="0" borderId="0" xfId="35" applyNumberFormat="1" applyFont="1"/>
    <xf numFmtId="10" fontId="0" fillId="0" borderId="0" xfId="186" applyNumberFormat="1" applyFont="1" applyFill="1"/>
    <xf numFmtId="1" fontId="0" fillId="26" borderId="19" xfId="35" applyNumberFormat="1" applyFont="1" applyFill="1" applyBorder="1" applyAlignment="1">
      <alignment horizontal="center"/>
    </xf>
    <xf numFmtId="1" fontId="0" fillId="26" borderId="19" xfId="0" applyNumberFormat="1" applyFill="1" applyBorder="1" applyAlignment="1">
      <alignment horizontal="center"/>
    </xf>
    <xf numFmtId="0" fontId="0" fillId="43" borderId="46" xfId="0" applyFill="1" applyBorder="1"/>
    <xf numFmtId="0" fontId="0" fillId="43" borderId="14" xfId="0" applyFill="1" applyBorder="1"/>
    <xf numFmtId="167" fontId="6" fillId="26" borderId="14" xfId="35" applyFont="1" applyFill="1" applyBorder="1" applyAlignment="1">
      <alignment horizontal="left" indent="1"/>
    </xf>
    <xf numFmtId="0" fontId="0" fillId="26" borderId="14" xfId="0" applyFill="1" applyBorder="1"/>
    <xf numFmtId="3" fontId="10" fillId="43" borderId="0" xfId="0" applyNumberFormat="1" applyFont="1" applyFill="1"/>
    <xf numFmtId="3" fontId="0" fillId="43" borderId="14" xfId="0" applyNumberFormat="1" applyFill="1" applyBorder="1"/>
    <xf numFmtId="3" fontId="0" fillId="43" borderId="0" xfId="0" applyNumberFormat="1" applyFill="1"/>
    <xf numFmtId="3" fontId="0" fillId="43" borderId="46" xfId="0" applyNumberFormat="1" applyFill="1" applyBorder="1"/>
    <xf numFmtId="0" fontId="0" fillId="44" borderId="46" xfId="0" applyFill="1" applyBorder="1"/>
    <xf numFmtId="3" fontId="0" fillId="44" borderId="46" xfId="0" applyNumberFormat="1" applyFill="1" applyBorder="1"/>
    <xf numFmtId="167" fontId="6" fillId="44" borderId="46" xfId="35" applyFont="1" applyFill="1" applyBorder="1" applyAlignment="1">
      <alignment horizontal="left" indent="1"/>
    </xf>
    <xf numFmtId="0" fontId="102" fillId="43" borderId="0" xfId="0" applyFont="1" applyFill="1"/>
    <xf numFmtId="3" fontId="102" fillId="43" borderId="0" xfId="0" applyNumberFormat="1" applyFont="1" applyFill="1"/>
    <xf numFmtId="166" fontId="91" fillId="18" borderId="0" xfId="186" applyNumberFormat="1" applyFont="1" applyFill="1" applyAlignment="1">
      <alignment horizontal="right"/>
    </xf>
    <xf numFmtId="166" fontId="0" fillId="43" borderId="0" xfId="0" applyNumberFormat="1" applyFill="1"/>
    <xf numFmtId="0" fontId="65" fillId="43" borderId="19" xfId="0" applyFont="1" applyFill="1" applyBorder="1"/>
    <xf numFmtId="0" fontId="0" fillId="43" borderId="19" xfId="0" applyFill="1" applyBorder="1"/>
    <xf numFmtId="168" fontId="0" fillId="43" borderId="19" xfId="0" applyNumberFormat="1" applyFill="1" applyBorder="1" applyAlignment="1">
      <alignment horizontal="center"/>
    </xf>
    <xf numFmtId="0" fontId="13" fillId="43" borderId="0" xfId="0" applyFont="1" applyFill="1"/>
    <xf numFmtId="168" fontId="0" fillId="43" borderId="0" xfId="0" applyNumberFormat="1" applyFill="1" applyAlignment="1">
      <alignment horizontal="center"/>
    </xf>
    <xf numFmtId="166" fontId="16" fillId="43" borderId="0" xfId="0" applyNumberFormat="1" applyFont="1" applyFill="1"/>
    <xf numFmtId="0" fontId="10" fillId="43" borderId="21" xfId="0" applyFont="1" applyFill="1" applyBorder="1"/>
    <xf numFmtId="0" fontId="10" fillId="43" borderId="8" xfId="0" applyFont="1" applyFill="1" applyBorder="1"/>
    <xf numFmtId="166" fontId="10" fillId="43" borderId="8" xfId="186" applyNumberFormat="1" applyFont="1" applyFill="1" applyBorder="1" applyAlignment="1">
      <alignment horizontal="right"/>
    </xf>
    <xf numFmtId="166" fontId="10" fillId="43" borderId="0" xfId="186" applyNumberFormat="1" applyFont="1" applyFill="1" applyAlignment="1">
      <alignment horizontal="right"/>
    </xf>
    <xf numFmtId="10" fontId="15" fillId="43" borderId="0" xfId="186" applyNumberFormat="1" applyFont="1" applyFill="1" applyAlignment="1">
      <alignment horizontal="right"/>
    </xf>
    <xf numFmtId="0" fontId="16" fillId="43" borderId="0" xfId="0" applyFont="1" applyFill="1"/>
    <xf numFmtId="166" fontId="16" fillId="43" borderId="0" xfId="186" applyNumberFormat="1" applyFont="1" applyFill="1" applyAlignment="1">
      <alignment horizontal="right"/>
    </xf>
    <xf numFmtId="0" fontId="0" fillId="43" borderId="0" xfId="0" quotePrefix="1" applyFill="1" applyAlignment="1">
      <alignment horizontal="center"/>
    </xf>
    <xf numFmtId="0" fontId="0" fillId="43" borderId="0" xfId="0" applyFill="1" applyAlignment="1">
      <alignment horizontal="left"/>
    </xf>
    <xf numFmtId="0" fontId="0" fillId="43" borderId="0" xfId="0" applyFill="1" applyAlignment="1">
      <alignment horizontal="center"/>
    </xf>
    <xf numFmtId="0" fontId="6" fillId="43" borderId="0" xfId="0" applyFont="1" applyFill="1" applyAlignment="1">
      <alignment horizontal="left"/>
    </xf>
    <xf numFmtId="166" fontId="6" fillId="43" borderId="0" xfId="0" applyNumberFormat="1" applyFont="1" applyFill="1"/>
    <xf numFmtId="0" fontId="13" fillId="43" borderId="0" xfId="0" applyFont="1" applyFill="1" applyAlignment="1">
      <alignment horizontal="left" indent="1"/>
    </xf>
    <xf numFmtId="166" fontId="13" fillId="43" borderId="0" xfId="0" applyNumberFormat="1" applyFont="1" applyFill="1"/>
    <xf numFmtId="167" fontId="13" fillId="43" borderId="0" xfId="0" applyNumberFormat="1" applyFont="1" applyFill="1" applyAlignment="1">
      <alignment horizontal="left" indent="1"/>
    </xf>
    <xf numFmtId="166" fontId="15" fillId="43" borderId="0" xfId="35" applyNumberFormat="1" applyFont="1" applyFill="1" applyBorder="1" applyAlignment="1">
      <alignment horizontal="right"/>
    </xf>
    <xf numFmtId="166" fontId="10" fillId="43" borderId="0" xfId="0" applyNumberFormat="1" applyFont="1" applyFill="1"/>
    <xf numFmtId="166" fontId="16" fillId="43" borderId="0" xfId="35" applyNumberFormat="1" applyFont="1" applyFill="1" applyBorder="1" applyAlignment="1">
      <alignment horizontal="right"/>
    </xf>
    <xf numFmtId="216" fontId="13" fillId="43" borderId="0" xfId="35" applyNumberFormat="1" applyFont="1" applyFill="1" applyBorder="1" applyAlignment="1">
      <alignment horizontal="center"/>
    </xf>
    <xf numFmtId="166" fontId="0" fillId="43" borderId="0" xfId="35" applyNumberFormat="1" applyFont="1" applyFill="1"/>
    <xf numFmtId="0" fontId="10" fillId="43" borderId="23" xfId="0" applyFont="1" applyFill="1" applyBorder="1"/>
    <xf numFmtId="0" fontId="10" fillId="43" borderId="14" xfId="0" applyFont="1" applyFill="1" applyBorder="1"/>
    <xf numFmtId="166" fontId="10" fillId="43" borderId="14" xfId="186" applyNumberFormat="1" applyFont="1" applyFill="1" applyBorder="1" applyAlignment="1">
      <alignment horizontal="right"/>
    </xf>
    <xf numFmtId="0" fontId="10" fillId="43" borderId="24" xfId="0" applyFont="1" applyFill="1" applyBorder="1"/>
    <xf numFmtId="0" fontId="10" fillId="43" borderId="2" xfId="0" applyFont="1" applyFill="1" applyBorder="1"/>
    <xf numFmtId="166" fontId="10" fillId="43" borderId="2" xfId="186" applyNumberFormat="1" applyFont="1" applyFill="1" applyBorder="1" applyAlignment="1">
      <alignment horizontal="right"/>
    </xf>
    <xf numFmtId="174" fontId="0" fillId="43" borderId="0" xfId="0" applyNumberFormat="1" applyFill="1"/>
    <xf numFmtId="237" fontId="0" fillId="43" borderId="0" xfId="0" applyNumberFormat="1" applyFill="1"/>
    <xf numFmtId="166" fontId="133" fillId="26" borderId="0" xfId="186" applyNumberFormat="1" applyFont="1" applyFill="1" applyAlignment="1">
      <alignment horizontal="right"/>
    </xf>
    <xf numFmtId="9" fontId="91" fillId="7" borderId="0" xfId="186" applyFont="1" applyFill="1" applyBorder="1"/>
    <xf numFmtId="0" fontId="7" fillId="7" borderId="47" xfId="376" applyFont="1" applyFill="1" applyBorder="1"/>
    <xf numFmtId="170" fontId="7" fillId="7" borderId="0" xfId="376" applyNumberFormat="1" applyFont="1" applyFill="1" applyAlignment="1">
      <alignment horizontal="right"/>
    </xf>
    <xf numFmtId="170" fontId="7" fillId="0" borderId="26" xfId="376" applyNumberFormat="1" applyFont="1" applyBorder="1" applyAlignment="1">
      <alignment horizontal="right"/>
    </xf>
    <xf numFmtId="170" fontId="7" fillId="25" borderId="26" xfId="376" applyNumberFormat="1" applyFont="1" applyFill="1" applyBorder="1" applyAlignment="1">
      <alignment horizontal="right"/>
    </xf>
    <xf numFmtId="3" fontId="98" fillId="0" borderId="26" xfId="376" applyNumberFormat="1" applyFont="1" applyBorder="1" applyAlignment="1">
      <alignment horizontal="right"/>
    </xf>
    <xf numFmtId="3" fontId="98" fillId="25" borderId="26" xfId="376" applyNumberFormat="1" applyFont="1" applyFill="1" applyBorder="1" applyAlignment="1">
      <alignment horizontal="right"/>
    </xf>
    <xf numFmtId="170" fontId="98" fillId="25" borderId="26" xfId="376" applyNumberFormat="1" applyFont="1" applyFill="1" applyBorder="1" applyAlignment="1">
      <alignment horizontal="right"/>
    </xf>
    <xf numFmtId="4" fontId="7" fillId="7" borderId="0" xfId="376" applyNumberFormat="1" applyFont="1" applyFill="1" applyAlignment="1">
      <alignment horizontal="right"/>
    </xf>
    <xf numFmtId="4" fontId="7" fillId="7" borderId="0" xfId="376" applyNumberFormat="1" applyFont="1" applyFill="1" applyAlignment="1">
      <alignment horizontal="right" vertical="center" wrapText="1"/>
    </xf>
    <xf numFmtId="4" fontId="7" fillId="0" borderId="26" xfId="376" applyNumberFormat="1" applyFont="1" applyBorder="1" applyAlignment="1">
      <alignment horizontal="right" vertical="center"/>
    </xf>
    <xf numFmtId="170" fontId="7" fillId="25" borderId="26" xfId="376" applyNumberFormat="1" applyFont="1" applyFill="1" applyBorder="1" applyAlignment="1">
      <alignment horizontal="right" vertical="center"/>
    </xf>
    <xf numFmtId="174" fontId="7" fillId="7" borderId="0" xfId="378" applyNumberFormat="1" applyFont="1" applyFill="1" applyBorder="1" applyAlignment="1">
      <alignment horizontal="right" vertical="center" wrapText="1"/>
    </xf>
    <xf numFmtId="3" fontId="7" fillId="25" borderId="26" xfId="376" applyNumberFormat="1" applyFont="1" applyFill="1" applyBorder="1" applyAlignment="1">
      <alignment horizontal="right" vertical="center"/>
    </xf>
    <xf numFmtId="3" fontId="7" fillId="7" borderId="0" xfId="376" applyNumberFormat="1" applyFont="1" applyFill="1" applyAlignment="1">
      <alignment horizontal="right"/>
    </xf>
    <xf numFmtId="4" fontId="7" fillId="26" borderId="26" xfId="376" applyNumberFormat="1" applyFont="1" applyFill="1" applyBorder="1" applyAlignment="1">
      <alignment horizontal="right" vertical="center"/>
    </xf>
    <xf numFmtId="170" fontId="7" fillId="0" borderId="0" xfId="376" applyNumberFormat="1" applyFont="1" applyAlignment="1">
      <alignment horizontal="right"/>
    </xf>
    <xf numFmtId="171" fontId="7" fillId="0" borderId="26" xfId="376" applyNumberFormat="1" applyFont="1" applyBorder="1" applyAlignment="1">
      <alignment horizontal="right"/>
    </xf>
    <xf numFmtId="171" fontId="7" fillId="25" borderId="26" xfId="376" applyNumberFormat="1" applyFont="1" applyFill="1" applyBorder="1" applyAlignment="1">
      <alignment horizontal="right"/>
    </xf>
    <xf numFmtId="2" fontId="7" fillId="0" borderId="26" xfId="376" applyNumberFormat="1" applyFont="1" applyBorder="1" applyAlignment="1">
      <alignment horizontal="right"/>
    </xf>
    <xf numFmtId="212" fontId="7" fillId="25" borderId="26" xfId="378" applyNumberFormat="1" applyFont="1" applyFill="1" applyBorder="1" applyAlignment="1">
      <alignment horizontal="right"/>
    </xf>
    <xf numFmtId="2" fontId="98" fillId="0" borderId="26" xfId="376" applyNumberFormat="1" applyFont="1" applyBorder="1" applyAlignment="1">
      <alignment horizontal="right"/>
    </xf>
    <xf numFmtId="2" fontId="98" fillId="25" borderId="26" xfId="376" applyNumberFormat="1" applyFont="1" applyFill="1" applyBorder="1" applyAlignment="1">
      <alignment horizontal="right"/>
    </xf>
    <xf numFmtId="171" fontId="98" fillId="0" borderId="26" xfId="376" applyNumberFormat="1" applyFont="1" applyBorder="1" applyAlignment="1">
      <alignment horizontal="right"/>
    </xf>
    <xf numFmtId="171" fontId="98" fillId="25" borderId="26" xfId="376" applyNumberFormat="1" applyFont="1" applyFill="1" applyBorder="1" applyAlignment="1">
      <alignment horizontal="right"/>
    </xf>
    <xf numFmtId="171" fontId="7" fillId="25" borderId="26" xfId="376" applyNumberFormat="1" applyFont="1" applyFill="1" applyBorder="1" applyAlignment="1">
      <alignment horizontal="right" vertical="center"/>
    </xf>
    <xf numFmtId="4" fontId="7" fillId="25" borderId="26" xfId="376" applyNumberFormat="1" applyFont="1" applyFill="1" applyBorder="1" applyAlignment="1">
      <alignment horizontal="right" vertical="center"/>
    </xf>
    <xf numFmtId="2" fontId="7" fillId="25" borderId="26" xfId="376" applyNumberFormat="1" applyFont="1" applyFill="1" applyBorder="1" applyAlignment="1">
      <alignment horizontal="right"/>
    </xf>
    <xf numFmtId="171" fontId="7" fillId="0" borderId="27" xfId="376" applyNumberFormat="1" applyFont="1" applyBorder="1" applyAlignment="1">
      <alignment horizontal="right"/>
    </xf>
    <xf numFmtId="171" fontId="7" fillId="0" borderId="0" xfId="379" applyNumberFormat="1" applyFont="1" applyBorder="1" applyAlignment="1">
      <alignment horizontal="right"/>
    </xf>
    <xf numFmtId="171" fontId="98" fillId="0" borderId="48" xfId="376" applyNumberFormat="1" applyFont="1" applyBorder="1" applyAlignment="1">
      <alignment horizontal="right"/>
    </xf>
    <xf numFmtId="171" fontId="7" fillId="0" borderId="48" xfId="376" applyNumberFormat="1" applyFont="1" applyBorder="1" applyAlignment="1">
      <alignment horizontal="right"/>
    </xf>
    <xf numFmtId="171" fontId="7" fillId="26" borderId="26" xfId="376" applyNumberFormat="1" applyFont="1" applyFill="1" applyBorder="1" applyAlignment="1">
      <alignment horizontal="right"/>
    </xf>
    <xf numFmtId="2" fontId="7" fillId="26" borderId="26" xfId="376" applyNumberFormat="1" applyFont="1" applyFill="1" applyBorder="1" applyAlignment="1">
      <alignment horizontal="right"/>
    </xf>
    <xf numFmtId="171" fontId="7" fillId="26" borderId="26" xfId="376" applyNumberFormat="1" applyFont="1" applyFill="1" applyBorder="1" applyAlignment="1">
      <alignment horizontal="right" vertical="center"/>
    </xf>
    <xf numFmtId="4" fontId="7" fillId="7" borderId="0" xfId="376" applyNumberFormat="1" applyFont="1" applyFill="1" applyAlignment="1">
      <alignment horizontal="right" vertical="center"/>
    </xf>
    <xf numFmtId="4" fontId="7" fillId="0" borderId="27" xfId="376" applyNumberFormat="1" applyFont="1" applyBorder="1" applyAlignment="1">
      <alignment horizontal="right"/>
    </xf>
    <xf numFmtId="2" fontId="7" fillId="25" borderId="27" xfId="376" applyNumberFormat="1" applyFont="1" applyFill="1" applyBorder="1" applyAlignment="1">
      <alignment horizontal="right"/>
    </xf>
    <xf numFmtId="171" fontId="7" fillId="25" borderId="27" xfId="376" applyNumberFormat="1" applyFont="1" applyFill="1" applyBorder="1" applyAlignment="1">
      <alignment horizontal="right"/>
    </xf>
    <xf numFmtId="4" fontId="7" fillId="0" borderId="0" xfId="376" applyNumberFormat="1" applyFont="1" applyAlignment="1">
      <alignment horizontal="right"/>
    </xf>
    <xf numFmtId="174" fontId="7" fillId="25" borderId="26" xfId="378" applyNumberFormat="1" applyFont="1" applyFill="1" applyBorder="1" applyAlignment="1">
      <alignment horizontal="right" vertical="center"/>
    </xf>
    <xf numFmtId="3" fontId="7" fillId="0" borderId="26" xfId="376" applyNumberFormat="1" applyFont="1" applyBorder="1" applyAlignment="1">
      <alignment horizontal="right"/>
    </xf>
    <xf numFmtId="2" fontId="7" fillId="0" borderId="27" xfId="376" applyNumberFormat="1" applyFont="1" applyBorder="1" applyAlignment="1">
      <alignment horizontal="right"/>
    </xf>
    <xf numFmtId="9" fontId="66" fillId="0" borderId="0" xfId="186" applyFont="1" applyFill="1" applyAlignment="1">
      <alignment horizontal="right"/>
    </xf>
    <xf numFmtId="0" fontId="13" fillId="30" borderId="0" xfId="0" applyFont="1" applyFill="1" applyAlignment="1">
      <alignment horizontal="left" indent="2"/>
    </xf>
    <xf numFmtId="0" fontId="13" fillId="30" borderId="0" xfId="0" applyFont="1" applyFill="1"/>
    <xf numFmtId="166" fontId="92" fillId="30" borderId="0" xfId="186" applyNumberFormat="1" applyFont="1" applyFill="1" applyAlignment="1">
      <alignment horizontal="right"/>
    </xf>
    <xf numFmtId="166" fontId="92" fillId="30" borderId="20" xfId="186" applyNumberFormat="1" applyFont="1" applyFill="1" applyBorder="1" applyAlignment="1">
      <alignment horizontal="right"/>
    </xf>
    <xf numFmtId="166" fontId="13" fillId="30" borderId="0" xfId="0" applyNumberFormat="1" applyFont="1" applyFill="1"/>
    <xf numFmtId="0" fontId="0" fillId="30" borderId="0" xfId="0" applyFill="1"/>
    <xf numFmtId="166" fontId="133" fillId="30" borderId="0" xfId="186" applyNumberFormat="1" applyFont="1" applyFill="1" applyAlignment="1">
      <alignment horizontal="right"/>
    </xf>
    <xf numFmtId="166" fontId="6" fillId="30" borderId="0" xfId="0" applyNumberFormat="1" applyFont="1" applyFill="1"/>
    <xf numFmtId="166" fontId="10" fillId="30" borderId="0" xfId="186" applyNumberFormat="1" applyFont="1" applyFill="1" applyAlignment="1">
      <alignment horizontal="right"/>
    </xf>
    <xf numFmtId="166" fontId="16" fillId="30" borderId="0" xfId="186" applyNumberFormat="1" applyFont="1" applyFill="1" applyAlignment="1">
      <alignment horizontal="right"/>
    </xf>
    <xf numFmtId="166" fontId="16" fillId="30" borderId="0" xfId="0" applyNumberFormat="1" applyFont="1" applyFill="1"/>
    <xf numFmtId="0" fontId="13" fillId="26" borderId="0" xfId="0" applyFont="1" applyFill="1" applyAlignment="1">
      <alignment horizontal="left" indent="1"/>
    </xf>
    <xf numFmtId="10" fontId="12" fillId="18" borderId="0" xfId="0" applyNumberFormat="1" applyFont="1" applyFill="1" applyAlignment="1">
      <alignment vertical="center" wrapText="1"/>
    </xf>
    <xf numFmtId="0" fontId="54" fillId="18" borderId="0" xfId="0" applyFont="1" applyFill="1" applyAlignment="1">
      <alignment vertical="center" wrapText="1"/>
    </xf>
    <xf numFmtId="167" fontId="55" fillId="18" borderId="25" xfId="0" applyNumberFormat="1" applyFont="1" applyFill="1" applyBorder="1" applyAlignment="1">
      <alignment vertical="center" wrapText="1"/>
    </xf>
    <xf numFmtId="167" fontId="6" fillId="0" borderId="0" xfId="35" quotePrefix="1" applyFont="1"/>
    <xf numFmtId="0" fontId="6" fillId="0" borderId="0" xfId="0" applyFont="1" applyAlignment="1">
      <alignment vertical="center"/>
    </xf>
    <xf numFmtId="169" fontId="0" fillId="0" borderId="0" xfId="35" applyNumberFormat="1" applyFont="1" applyAlignment="1">
      <alignment horizontal="right" vertical="center"/>
    </xf>
    <xf numFmtId="0" fontId="10" fillId="19" borderId="31" xfId="0" applyFont="1" applyFill="1" applyBorder="1" applyAlignment="1">
      <alignment horizontal="left" vertical="center" wrapText="1"/>
    </xf>
    <xf numFmtId="0" fontId="10" fillId="19" borderId="33" xfId="0" applyFont="1" applyFill="1" applyBorder="1" applyAlignment="1">
      <alignment horizontal="left" vertical="center" wrapText="1"/>
    </xf>
    <xf numFmtId="3" fontId="10" fillId="4" borderId="23" xfId="0" applyNumberFormat="1" applyFont="1" applyFill="1" applyBorder="1" applyAlignment="1">
      <alignment horizontal="center" vertical="center"/>
    </xf>
    <xf numFmtId="3" fontId="10" fillId="4" borderId="14" xfId="0" applyNumberFormat="1" applyFont="1" applyFill="1" applyBorder="1" applyAlignment="1">
      <alignment horizontal="center" vertical="center"/>
    </xf>
    <xf numFmtId="3" fontId="10" fillId="4" borderId="34" xfId="0" applyNumberFormat="1" applyFont="1" applyFill="1" applyBorder="1" applyAlignment="1">
      <alignment horizontal="center" vertical="center"/>
    </xf>
    <xf numFmtId="0" fontId="138" fillId="22" borderId="9" xfId="0" applyFont="1" applyFill="1" applyBorder="1" applyAlignment="1">
      <alignment horizontal="left" vertical="center" wrapText="1"/>
    </xf>
    <xf numFmtId="171" fontId="49" fillId="4" borderId="0" xfId="168" applyNumberFormat="1" applyFont="1" applyFill="1" applyAlignment="1">
      <alignment horizontal="center"/>
    </xf>
  </cellXfs>
  <cellStyles count="380">
    <cellStyle name="_x000a_386grabber=M" xfId="1" xr:uid="{00000000-0005-0000-0000-000000000000}"/>
    <cellStyle name="&quot;X&quot; MEN" xfId="270" xr:uid="{00000000-0005-0000-0000-000001000000}"/>
    <cellStyle name="%" xfId="2" xr:uid="{00000000-0005-0000-0000-000002000000}"/>
    <cellStyle name="?Q\?1@" xfId="3" xr:uid="{00000000-0005-0000-0000-000003000000}"/>
    <cellStyle name="_%(SignSpaceOnly)" xfId="271" xr:uid="{00000000-0005-0000-0000-000004000000}"/>
    <cellStyle name="_Column1" xfId="272" xr:uid="{00000000-0005-0000-0000-000005000000}"/>
    <cellStyle name="_Highlight" xfId="273" xr:uid="{00000000-0005-0000-0000-000006000000}"/>
    <cellStyle name="_PPE 59_24Oct07_ubp provision (BC V1)" xfId="4" xr:uid="{00000000-0005-0000-0000-000007000000}"/>
    <cellStyle name="_SubHeading" xfId="274" xr:uid="{00000000-0005-0000-0000-000008000000}"/>
    <cellStyle name="_TableHead" xfId="275" xr:uid="{00000000-0005-0000-0000-000009000000}"/>
    <cellStyle name="_TableRowHead" xfId="276" xr:uid="{00000000-0005-0000-0000-00000A000000}"/>
    <cellStyle name="£ BP" xfId="6" xr:uid="{00000000-0005-0000-0000-00000B000000}"/>
    <cellStyle name="¥ JY" xfId="7" xr:uid="{00000000-0005-0000-0000-00000C000000}"/>
    <cellStyle name="=D:\WINNT\SYSTEM32\COMMAND.COM" xfId="5" xr:uid="{00000000-0005-0000-0000-00000D000000}"/>
    <cellStyle name="0.0" xfId="277" xr:uid="{00000000-0005-0000-0000-00000E000000}"/>
    <cellStyle name="0.0%" xfId="278" xr:uid="{00000000-0005-0000-0000-00000F000000}"/>
    <cellStyle name="0.0_Crystal Model final" xfId="279" xr:uid="{00000000-0005-0000-0000-000010000000}"/>
    <cellStyle name="0000" xfId="8" xr:uid="{00000000-0005-0000-0000-000011000000}"/>
    <cellStyle name="000000" xfId="9" xr:uid="{00000000-0005-0000-0000-000012000000}"/>
    <cellStyle name="20% - Ênfase1" xfId="332" xr:uid="{00000000-0005-0000-0000-000013000000}"/>
    <cellStyle name="20% - Ênfase2" xfId="333" xr:uid="{00000000-0005-0000-0000-000014000000}"/>
    <cellStyle name="20% - Ênfase3" xfId="334" xr:uid="{00000000-0005-0000-0000-000015000000}"/>
    <cellStyle name="20% - Ênfase4" xfId="335" xr:uid="{00000000-0005-0000-0000-000016000000}"/>
    <cellStyle name="20% - Ênfase5" xfId="336" xr:uid="{00000000-0005-0000-0000-000017000000}"/>
    <cellStyle name="20% - Ênfase6" xfId="337" xr:uid="{00000000-0005-0000-0000-000018000000}"/>
    <cellStyle name="40% - Ênfase1" xfId="338" xr:uid="{00000000-0005-0000-0000-000019000000}"/>
    <cellStyle name="40% - Ênfase2" xfId="339" xr:uid="{00000000-0005-0000-0000-00001A000000}"/>
    <cellStyle name="40% - Ênfase3" xfId="340" xr:uid="{00000000-0005-0000-0000-00001B000000}"/>
    <cellStyle name="40% - Ênfase4" xfId="341" xr:uid="{00000000-0005-0000-0000-00001C000000}"/>
    <cellStyle name="40% - Ênfase5" xfId="342" xr:uid="{00000000-0005-0000-0000-00001D000000}"/>
    <cellStyle name="40% - Ênfase6" xfId="343" xr:uid="{00000000-0005-0000-0000-00001E000000}"/>
    <cellStyle name="60% - Ênfase1" xfId="344" xr:uid="{00000000-0005-0000-0000-00001F000000}"/>
    <cellStyle name="60% - Ênfase2" xfId="345" xr:uid="{00000000-0005-0000-0000-000020000000}"/>
    <cellStyle name="60% - Ênfase3" xfId="346" xr:uid="{00000000-0005-0000-0000-000021000000}"/>
    <cellStyle name="60% - Ênfase4" xfId="347" xr:uid="{00000000-0005-0000-0000-000022000000}"/>
    <cellStyle name="60% - Ênfase5" xfId="348" xr:uid="{00000000-0005-0000-0000-000023000000}"/>
    <cellStyle name="60% - Ênfase6" xfId="349" xr:uid="{00000000-0005-0000-0000-000024000000}"/>
    <cellStyle name="A¨­￠￢￠O [0]_C¡IAo_AoAUAy¡ÆeC¡I " xfId="10" xr:uid="{00000000-0005-0000-0000-000025000000}"/>
    <cellStyle name="A¨­￠￢￠O_AoAUAy¡ÆeC¡I " xfId="11" xr:uid="{00000000-0005-0000-0000-000026000000}"/>
    <cellStyle name="A3 297 x 420 mm" xfId="12" xr:uid="{00000000-0005-0000-0000-000027000000}"/>
    <cellStyle name="A3 297 x 420 mm 2" xfId="268" xr:uid="{00000000-0005-0000-0000-000028000000}"/>
    <cellStyle name="ACHINERY AND EQUIPMENT" xfId="13" xr:uid="{00000000-0005-0000-0000-000029000000}"/>
    <cellStyle name="adj_share" xfId="280" xr:uid="{00000000-0005-0000-0000-00002A000000}"/>
    <cellStyle name="Adjusted" xfId="281" xr:uid="{00000000-0005-0000-0000-00002B000000}"/>
    <cellStyle name="Afjusted" xfId="282" xr:uid="{00000000-0005-0000-0000-00002C000000}"/>
    <cellStyle name="Año" xfId="14" xr:uid="{00000000-0005-0000-0000-00002D000000}"/>
    <cellStyle name="Array" xfId="15" xr:uid="{00000000-0005-0000-0000-00002E000000}"/>
    <cellStyle name="Array Enter" xfId="16" xr:uid="{00000000-0005-0000-0000-00002F000000}"/>
    <cellStyle name="blank" xfId="17" xr:uid="{00000000-0005-0000-0000-000030000000}"/>
    <cellStyle name="Blue" xfId="18" xr:uid="{00000000-0005-0000-0000-000031000000}"/>
    <cellStyle name="Bold/Border" xfId="19" xr:uid="{00000000-0005-0000-0000-000032000000}"/>
    <cellStyle name="Bom" xfId="350" xr:uid="{00000000-0005-0000-0000-000033000000}"/>
    <cellStyle name="Border Heavy" xfId="283" xr:uid="{00000000-0005-0000-0000-000034000000}"/>
    <cellStyle name="Border Thin" xfId="284" xr:uid="{00000000-0005-0000-0000-000035000000}"/>
    <cellStyle name="Bullet" xfId="20" xr:uid="{00000000-0005-0000-0000-000036000000}"/>
    <cellStyle name="Cabecera 1" xfId="21" xr:uid="{00000000-0005-0000-0000-000039000000}"/>
    <cellStyle name="Cabecera 2" xfId="22" xr:uid="{00000000-0005-0000-0000-00003A000000}"/>
    <cellStyle name="Calc Currency (0)" xfId="23" xr:uid="{00000000-0005-0000-0000-00003B000000}"/>
    <cellStyle name="Calc Currency (2)" xfId="24" xr:uid="{00000000-0005-0000-0000-00003C000000}"/>
    <cellStyle name="Calc Percent (0)" xfId="25" xr:uid="{00000000-0005-0000-0000-00003D000000}"/>
    <cellStyle name="Calc Percent (1)" xfId="26" xr:uid="{00000000-0005-0000-0000-00003E000000}"/>
    <cellStyle name="Calc Percent (2)" xfId="27" xr:uid="{00000000-0005-0000-0000-00003F000000}"/>
    <cellStyle name="Calc Units (0)" xfId="28" xr:uid="{00000000-0005-0000-0000-000040000000}"/>
    <cellStyle name="Calc Units (1)" xfId="29" xr:uid="{00000000-0005-0000-0000-000041000000}"/>
    <cellStyle name="Calc Units (2)" xfId="30" xr:uid="{00000000-0005-0000-0000-000042000000}"/>
    <cellStyle name="Cálculo" xfId="351" xr:uid="{00000000-0005-0000-0000-000043000000}"/>
    <cellStyle name="Célula de Verificação" xfId="352" xr:uid="{00000000-0005-0000-0000-000044000000}"/>
    <cellStyle name="Célula Vinculada" xfId="353" xr:uid="{00000000-0005-0000-0000-000045000000}"/>
    <cellStyle name="Co. Names" xfId="31" xr:uid="{00000000-0005-0000-0000-000046000000}"/>
    <cellStyle name="COL HEADINGS" xfId="32" xr:uid="{00000000-0005-0000-0000-000047000000}"/>
    <cellStyle name="Collegamento ipertestuale" xfId="33" xr:uid="{00000000-0005-0000-0000-000048000000}"/>
    <cellStyle name="Collegamento ipertestuale visitato" xfId="34" xr:uid="{00000000-0005-0000-0000-000049000000}"/>
    <cellStyle name="Comma" xfId="35" builtinId="3"/>
    <cellStyle name="Comma (1)" xfId="285" xr:uid="{00000000-0005-0000-0000-00004A000000}"/>
    <cellStyle name="Comma [0] 2" xfId="36" xr:uid="{00000000-0005-0000-0000-00004B000000}"/>
    <cellStyle name="Comma [00]" xfId="37" xr:uid="{00000000-0005-0000-0000-00004C000000}"/>
    <cellStyle name="Comma [1]" xfId="286" xr:uid="{00000000-0005-0000-0000-00004D000000}"/>
    <cellStyle name="Comma [2]" xfId="287" xr:uid="{00000000-0005-0000-0000-00004E000000}"/>
    <cellStyle name="Comma [3]" xfId="288" xr:uid="{00000000-0005-0000-0000-00004F000000}"/>
    <cellStyle name="Comma 0" xfId="38" xr:uid="{00000000-0005-0000-0000-000050000000}"/>
    <cellStyle name="Comma 0*" xfId="289" xr:uid="{00000000-0005-0000-0000-000051000000}"/>
    <cellStyle name="Comma 2" xfId="39" xr:uid="{00000000-0005-0000-0000-000052000000}"/>
    <cellStyle name="Comma 2 2" xfId="40" xr:uid="{00000000-0005-0000-0000-000053000000}"/>
    <cellStyle name="Comma 2_Project Lingerie_MEIAS SCALINAS" xfId="41" xr:uid="{00000000-0005-0000-0000-000054000000}"/>
    <cellStyle name="Comma 3" xfId="42" xr:uid="{00000000-0005-0000-0000-000055000000}"/>
    <cellStyle name="Comma 4" xfId="43" xr:uid="{00000000-0005-0000-0000-000056000000}"/>
    <cellStyle name="Comma 5" xfId="328" xr:uid="{00000000-0005-0000-0000-000057000000}"/>
    <cellStyle name="Comma 6" xfId="331" xr:uid="{00000000-0005-0000-0000-000058000000}"/>
    <cellStyle name="Comma 7" xfId="378" xr:uid="{00000000-0005-0000-0000-000059000000}"/>
    <cellStyle name="Comma0" xfId="44" xr:uid="{00000000-0005-0000-0000-00005A000000}"/>
    <cellStyle name="Comma0 - Estilo3" xfId="45" xr:uid="{00000000-0005-0000-0000-00005B000000}"/>
    <cellStyle name="Comma0 - Modelo1" xfId="46" xr:uid="{00000000-0005-0000-0000-00005C000000}"/>
    <cellStyle name="Comma0 - Style1" xfId="47" xr:uid="{00000000-0005-0000-0000-00005D000000}"/>
    <cellStyle name="Comma1 - Estilo1" xfId="48" xr:uid="{00000000-0005-0000-0000-00005E000000}"/>
    <cellStyle name="Comma1 - Modelo2" xfId="49" xr:uid="{00000000-0005-0000-0000-00005F000000}"/>
    <cellStyle name="Comma1 - Style2" xfId="50" xr:uid="{00000000-0005-0000-0000-000060000000}"/>
    <cellStyle name="Company Name" xfId="51" xr:uid="{00000000-0005-0000-0000-000061000000}"/>
    <cellStyle name="Cuadro 1" xfId="52" xr:uid="{00000000-0005-0000-0000-000062000000}"/>
    <cellStyle name="Currency [00]" xfId="53" xr:uid="{00000000-0005-0000-0000-000063000000}"/>
    <cellStyle name="Currency [1]" xfId="290" xr:uid="{00000000-0005-0000-0000-000064000000}"/>
    <cellStyle name="Currency [2]" xfId="54" xr:uid="{00000000-0005-0000-0000-000065000000}"/>
    <cellStyle name="Currency [3]" xfId="291" xr:uid="{00000000-0005-0000-0000-000066000000}"/>
    <cellStyle name="Currency 0" xfId="55" xr:uid="{00000000-0005-0000-0000-000067000000}"/>
    <cellStyle name="Currency 2" xfId="56" xr:uid="{00000000-0005-0000-0000-000068000000}"/>
    <cellStyle name="Dados [%]" xfId="57" xr:uid="{00000000-0005-0000-0000-000069000000}"/>
    <cellStyle name="darren" xfId="292" xr:uid="{00000000-0005-0000-0000-00006A000000}"/>
    <cellStyle name="Dash" xfId="58" xr:uid="{00000000-0005-0000-0000-00006B000000}"/>
    <cellStyle name="data" xfId="59" xr:uid="{00000000-0005-0000-0000-00006C000000}"/>
    <cellStyle name="Data Link" xfId="293" xr:uid="{00000000-0005-0000-0000-00006D000000}"/>
    <cellStyle name="Date" xfId="294" xr:uid="{00000000-0005-0000-0000-00006E000000}"/>
    <cellStyle name="Date Aligned" xfId="60" xr:uid="{00000000-0005-0000-0000-00006F000000}"/>
    <cellStyle name="Date Short" xfId="61" xr:uid="{00000000-0005-0000-0000-000070000000}"/>
    <cellStyle name="Date_~0034641" xfId="295" xr:uid="{00000000-0005-0000-0000-000071000000}"/>
    <cellStyle name="Design" xfId="62" xr:uid="{00000000-0005-0000-0000-000072000000}"/>
    <cellStyle name="Dia" xfId="63" xr:uid="{00000000-0005-0000-0000-000073000000}"/>
    <cellStyle name="Dotted Line" xfId="64" xr:uid="{00000000-0005-0000-0000-000074000000}"/>
    <cellStyle name="Encabez1" xfId="65" xr:uid="{00000000-0005-0000-0000-000075000000}"/>
    <cellStyle name="Encabez2" xfId="66" xr:uid="{00000000-0005-0000-0000-000076000000}"/>
    <cellStyle name="Ênfase1" xfId="354" xr:uid="{00000000-0005-0000-0000-000077000000}"/>
    <cellStyle name="Ênfase2" xfId="355" xr:uid="{00000000-0005-0000-0000-000078000000}"/>
    <cellStyle name="Ênfase3" xfId="356" xr:uid="{00000000-0005-0000-0000-000079000000}"/>
    <cellStyle name="Ênfase4" xfId="357" xr:uid="{00000000-0005-0000-0000-00007A000000}"/>
    <cellStyle name="Ênfase5" xfId="358" xr:uid="{00000000-0005-0000-0000-00007B000000}"/>
    <cellStyle name="Ênfase6" xfId="359" xr:uid="{00000000-0005-0000-0000-00007C000000}"/>
    <cellStyle name="Enter Currency (0)" xfId="67" xr:uid="{00000000-0005-0000-0000-00007D000000}"/>
    <cellStyle name="Enter Currency (2)" xfId="68" xr:uid="{00000000-0005-0000-0000-00007E000000}"/>
    <cellStyle name="Enter Units (0)" xfId="69" xr:uid="{00000000-0005-0000-0000-00007F000000}"/>
    <cellStyle name="Enter Units (1)" xfId="70" xr:uid="{00000000-0005-0000-0000-000080000000}"/>
    <cellStyle name="Enter Units (2)" xfId="71" xr:uid="{00000000-0005-0000-0000-000081000000}"/>
    <cellStyle name="Entrada" xfId="360" xr:uid="{00000000-0005-0000-0000-000082000000}"/>
    <cellStyle name="Estilo 1" xfId="72" xr:uid="{00000000-0005-0000-0000-000083000000}"/>
    <cellStyle name="Euro" xfId="73" xr:uid="{00000000-0005-0000-0000-000084000000}"/>
    <cellStyle name="EY House" xfId="361" xr:uid="{00000000-0005-0000-0000-000085000000}"/>
    <cellStyle name="EY Narrative text" xfId="74" xr:uid="{00000000-0005-0000-0000-000086000000}"/>
    <cellStyle name="EY%colcalc" xfId="75" xr:uid="{00000000-0005-0000-0000-000087000000}"/>
    <cellStyle name="EY%input" xfId="76" xr:uid="{00000000-0005-0000-0000-000088000000}"/>
    <cellStyle name="EY%rowcalc" xfId="77" xr:uid="{00000000-0005-0000-0000-000089000000}"/>
    <cellStyle name="EY0dp" xfId="78" xr:uid="{00000000-0005-0000-0000-00008A000000}"/>
    <cellStyle name="EY1dp" xfId="79" xr:uid="{00000000-0005-0000-0000-00008B000000}"/>
    <cellStyle name="EY2dp" xfId="80" xr:uid="{00000000-0005-0000-0000-00008C000000}"/>
    <cellStyle name="EY3dp" xfId="81" xr:uid="{00000000-0005-0000-0000-00008D000000}"/>
    <cellStyle name="EYChartTitle" xfId="82" xr:uid="{00000000-0005-0000-0000-00008E000000}"/>
    <cellStyle name="EYColumnHeading" xfId="83" xr:uid="{00000000-0005-0000-0000-00008F000000}"/>
    <cellStyle name="EYColumnHeading 2" xfId="84" xr:uid="{00000000-0005-0000-0000-000090000000}"/>
    <cellStyle name="EYColumnHeadingItalic" xfId="85" xr:uid="{00000000-0005-0000-0000-000091000000}"/>
    <cellStyle name="EYCoverDatabookName" xfId="86" xr:uid="{00000000-0005-0000-0000-000092000000}"/>
    <cellStyle name="EYCoverDate" xfId="87" xr:uid="{00000000-0005-0000-0000-000093000000}"/>
    <cellStyle name="EYCoverDraft" xfId="88" xr:uid="{00000000-0005-0000-0000-000094000000}"/>
    <cellStyle name="EYCoverProjectName" xfId="89" xr:uid="{00000000-0005-0000-0000-000095000000}"/>
    <cellStyle name="EYCurrency" xfId="90" xr:uid="{00000000-0005-0000-0000-000096000000}"/>
    <cellStyle name="EYNotes" xfId="91" xr:uid="{00000000-0005-0000-0000-000097000000}"/>
    <cellStyle name="EYNotesHeading" xfId="92" xr:uid="{00000000-0005-0000-0000-000098000000}"/>
    <cellStyle name="EYnumber" xfId="93" xr:uid="{00000000-0005-0000-0000-000099000000}"/>
    <cellStyle name="EYRelianceRestricted" xfId="94" xr:uid="{00000000-0005-0000-0000-00009A000000}"/>
    <cellStyle name="EYSectionHeading" xfId="95" xr:uid="{00000000-0005-0000-0000-00009B000000}"/>
    <cellStyle name="EYSheetHeader1" xfId="96" xr:uid="{00000000-0005-0000-0000-00009C000000}"/>
    <cellStyle name="EYSheetHeading" xfId="97" xr:uid="{00000000-0005-0000-0000-00009D000000}"/>
    <cellStyle name="EYsmallheading" xfId="98" xr:uid="{00000000-0005-0000-0000-00009E000000}"/>
    <cellStyle name="EYSource" xfId="99" xr:uid="{00000000-0005-0000-0000-00009F000000}"/>
    <cellStyle name="EYtext" xfId="100" xr:uid="{00000000-0005-0000-0000-0000A0000000}"/>
    <cellStyle name="EYtextbold" xfId="101" xr:uid="{00000000-0005-0000-0000-0000A1000000}"/>
    <cellStyle name="EYtextbolditalic" xfId="102" xr:uid="{00000000-0005-0000-0000-0000A2000000}"/>
    <cellStyle name="EYtextitalic" xfId="103" xr:uid="{00000000-0005-0000-0000-0000A3000000}"/>
    <cellStyle name="F2" xfId="104" xr:uid="{00000000-0005-0000-0000-0000A4000000}"/>
    <cellStyle name="F3" xfId="105" xr:uid="{00000000-0005-0000-0000-0000A5000000}"/>
    <cellStyle name="F4" xfId="106" xr:uid="{00000000-0005-0000-0000-0000A6000000}"/>
    <cellStyle name="F5" xfId="107" xr:uid="{00000000-0005-0000-0000-0000A7000000}"/>
    <cellStyle name="F6" xfId="108" xr:uid="{00000000-0005-0000-0000-0000A8000000}"/>
    <cellStyle name="F7" xfId="109" xr:uid="{00000000-0005-0000-0000-0000A9000000}"/>
    <cellStyle name="F8" xfId="110" xr:uid="{00000000-0005-0000-0000-0000AA000000}"/>
    <cellStyle name="Fecha" xfId="111" xr:uid="{00000000-0005-0000-0000-0000AB000000}"/>
    <cellStyle name="FieldName" xfId="296" xr:uid="{00000000-0005-0000-0000-0000AC000000}"/>
    <cellStyle name="Fijo" xfId="112" xr:uid="{00000000-0005-0000-0000-0000AD000000}"/>
    <cellStyle name="Financiero" xfId="113" xr:uid="{00000000-0005-0000-0000-0000AE000000}"/>
    <cellStyle name="Finanční0" xfId="114" xr:uid="{00000000-0005-0000-0000-0000AF000000}"/>
    <cellStyle name="Footnote" xfId="115" xr:uid="{00000000-0005-0000-0000-0000B0000000}"/>
    <cellStyle name="Footnotes" xfId="116" xr:uid="{00000000-0005-0000-0000-0000B1000000}"/>
    <cellStyle name="general" xfId="117" xr:uid="{00000000-0005-0000-0000-0000B2000000}"/>
    <cellStyle name="Grey" xfId="118" xr:uid="{00000000-0005-0000-0000-0000B3000000}"/>
    <cellStyle name="Hard Percent" xfId="119" xr:uid="{00000000-0005-0000-0000-0000B4000000}"/>
    <cellStyle name="Header" xfId="120" xr:uid="{00000000-0005-0000-0000-0000B5000000}"/>
    <cellStyle name="Header1" xfId="121" xr:uid="{00000000-0005-0000-0000-0000B6000000}"/>
    <cellStyle name="Header2" xfId="122" xr:uid="{00000000-0005-0000-0000-0000B7000000}"/>
    <cellStyle name="headers" xfId="123" xr:uid="{00000000-0005-0000-0000-0000B8000000}"/>
    <cellStyle name="heading" xfId="124" xr:uid="{00000000-0005-0000-0000-0000B9000000}"/>
    <cellStyle name="Heading 2" xfId="370" builtinId="17" customBuiltin="1"/>
    <cellStyle name="Heading 3" xfId="371" builtinId="18" customBuiltin="1"/>
    <cellStyle name="Headings" xfId="297" xr:uid="{00000000-0005-0000-0000-0000BA000000}"/>
    <cellStyle name="hidenorm" xfId="298" xr:uid="{00000000-0005-0000-0000-0000BB000000}"/>
    <cellStyle name="Hipervínculo" xfId="125" xr:uid="{00000000-0005-0000-0000-0000BD000000}"/>
    <cellStyle name="Hyperlink" xfId="126" builtinId="8"/>
    <cellStyle name="Hyperlink 2" xfId="377" xr:uid="{00000000-0005-0000-0000-0000BE000000}"/>
    <cellStyle name="Incorreto" xfId="362" xr:uid="{00000000-0005-0000-0000-0000BF000000}"/>
    <cellStyle name="Indefinido" xfId="127" xr:uid="{00000000-0005-0000-0000-0000C0000000}"/>
    <cellStyle name="INPUT" xfId="128" xr:uid="{00000000-0005-0000-0000-0000C1000000}"/>
    <cellStyle name="Input %" xfId="129" xr:uid="{00000000-0005-0000-0000-0000C2000000}"/>
    <cellStyle name="Input (%)" xfId="130" xr:uid="{00000000-0005-0000-0000-0000C3000000}"/>
    <cellStyle name="Input (£m)" xfId="131" xr:uid="{00000000-0005-0000-0000-0000C4000000}"/>
    <cellStyle name="Input (No)" xfId="132" xr:uid="{00000000-0005-0000-0000-0000C5000000}"/>
    <cellStyle name="Input [yellow]" xfId="133" xr:uid="{00000000-0005-0000-0000-0000C6000000}"/>
    <cellStyle name="Input 0" xfId="134" xr:uid="{00000000-0005-0000-0000-0000C7000000}"/>
    <cellStyle name="Input 0,0" xfId="135" xr:uid="{00000000-0005-0000-0000-0000C8000000}"/>
    <cellStyle name="Input Link" xfId="136" xr:uid="{00000000-0005-0000-0000-0000C9000000}"/>
    <cellStyle name="Input_Apresentação TSU" xfId="137" xr:uid="{00000000-0005-0000-0000-0000CA000000}"/>
    <cellStyle name="InputBlueFont" xfId="138" xr:uid="{00000000-0005-0000-0000-0000CB000000}"/>
    <cellStyle name="ITEM" xfId="139" xr:uid="{00000000-0005-0000-0000-0000CC000000}"/>
    <cellStyle name="Komma [0]_Blad1" xfId="140" xr:uid="{00000000-0005-0000-0000-0000CD000000}"/>
    <cellStyle name="Komma_Blad1" xfId="141" xr:uid="{00000000-0005-0000-0000-0000CE000000}"/>
    <cellStyle name="Label" xfId="299" xr:uid="{00000000-0005-0000-0000-0000CF000000}"/>
    <cellStyle name="Line" xfId="142" xr:uid="{00000000-0005-0000-0000-0000D0000000}"/>
    <cellStyle name="Link Currency (0)" xfId="143" xr:uid="{00000000-0005-0000-0000-0000D1000000}"/>
    <cellStyle name="Link Currency (2)" xfId="144" xr:uid="{00000000-0005-0000-0000-0000D2000000}"/>
    <cellStyle name="Link Units (0)" xfId="145" xr:uid="{00000000-0005-0000-0000-0000D3000000}"/>
    <cellStyle name="Link Units (1)" xfId="146" xr:uid="{00000000-0005-0000-0000-0000D4000000}"/>
    <cellStyle name="Link Units (2)" xfId="147" xr:uid="{00000000-0005-0000-0000-0000D5000000}"/>
    <cellStyle name="MacroCode" xfId="148" xr:uid="{00000000-0005-0000-0000-0000D6000000}"/>
    <cellStyle name="Migliaia (0)" xfId="149" xr:uid="{00000000-0005-0000-0000-0000D7000000}"/>
    <cellStyle name="Migliaia [0]_master finanziari 21_01_02" xfId="150" xr:uid="{00000000-0005-0000-0000-0000D8000000}"/>
    <cellStyle name="Migliaia_Capital Expenditures" xfId="151" xr:uid="{00000000-0005-0000-0000-0000D9000000}"/>
    <cellStyle name="Mike" xfId="152" xr:uid="{00000000-0005-0000-0000-0000DA000000}"/>
    <cellStyle name="mil" xfId="300" xr:uid="{00000000-0005-0000-0000-0000DB000000}"/>
    <cellStyle name="Millares [0]_10 AVERIAS MASIVAS + ANT" xfId="153" xr:uid="{00000000-0005-0000-0000-0000DC000000}"/>
    <cellStyle name="Millares 2 DEC" xfId="154" xr:uid="{00000000-0005-0000-0000-0000DD000000}"/>
    <cellStyle name="Millares_10 AVERIAS MASIVAS + ANT" xfId="155" xr:uid="{00000000-0005-0000-0000-0000DE000000}"/>
    <cellStyle name="Milliers [0]_~0033593" xfId="301" xr:uid="{00000000-0005-0000-0000-0000DF000000}"/>
    <cellStyle name="Milliers_~0033593" xfId="302" xr:uid="{00000000-0005-0000-0000-0000E0000000}"/>
    <cellStyle name="Moneda [0]_10 AVERIAS MASIVAS + ANT" xfId="156" xr:uid="{00000000-0005-0000-0000-0000E1000000}"/>
    <cellStyle name="Moneda_10 AVERIAS MASIVAS + ANT" xfId="157" xr:uid="{00000000-0005-0000-0000-0000E2000000}"/>
    <cellStyle name="Monétaire [0]_~0033593" xfId="303" xr:uid="{00000000-0005-0000-0000-0000E3000000}"/>
    <cellStyle name="Monétaire_~0033593" xfId="304" xr:uid="{00000000-0005-0000-0000-0000E4000000}"/>
    <cellStyle name="Monetario" xfId="158" xr:uid="{00000000-0005-0000-0000-0000E5000000}"/>
    <cellStyle name="Monetario0" xfId="159" xr:uid="{00000000-0005-0000-0000-0000E6000000}"/>
    <cellStyle name="Multiple" xfId="160" xr:uid="{00000000-0005-0000-0000-0000E7000000}"/>
    <cellStyle name="Multiple [1]" xfId="305" xr:uid="{00000000-0005-0000-0000-0000E8000000}"/>
    <cellStyle name="Multiple_~0034641" xfId="306" xr:uid="{00000000-0005-0000-0000-0000E9000000}"/>
    <cellStyle name="Neutra" xfId="363" xr:uid="{00000000-0005-0000-0000-0000EA000000}"/>
    <cellStyle name="NewPeso" xfId="307" xr:uid="{00000000-0005-0000-0000-0000EB000000}"/>
    <cellStyle name="no dec" xfId="161" xr:uid="{00000000-0005-0000-0000-0000EC000000}"/>
    <cellStyle name="No-definido" xfId="162" xr:uid="{00000000-0005-0000-0000-0000ED000000}"/>
    <cellStyle name="norm" xfId="308" xr:uid="{00000000-0005-0000-0000-0000EE000000}"/>
    <cellStyle name="Normal" xfId="0" builtinId="0"/>
    <cellStyle name="Normal - Style1" xfId="163" xr:uid="{00000000-0005-0000-0000-0000F0000000}"/>
    <cellStyle name="Normal (%)" xfId="164" xr:uid="{00000000-0005-0000-0000-0000F1000000}"/>
    <cellStyle name="Normal (£m)" xfId="165" xr:uid="{00000000-0005-0000-0000-0000F2000000}"/>
    <cellStyle name="Normal (No)" xfId="166" xr:uid="{00000000-0005-0000-0000-0000F3000000}"/>
    <cellStyle name="Normal (x)" xfId="167" xr:uid="{00000000-0005-0000-0000-0000F4000000}"/>
    <cellStyle name="Normal 2" xfId="168" xr:uid="{00000000-0005-0000-0000-0000F5000000}"/>
    <cellStyle name="Normal 2 2 5" xfId="374" xr:uid="{00000000-0005-0000-0000-0000F6000000}"/>
    <cellStyle name="Normal 3" xfId="169" xr:uid="{00000000-0005-0000-0000-0000F7000000}"/>
    <cellStyle name="Normal 3 2" xfId="269" xr:uid="{00000000-0005-0000-0000-0000F8000000}"/>
    <cellStyle name="Normal 4" xfId="170" xr:uid="{00000000-0005-0000-0000-0000F9000000}"/>
    <cellStyle name="Normal 5" xfId="171" xr:uid="{00000000-0005-0000-0000-0000FA000000}"/>
    <cellStyle name="Normal 6" xfId="327" xr:uid="{00000000-0005-0000-0000-0000FB000000}"/>
    <cellStyle name="Normal 7" xfId="376" xr:uid="{00000000-0005-0000-0000-0000FC000000}"/>
    <cellStyle name="Normal bold" xfId="172" xr:uid="{00000000-0005-0000-0000-0000FD000000}"/>
    <cellStyle name="Normal Italics" xfId="173" xr:uid="{00000000-0005-0000-0000-0000FE000000}"/>
    <cellStyle name="Normale_ cellular Costs" xfId="174" xr:uid="{00000000-0005-0000-0000-0000FF000000}"/>
    <cellStyle name="Normalny_56.Podstawowe dane o woj.(1)" xfId="175" xr:uid="{00000000-0005-0000-0000-000000010000}"/>
    <cellStyle name="Nota" xfId="364" xr:uid="{00000000-0005-0000-0000-000001010000}"/>
    <cellStyle name="Numbers" xfId="176" xr:uid="{00000000-0005-0000-0000-000002010000}"/>
    <cellStyle name="Numbers - Bold" xfId="177" xr:uid="{00000000-0005-0000-0000-000003010000}"/>
    <cellStyle name="Numbers_increm pf" xfId="178" xr:uid="{00000000-0005-0000-0000-000004010000}"/>
    <cellStyle name="Output Amounts" xfId="179" xr:uid="{00000000-0005-0000-0000-000005010000}"/>
    <cellStyle name="Output Column Headings" xfId="180" xr:uid="{00000000-0005-0000-0000-000006010000}"/>
    <cellStyle name="Output Line Items" xfId="181" xr:uid="{00000000-0005-0000-0000-000007010000}"/>
    <cellStyle name="Output Report Heading" xfId="182" xr:uid="{00000000-0005-0000-0000-000008010000}"/>
    <cellStyle name="Output Report Title" xfId="183" xr:uid="{00000000-0005-0000-0000-000009010000}"/>
    <cellStyle name="Page Heading Large" xfId="309" xr:uid="{00000000-0005-0000-0000-00000A010000}"/>
    <cellStyle name="Page Heading Small" xfId="310" xr:uid="{00000000-0005-0000-0000-00000B010000}"/>
    <cellStyle name="Page Number" xfId="184" xr:uid="{00000000-0005-0000-0000-00000C010000}"/>
    <cellStyle name="Percen - Estilo2" xfId="185" xr:uid="{00000000-0005-0000-0000-00000D010000}"/>
    <cellStyle name="Percent" xfId="186" builtinId="5"/>
    <cellStyle name="Percent (0)" xfId="187" xr:uid="{00000000-0005-0000-0000-00000E010000}"/>
    <cellStyle name="Percent [0]" xfId="188" xr:uid="{00000000-0005-0000-0000-00000F010000}"/>
    <cellStyle name="Percent [00]" xfId="189" xr:uid="{00000000-0005-0000-0000-000010010000}"/>
    <cellStyle name="Percent [1]" xfId="311" xr:uid="{00000000-0005-0000-0000-000011010000}"/>
    <cellStyle name="Percent [2]" xfId="190" xr:uid="{00000000-0005-0000-0000-000012010000}"/>
    <cellStyle name="Percent 2" xfId="191" xr:uid="{00000000-0005-0000-0000-000013010000}"/>
    <cellStyle name="Percent 3" xfId="192" xr:uid="{00000000-0005-0000-0000-000014010000}"/>
    <cellStyle name="Percent 4" xfId="193" xr:uid="{00000000-0005-0000-0000-000015010000}"/>
    <cellStyle name="Percent 5" xfId="329" xr:uid="{00000000-0005-0000-0000-000016010000}"/>
    <cellStyle name="Percent 6" xfId="330" xr:uid="{00000000-0005-0000-0000-000017010000}"/>
    <cellStyle name="Percent 7" xfId="379" xr:uid="{00000000-0005-0000-0000-000018010000}"/>
    <cellStyle name="Percent Hard" xfId="312" xr:uid="{00000000-0005-0000-0000-000019010000}"/>
    <cellStyle name="Percentage" xfId="194" xr:uid="{00000000-0005-0000-0000-00001A010000}"/>
    <cellStyle name="Porcentagem 2" xfId="313" xr:uid="{00000000-0005-0000-0000-00001C010000}"/>
    <cellStyle name="Porcentaje" xfId="195" xr:uid="{00000000-0005-0000-0000-00001D010000}"/>
    <cellStyle name="Porcentual_FR.5CG1G.20051231.FRG.CASINO GUICHARD" xfId="196" xr:uid="{00000000-0005-0000-0000-00001E010000}"/>
    <cellStyle name="pound" xfId="314" xr:uid="{00000000-0005-0000-0000-00001F010000}"/>
    <cellStyle name="PrePop Currency (0)" xfId="197" xr:uid="{00000000-0005-0000-0000-000020010000}"/>
    <cellStyle name="PrePop Currency (2)" xfId="198" xr:uid="{00000000-0005-0000-0000-000021010000}"/>
    <cellStyle name="PrePop Units (0)" xfId="199" xr:uid="{00000000-0005-0000-0000-000022010000}"/>
    <cellStyle name="PrePop Units (1)" xfId="200" xr:uid="{00000000-0005-0000-0000-000023010000}"/>
    <cellStyle name="PrePop Units (2)" xfId="201" xr:uid="{00000000-0005-0000-0000-000024010000}"/>
    <cellStyle name="PROJECT" xfId="315" xr:uid="{00000000-0005-0000-0000-000025010000}"/>
    <cellStyle name="PROJECT R" xfId="316" xr:uid="{00000000-0005-0000-0000-000026010000}"/>
    <cellStyle name="Protected" xfId="317" xr:uid="{00000000-0005-0000-0000-000027010000}"/>
    <cellStyle name="ProtectedDates" xfId="318" xr:uid="{00000000-0005-0000-0000-000028010000}"/>
    <cellStyle name="PSChar" xfId="202" xr:uid="{00000000-0005-0000-0000-000029010000}"/>
    <cellStyle name="PSDate" xfId="203" xr:uid="{00000000-0005-0000-0000-00002A010000}"/>
    <cellStyle name="PSDec" xfId="204" xr:uid="{00000000-0005-0000-0000-00002B010000}"/>
    <cellStyle name="PSHeading" xfId="205" xr:uid="{00000000-0005-0000-0000-00002C010000}"/>
    <cellStyle name="PSInt" xfId="206" xr:uid="{00000000-0005-0000-0000-00002D010000}"/>
    <cellStyle name="PSSpacer" xfId="207" xr:uid="{00000000-0005-0000-0000-00002E010000}"/>
    <cellStyle name="Punto" xfId="208" xr:uid="{00000000-0005-0000-0000-00002F010000}"/>
    <cellStyle name="Punto0" xfId="209" xr:uid="{00000000-0005-0000-0000-000030010000}"/>
    <cellStyle name="Punto0 - Modelo1" xfId="210" xr:uid="{00000000-0005-0000-0000-000031010000}"/>
    <cellStyle name="Punto0_Ene2001" xfId="211" xr:uid="{00000000-0005-0000-0000-000032010000}"/>
    <cellStyle name="r" xfId="212" xr:uid="{00000000-0005-0000-0000-000033010000}"/>
    <cellStyle name="Ratio" xfId="213" xr:uid="{00000000-0005-0000-0000-000034010000}"/>
    <cellStyle name="Red Text" xfId="214" xr:uid="{00000000-0005-0000-0000-000035010000}"/>
    <cellStyle name="RESUME" xfId="215" xr:uid="{00000000-0005-0000-0000-000036010000}"/>
    <cellStyle name="RM" xfId="216" xr:uid="{00000000-0005-0000-0000-000037010000}"/>
    <cellStyle name="Saída" xfId="365" xr:uid="{00000000-0005-0000-0000-000038010000}"/>
    <cellStyle name="SAPBEXHLevel1" xfId="217" xr:uid="{00000000-0005-0000-0000-000039010000}"/>
    <cellStyle name="SAPBEXstdData" xfId="218" xr:uid="{00000000-0005-0000-0000-00003A010000}"/>
    <cellStyle name="Section name" xfId="219" xr:uid="{00000000-0005-0000-0000-00003B010000}"/>
    <cellStyle name="Separador de milhares 2" xfId="267" xr:uid="{00000000-0005-0000-0000-00003C010000}"/>
    <cellStyle name="Separador de milhares 2 2" xfId="366" xr:uid="{00000000-0005-0000-0000-00003D010000}"/>
    <cellStyle name="Separador de milhares 6 2" xfId="375" xr:uid="{00000000-0005-0000-0000-00003E010000}"/>
    <cellStyle name="Shaded" xfId="319" xr:uid="{00000000-0005-0000-0000-00003F010000}"/>
    <cellStyle name="Shares" xfId="320" xr:uid="{00000000-0005-0000-0000-000040010000}"/>
    <cellStyle name="Spreadsheet title" xfId="220" xr:uid="{00000000-0005-0000-0000-000041010000}"/>
    <cellStyle name="Standaard_Blad1" xfId="221" xr:uid="{00000000-0005-0000-0000-000042010000}"/>
    <cellStyle name="Style 1" xfId="222" xr:uid="{00000000-0005-0000-0000-000043010000}"/>
    <cellStyle name="Subtitle" xfId="321" xr:uid="{00000000-0005-0000-0000-000044010000}"/>
    <cellStyle name="Sub-titulo" xfId="223" xr:uid="{00000000-0005-0000-0000-000045010000}"/>
    <cellStyle name="Sub-titulo 2" xfId="224" xr:uid="{00000000-0005-0000-0000-000046010000}"/>
    <cellStyle name="Subtotal" xfId="225" xr:uid="{00000000-0005-0000-0000-000047010000}"/>
    <cellStyle name="Sub-total" xfId="226" xr:uid="{00000000-0005-0000-0000-000048010000}"/>
    <cellStyle name="Table Col Head" xfId="322" xr:uid="{00000000-0005-0000-0000-000049010000}"/>
    <cellStyle name="Table Head" xfId="227" xr:uid="{00000000-0005-0000-0000-00004A010000}"/>
    <cellStyle name="Table Head Aligned" xfId="228" xr:uid="{00000000-0005-0000-0000-00004B010000}"/>
    <cellStyle name="Table Head Blue" xfId="229" xr:uid="{00000000-0005-0000-0000-00004C010000}"/>
    <cellStyle name="Table Head Green" xfId="230" xr:uid="{00000000-0005-0000-0000-00004D010000}"/>
    <cellStyle name="Table Sub Head" xfId="323" xr:uid="{00000000-0005-0000-0000-00004E010000}"/>
    <cellStyle name="Table Title" xfId="231" xr:uid="{00000000-0005-0000-0000-00004F010000}"/>
    <cellStyle name="Table Units" xfId="232" xr:uid="{00000000-0005-0000-0000-000050010000}"/>
    <cellStyle name="taples Plaza" xfId="233" xr:uid="{00000000-0005-0000-0000-000051010000}"/>
    <cellStyle name="Text Indent A" xfId="234" xr:uid="{00000000-0005-0000-0000-000052010000}"/>
    <cellStyle name="Text Indent B" xfId="235" xr:uid="{00000000-0005-0000-0000-000053010000}"/>
    <cellStyle name="Text Indent C" xfId="236" xr:uid="{00000000-0005-0000-0000-000054010000}"/>
    <cellStyle name="Texto de Aviso" xfId="367" xr:uid="{00000000-0005-0000-0000-000055010000}"/>
    <cellStyle name="Texto Explicativo" xfId="368" xr:uid="{00000000-0005-0000-0000-000056010000}"/>
    <cellStyle name="TITLE" xfId="237" xr:uid="{00000000-0005-0000-0000-000057010000}"/>
    <cellStyle name="Title - Underline" xfId="238" xr:uid="{00000000-0005-0000-0000-000058010000}"/>
    <cellStyle name="TITLE_Model_California Fixed_131299 - Version XII" xfId="239" xr:uid="{00000000-0005-0000-0000-000059010000}"/>
    <cellStyle name="title1" xfId="240" xr:uid="{00000000-0005-0000-0000-00005A010000}"/>
    <cellStyle name="title2" xfId="241" xr:uid="{00000000-0005-0000-0000-00005B010000}"/>
    <cellStyle name="Titles - Other" xfId="242" xr:uid="{00000000-0005-0000-0000-00005C010000}"/>
    <cellStyle name="Título" xfId="369" xr:uid="{00000000-0005-0000-0000-00005D010000}"/>
    <cellStyle name="Título 1" xfId="243" xr:uid="{00000000-0005-0000-0000-00005E010000}"/>
    <cellStyle name="Título 4" xfId="372" xr:uid="{00000000-0005-0000-0000-00005F010000}"/>
    <cellStyle name="Titulo-Seccion" xfId="244" xr:uid="{00000000-0005-0000-0000-000060010000}"/>
    <cellStyle name="TopGrey" xfId="245" xr:uid="{00000000-0005-0000-0000-000061010000}"/>
    <cellStyle name="Total" xfId="246" builtinId="25" customBuiltin="1"/>
    <cellStyle name="uk" xfId="247" xr:uid="{00000000-0005-0000-0000-000063010000}"/>
    <cellStyle name="Un" xfId="248" xr:uid="{00000000-0005-0000-0000-000064010000}"/>
    <cellStyle name="Unprot" xfId="249" xr:uid="{00000000-0005-0000-0000-000065010000}"/>
    <cellStyle name="Unprot$" xfId="250" xr:uid="{00000000-0005-0000-0000-000066010000}"/>
    <cellStyle name="Unprot_data" xfId="251" xr:uid="{00000000-0005-0000-0000-000067010000}"/>
    <cellStyle name="Unprotect" xfId="252" xr:uid="{00000000-0005-0000-0000-000068010000}"/>
    <cellStyle name="UnProtectedCalc" xfId="324" xr:uid="{00000000-0005-0000-0000-000069010000}"/>
    <cellStyle name="Valuta (0)" xfId="253" xr:uid="{00000000-0005-0000-0000-00006A010000}"/>
    <cellStyle name="Valuta [0]_Blad1" xfId="254" xr:uid="{00000000-0005-0000-0000-00006B010000}"/>
    <cellStyle name="Valuta_ cellular Costs" xfId="255" xr:uid="{00000000-0005-0000-0000-00006C010000}"/>
    <cellStyle name="Vírgula 2" xfId="373" xr:uid="{00000000-0005-0000-0000-00006E010000}"/>
    <cellStyle name="WP" xfId="325" xr:uid="{00000000-0005-0000-0000-00006F010000}"/>
    <cellStyle name="x Men" xfId="326" xr:uid="{00000000-0005-0000-0000-000070010000}"/>
    <cellStyle name="Year" xfId="256" xr:uid="{00000000-0005-0000-0000-000071010000}"/>
    <cellStyle name="yellow" xfId="257" xr:uid="{00000000-0005-0000-0000-000072010000}"/>
    <cellStyle name="콤마 [0]_ 2팀층별 " xfId="261" xr:uid="{00000000-0005-0000-0000-000073010000}"/>
    <cellStyle name="콤마_ 2팀층별 " xfId="262" xr:uid="{00000000-0005-0000-0000-000074010000}"/>
    <cellStyle name="표준_0N-HANDLING " xfId="263" xr:uid="{00000000-0005-0000-0000-000075010000}"/>
    <cellStyle name="一般_Boeing" xfId="258" xr:uid="{00000000-0005-0000-0000-000076010000}"/>
    <cellStyle name="千分位[0]_update" xfId="259" xr:uid="{00000000-0005-0000-0000-000077010000}"/>
    <cellStyle name="千分位_yield_forecast" xfId="260" xr:uid="{00000000-0005-0000-0000-000078010000}"/>
    <cellStyle name="貨幣 [0]_yield_forecast" xfId="264" xr:uid="{00000000-0005-0000-0000-000079010000}"/>
    <cellStyle name="貨幣[0]_要項節錄" xfId="265" xr:uid="{00000000-0005-0000-0000-00007A010000}"/>
    <cellStyle name="貨幣_yield_forecast" xfId="266" xr:uid="{00000000-0005-0000-0000-00007B01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8F8F8"/>
      <rgbColor rgb="00FFF0E1"/>
      <rgbColor rgb="00FFA54B"/>
      <rgbColor rgb="00EB0000"/>
      <rgbColor rgb="00870000"/>
      <rgbColor rgb="00696969"/>
      <rgbColor rgb="00FFFFFF"/>
      <rgbColor rgb="009E9E9E"/>
      <rgbColor rgb="00EAEAEA"/>
      <rgbColor rgb="00DDDDDD"/>
      <rgbColor rgb="00C0C0C0"/>
      <rgbColor rgb="00B2B2B2"/>
      <rgbColor rgb="00969696"/>
      <rgbColor rgb="00808080"/>
      <rgbColor rgb="00777777"/>
      <rgbColor rgb="0000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7.xml"/><Relationship Id="rId34" Type="http://schemas.openxmlformats.org/officeDocument/2006/relationships/externalLink" Target="externalLinks/externalLink20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5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31" Type="http://schemas.openxmlformats.org/officeDocument/2006/relationships/externalLink" Target="externalLinks/externalLink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Dívida com 2x Net Debt/Ebitda</a:t>
            </a:r>
          </a:p>
        </c:rich>
      </c:tx>
      <c:layout>
        <c:manualLayout>
          <c:xMode val="edge"/>
          <c:yMode val="edge"/>
          <c:x val="0.36666720920219181"/>
          <c:y val="0.1152651481732774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33353061897868"/>
          <c:y val="4.6729114124300683E-2"/>
          <c:w val="0.86060733399522671"/>
          <c:h val="0.71028253468937064"/>
        </c:manualLayout>
      </c:layout>
      <c:lineChart>
        <c:grouping val="standard"/>
        <c:varyColors val="0"/>
        <c:ser>
          <c:idx val="0"/>
          <c:order val="0"/>
          <c:tx>
            <c:strRef>
              <c:f>Output!$AD$19</c:f>
              <c:strCache>
                <c:ptCount val="1"/>
                <c:pt idx="0">
                  <c:v>Base Case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5297336197538833E-2"/>
                  <c:y val="3.9490275850835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68C-41F6-9A53-BA8C54B6D4EB}"/>
                </c:ext>
              </c:extLst>
            </c:dLbl>
            <c:dLbl>
              <c:idx val="1"/>
              <c:layout>
                <c:manualLayout>
                  <c:x val="-3.0895798433345023E-3"/>
                  <c:y val="-2.1027982667705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8C-41F6-9A53-BA8C54B6D4EB}"/>
                </c:ext>
              </c:extLst>
            </c:dLbl>
            <c:dLbl>
              <c:idx val="2"/>
              <c:layout>
                <c:manualLayout>
                  <c:x val="-4.2699967482030921E-2"/>
                  <c:y val="-4.20472441790829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68C-41F6-9A53-BA8C54B6D4EB}"/>
                </c:ext>
              </c:extLst>
            </c:dLbl>
            <c:dLbl>
              <c:idx val="3"/>
              <c:layout>
                <c:manualLayout>
                  <c:x val="-3.8371055053673296E-2"/>
                  <c:y val="-4.32926216589273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8C-41F6-9A53-BA8C54B6D4EB}"/>
                </c:ext>
              </c:extLst>
            </c:dLbl>
            <c:dLbl>
              <c:idx val="4"/>
              <c:layout>
                <c:manualLayout>
                  <c:x val="-4.0102598766523202E-2"/>
                  <c:y val="3.36796512387293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68C-41F6-9A53-BA8C54B6D4EB}"/>
                </c:ext>
              </c:extLst>
            </c:dLbl>
            <c:dLbl>
              <c:idx val="5"/>
              <c:layout>
                <c:manualLayout>
                  <c:x val="-3.8803834965305796E-2"/>
                  <c:y val="3.11802535024462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8C-41F6-9A53-BA8C54B6D4EB}"/>
                </c:ext>
              </c:extLst>
            </c:dLbl>
            <c:dLbl>
              <c:idx val="6"/>
              <c:layout>
                <c:manualLayout>
                  <c:x val="-1.291379159455782E-2"/>
                  <c:y val="4.3968583080192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68C-41F6-9A53-BA8C54B6D4E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00" b="0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Output!$AE$18:$AK$18</c:f>
              <c:numCache>
                <c:formatCode>_(* #,##0_);_(* \(#,##0\);_(* "-"??_);_(@_)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Output!$AE$19:$AK$19</c:f>
              <c:numCache>
                <c:formatCode>_(* #,##0_);_(* \(#,##0\);_(* "-"??_);_(@_)</c:formatCode>
                <c:ptCount val="7"/>
                <c:pt idx="0">
                  <c:v>164570</c:v>
                </c:pt>
                <c:pt idx="1">
                  <c:v>183465.55241386563</c:v>
                </c:pt>
                <c:pt idx="2">
                  <c:v>170148.81936694199</c:v>
                </c:pt>
                <c:pt idx="3">
                  <c:v>159491.34534482681</c:v>
                </c:pt>
                <c:pt idx="4">
                  <c:v>162862.30803122171</c:v>
                </c:pt>
                <c:pt idx="5">
                  <c:v>186936.78267908155</c:v>
                </c:pt>
                <c:pt idx="6">
                  <c:v>218723.07270294201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68C-41F6-9A53-BA8C54B6D4EB}"/>
            </c:ext>
          </c:extLst>
        </c:ser>
        <c:ser>
          <c:idx val="1"/>
          <c:order val="1"/>
          <c:tx>
            <c:strRef>
              <c:f>Output!$AD$20</c:f>
              <c:strCache>
                <c:ptCount val="1"/>
                <c:pt idx="0">
                  <c:v>Cliente Case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68C-41F6-9A53-BA8C54B6D4EB}"/>
                </c:ext>
              </c:extLst>
            </c:dLbl>
            <c:dLbl>
              <c:idx val="1"/>
              <c:layout>
                <c:manualLayout>
                  <c:x val="-5.1574500068417607E-2"/>
                  <c:y val="-4.66744621829474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68C-41F6-9A53-BA8C54B6D4EB}"/>
                </c:ext>
              </c:extLst>
            </c:dLbl>
            <c:dLbl>
              <c:idx val="2"/>
              <c:layout>
                <c:manualLayout>
                  <c:x val="-5.1790890024234114E-2"/>
                  <c:y val="-5.6407108491995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68C-41F6-9A53-BA8C54B6D4EB}"/>
                </c:ext>
              </c:extLst>
            </c:dLbl>
            <c:dLbl>
              <c:idx val="3"/>
              <c:layout>
                <c:manualLayout>
                  <c:x val="-4.8977131352909944E-2"/>
                  <c:y val="-5.10267981646147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68C-41F6-9A53-BA8C54B6D4EB}"/>
                </c:ext>
              </c:extLst>
            </c:dLbl>
            <c:dLbl>
              <c:idx val="4"/>
              <c:layout>
                <c:manualLayout>
                  <c:x val="-5.8284443850929492E-2"/>
                  <c:y val="-5.94229412617640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68C-41F6-9A53-BA8C54B6D4EB}"/>
                </c:ext>
              </c:extLst>
            </c:dLbl>
            <c:dLbl>
              <c:idx val="5"/>
              <c:layout>
                <c:manualLayout>
                  <c:x val="-5.6985680049712023E-2"/>
                  <c:y val="-5.39595040052104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68C-41F6-9A53-BA8C54B6D4EB}"/>
                </c:ext>
              </c:extLst>
            </c:dLbl>
            <c:dLbl>
              <c:idx val="6"/>
              <c:layout>
                <c:manualLayout>
                  <c:x val="-3.1095636678964835E-2"/>
                  <c:y val="-3.9744042650797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68C-41F6-9A53-BA8C54B6D4E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Output!$AE$18:$AK$18</c:f>
              <c:numCache>
                <c:formatCode>_(* #,##0_);_(* \(#,##0\);_(* "-"??_);_(@_)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Output!$AE$20:$AK$20</c:f>
              <c:numCache>
                <c:formatCode>_(* #,##0_);_(* \(#,##0\);_(* "-"??_);_(@_)</c:formatCode>
                <c:ptCount val="7"/>
                <c:pt idx="0">
                  <c:v>164570</c:v>
                </c:pt>
                <c:pt idx="1">
                  <c:v>204717.10038877412</c:v>
                </c:pt>
                <c:pt idx="2">
                  <c:v>239998.33229578205</c:v>
                </c:pt>
                <c:pt idx="3">
                  <c:v>259196.63147139293</c:v>
                </c:pt>
                <c:pt idx="4">
                  <c:v>293350.95363304776</c:v>
                </c:pt>
                <c:pt idx="5">
                  <c:v>354049.09264929523</c:v>
                </c:pt>
                <c:pt idx="6">
                  <c:v>428186.857142867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68C-41F6-9A53-BA8C54B6D4EB}"/>
            </c:ext>
          </c:extLst>
        </c:ser>
        <c:ser>
          <c:idx val="2"/>
          <c:order val="2"/>
          <c:tx>
            <c:strRef>
              <c:f>Output!$AD$21</c:f>
              <c:strCache>
                <c:ptCount val="1"/>
                <c:pt idx="0">
                  <c:v>Stress Case</c:v>
                </c:pt>
              </c:strCache>
            </c:strRef>
          </c:tx>
          <c:spPr>
            <a:ln w="12700">
              <a:solidFill>
                <a:srgbClr val="80808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68C-41F6-9A53-BA8C54B6D4EB}"/>
                </c:ext>
              </c:extLst>
            </c:dLbl>
            <c:dLbl>
              <c:idx val="1"/>
              <c:layout>
                <c:manualLayout>
                  <c:x val="-5.4604807582485287E-2"/>
                  <c:y val="3.83895015127852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68C-41F6-9A53-BA8C54B6D4EB}"/>
                </c:ext>
              </c:extLst>
            </c:dLbl>
            <c:dLbl>
              <c:idx val="2"/>
              <c:layout>
                <c:manualLayout>
                  <c:x val="-5.3306043781267846E-2"/>
                  <c:y val="2.2770962320997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68C-41F6-9A53-BA8C54B6D4EB}"/>
                </c:ext>
              </c:extLst>
            </c:dLbl>
            <c:dLbl>
              <c:idx val="3"/>
              <c:layout>
                <c:manualLayout>
                  <c:x val="-5.3522592624011503E-2"/>
                  <c:y val="2.61910692753564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68C-41F6-9A53-BA8C54B6D4EB}"/>
                </c:ext>
              </c:extLst>
            </c:dLbl>
            <c:dLbl>
              <c:idx val="4"/>
              <c:layout>
                <c:manualLayout>
                  <c:x val="-5.2223828822794062E-2"/>
                  <c:y val="-5.54849920312294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68C-41F6-9A53-BA8C54B6D4EB}"/>
                </c:ext>
              </c:extLst>
            </c:dLbl>
            <c:dLbl>
              <c:idx val="5"/>
              <c:layout>
                <c:manualLayout>
                  <c:x val="-5.0925065021576621E-2"/>
                  <c:y val="-4.8959081903049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68C-41F6-9A53-BA8C54B6D4EB}"/>
                </c:ext>
              </c:extLst>
            </c:dLbl>
            <c:dLbl>
              <c:idx val="6"/>
              <c:layout>
                <c:manualLayout>
                  <c:x val="-2.9580482921930131E-2"/>
                  <c:y val="-4.1448328698444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68C-41F6-9A53-BA8C54B6D4EB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00" b="0" i="0" u="none" strike="noStrike" baseline="0">
                    <a:solidFill>
                      <a:srgbClr val="80808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Output!$AE$18:$AK$18</c:f>
              <c:numCache>
                <c:formatCode>_(* #,##0_);_(* \(#,##0\);_(* "-"??_);_(@_)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Output!$AE$21:$AK$21</c:f>
              <c:numCache>
                <c:formatCode>General</c:formatCode>
                <c:ptCount val="7"/>
                <c:pt idx="0">
                  <c:v>164570</c:v>
                </c:pt>
                <c:pt idx="1">
                  <c:v>167819.93940225785</c:v>
                </c:pt>
                <c:pt idx="2">
                  <c:v>153977.52086405782</c:v>
                </c:pt>
                <c:pt idx="3">
                  <c:v>144302.16423657141</c:v>
                </c:pt>
                <c:pt idx="4">
                  <c:v>173477.32586057138</c:v>
                </c:pt>
                <c:pt idx="5">
                  <c:v>207217.00810057137</c:v>
                </c:pt>
                <c:pt idx="6">
                  <c:v>231712.47208728504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68C-41F6-9A53-BA8C54B6D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92416"/>
        <c:axId val="117302400"/>
      </c:lineChart>
      <c:catAx>
        <c:axId val="117292416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7302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302400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729241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3939444157558812"/>
          <c:y val="0.9190059111112463"/>
          <c:w val="0.41666728318431395"/>
          <c:h val="6.230548549906755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en-US"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000000000000944" r="0.75000000000000944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000"/>
              <a:t>Diferença</a:t>
            </a:r>
            <a:r>
              <a:rPr lang="pt-BR" sz="1000" baseline="0"/>
              <a:t> Ebitda entre Cenários</a:t>
            </a:r>
            <a:endParaRPr lang="pt-BR" sz="1000"/>
          </a:p>
        </c:rich>
      </c:tx>
      <c:layout>
        <c:manualLayout>
          <c:xMode val="edge"/>
          <c:yMode val="edge"/>
          <c:x val="0.26896082299703161"/>
          <c:y val="5.25845580224196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6704067978250241E-3"/>
          <c:y val="0.17272918028553211"/>
          <c:w val="0.99732959320217496"/>
          <c:h val="0.53448619359169836"/>
        </c:manualLayout>
      </c:layout>
      <c:lineChart>
        <c:grouping val="standard"/>
        <c:varyColors val="0"/>
        <c:ser>
          <c:idx val="1"/>
          <c:order val="0"/>
          <c:tx>
            <c:strRef>
              <c:f>Output!$AP$12</c:f>
              <c:strCache>
                <c:ptCount val="1"/>
                <c:pt idx="0">
                  <c:v>Base Case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Output!$AQ$12:$AX$12</c:f>
              <c:numCache>
                <c:formatCode>General</c:formatCode>
                <c:ptCount val="8"/>
                <c:pt idx="2" formatCode="0%">
                  <c:v>4.0205585258605681E-2</c:v>
                </c:pt>
                <c:pt idx="3" formatCode="0%">
                  <c:v>4.465237969947812E-2</c:v>
                </c:pt>
                <c:pt idx="4" formatCode="0%">
                  <c:v>4.5140839446809973E-2</c:v>
                </c:pt>
                <c:pt idx="5" formatCode="0%">
                  <c:v>4.6529053679637139E-2</c:v>
                </c:pt>
                <c:pt idx="6" formatCode="0%">
                  <c:v>4.755055287173901E-2</c:v>
                </c:pt>
                <c:pt idx="7" formatCode="0%">
                  <c:v>4.8846226328916574E-2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7-4854-98B2-18F4C9D086F1}"/>
            </c:ext>
          </c:extLst>
        </c:ser>
        <c:ser>
          <c:idx val="2"/>
          <c:order val="1"/>
          <c:tx>
            <c:strRef>
              <c:f>Output!$AP$13</c:f>
              <c:strCache>
                <c:ptCount val="1"/>
                <c:pt idx="0">
                  <c:v>Variação NCG Client Case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Output!$AQ$13:$AX$13</c:f>
            </c:numRef>
          </c:val>
          <c:smooth val="0"/>
          <c:extLst>
            <c:ext xmlns:c16="http://schemas.microsoft.com/office/drawing/2014/chart" uri="{C3380CC4-5D6E-409C-BE32-E72D297353CC}">
              <c16:uniqueId val="{00000001-7EE7-4854-98B2-18F4C9D086F1}"/>
            </c:ext>
          </c:extLst>
        </c:ser>
        <c:ser>
          <c:idx val="3"/>
          <c:order val="2"/>
          <c:tx>
            <c:strRef>
              <c:f>Output!$AP$14</c:f>
              <c:strCache>
                <c:ptCount val="1"/>
                <c:pt idx="0">
                  <c:v>Stress Case</c:v>
                </c:pt>
              </c:strCache>
            </c:strRef>
          </c:tx>
          <c:spPr>
            <a:ln w="12700">
              <a:solidFill>
                <a:srgbClr val="B2B2B2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B2B2B2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/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Output!$AQ$14:$AX$14</c:f>
              <c:numCache>
                <c:formatCode>_(* #,##0.00_);_(* \(#,##0.00\);_(* "-"??_);_(@_)</c:formatCode>
                <c:ptCount val="8"/>
                <c:pt idx="2" formatCode="0.0%">
                  <c:v>3.3074510457726643E-2</c:v>
                </c:pt>
                <c:pt idx="3" formatCode="0.0%">
                  <c:v>3.2433557390609977E-2</c:v>
                </c:pt>
                <c:pt idx="4" formatCode="0.0%">
                  <c:v>3.1969456612986329E-2</c:v>
                </c:pt>
                <c:pt idx="5" formatCode="0.0%">
                  <c:v>3.10264619164109E-2</c:v>
                </c:pt>
                <c:pt idx="6" formatCode="0.0%">
                  <c:v>3.0638157508582078E-2</c:v>
                </c:pt>
                <c:pt idx="7" formatCode="0.0%">
                  <c:v>3.0498387849860122E-2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E7-4854-98B2-18F4C9D08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58720"/>
        <c:axId val="96959872"/>
      </c:lineChart>
      <c:catAx>
        <c:axId val="96958720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69598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9598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695872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0977723410633833"/>
          <c:y val="0.82596784737186157"/>
          <c:w val="0.79791962748699263"/>
          <c:h val="0.1246980113626620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000000000000944" r="0.75000000000000944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Interest Coverage Ratio</a:t>
            </a:r>
          </a:p>
        </c:rich>
      </c:tx>
      <c:layout>
        <c:manualLayout>
          <c:xMode val="edge"/>
          <c:yMode val="edge"/>
          <c:x val="0.38690532416255202"/>
          <c:y val="3.20000833335503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63111024564029"/>
          <c:y val="4.0000104166937916E-2"/>
          <c:w val="0.87797746636887009"/>
          <c:h val="0.76266865278294993"/>
        </c:manualLayout>
      </c:layout>
      <c:lineChart>
        <c:grouping val="standard"/>
        <c:varyColors val="0"/>
        <c:ser>
          <c:idx val="1"/>
          <c:order val="0"/>
          <c:tx>
            <c:strRef>
              <c:f>Output!$AP$17</c:f>
              <c:strCache>
                <c:ptCount val="1"/>
                <c:pt idx="0">
                  <c:v>Base Case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3.2354317921224861E-2"/>
                  <c:y val="2.05903847592278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91-45DD-9BF1-B74FBD266BDE}"/>
                </c:ext>
              </c:extLst>
            </c:dLbl>
            <c:dLbl>
              <c:idx val="2"/>
              <c:layout>
                <c:manualLayout>
                  <c:x val="-6.5517595021429939E-2"/>
                  <c:y val="3.95609126010566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91-45DD-9BF1-B74FBD266BDE}"/>
                </c:ext>
              </c:extLst>
            </c:dLbl>
            <c:dLbl>
              <c:idx val="3"/>
              <c:layout>
                <c:manualLayout>
                  <c:x val="-9.3951838917781874E-3"/>
                  <c:y val="1.1265107747179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91-45DD-9BF1-B74FBD266BDE}"/>
                </c:ext>
              </c:extLst>
            </c:dLbl>
            <c:dLbl>
              <c:idx val="4"/>
              <c:layout>
                <c:manualLayout>
                  <c:x val="-8.3322207776050702E-3"/>
                  <c:y val="1.4018522575540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91-45DD-9BF1-B74FBD266BDE}"/>
                </c:ext>
              </c:extLst>
            </c:dLbl>
            <c:dLbl>
              <c:idx val="5"/>
              <c:layout>
                <c:manualLayout>
                  <c:x val="-3.8519303076560811E-2"/>
                  <c:y val="-4.97193556597694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91-45DD-9BF1-B74FBD266BDE}"/>
                </c:ext>
              </c:extLst>
            </c:dLbl>
            <c:dLbl>
              <c:idx val="6"/>
              <c:layout>
                <c:manualLayout>
                  <c:x val="-3.8944437363013146E-2"/>
                  <c:y val="-4.41449584631662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91-45DD-9BF1-B74FBD266BD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25" b="0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Output!$AQ$11:$AW$11</c:f>
              <c:numCache>
                <c:formatCode>_(* #,##0_);_(* \(#,##0\);_(* "-"??_);_(@_)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Output!$AQ$17:$AW$17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2.3505268367965693</c:v>
                </c:pt>
                <c:pt idx="3">
                  <c:v>1.8981457913497346</c:v>
                </c:pt>
                <c:pt idx="4">
                  <c:v>1.664438045353174</c:v>
                </c:pt>
                <c:pt idx="5">
                  <c:v>1.3339471194462826</c:v>
                </c:pt>
                <c:pt idx="6">
                  <c:v>1.0312661444012732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91-45DD-9BF1-B74FBD266BDE}"/>
            </c:ext>
          </c:extLst>
        </c:ser>
        <c:ser>
          <c:idx val="2"/>
          <c:order val="1"/>
          <c:tx>
            <c:strRef>
              <c:f>Output!$AP$18</c:f>
              <c:strCache>
                <c:ptCount val="1"/>
                <c:pt idx="0">
                  <c:v>Covenant Sugerido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3.0866220520598626E-2"/>
                  <c:y val="-4.69708305412937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91-45DD-9BF1-B74FBD266BDE}"/>
                </c:ext>
              </c:extLst>
            </c:dLbl>
            <c:dLbl>
              <c:idx val="2"/>
              <c:layout>
                <c:manualLayout>
                  <c:x val="-2.8315160005800581E-2"/>
                  <c:y val="-4.5254643063288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E91-45DD-9BF1-B74FBD266BDE}"/>
                </c:ext>
              </c:extLst>
            </c:dLbl>
            <c:dLbl>
              <c:idx val="3"/>
              <c:layout>
                <c:manualLayout>
                  <c:x val="-3.0228547500530351E-2"/>
                  <c:y val="-4.5796703785653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91-45DD-9BF1-B74FBD266BDE}"/>
                </c:ext>
              </c:extLst>
            </c:dLbl>
            <c:dLbl>
              <c:idx val="4"/>
              <c:layout>
                <c:manualLayout>
                  <c:x val="-4.1070363591358745E-2"/>
                  <c:y val="-5.01094497457976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E91-45DD-9BF1-B74FBD266BDE}"/>
                </c:ext>
              </c:extLst>
            </c:dLbl>
            <c:dLbl>
              <c:idx val="5"/>
              <c:layout>
                <c:manualLayout>
                  <c:x val="-6.0840764085938533E-2"/>
                  <c:y val="-3.8805380951462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91-45DD-9BF1-B74FBD266BDE}"/>
                </c:ext>
              </c:extLst>
            </c:dLbl>
            <c:dLbl>
              <c:idx val="6"/>
              <c:layout>
                <c:manualLayout>
                  <c:x val="-7.1682580176767013E-2"/>
                  <c:y val="-2.26354702348742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E91-45DD-9BF1-B74FBD266BD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Output!$AQ$11:$AW$11</c:f>
              <c:numCache>
                <c:formatCode>_(* #,##0_);_(* \(#,##0\);_(* "-"??_);_(@_)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Output!$AQ$18:$AW$18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E91-45DD-9BF1-B74FBD266BDE}"/>
            </c:ext>
          </c:extLst>
        </c:ser>
        <c:ser>
          <c:idx val="3"/>
          <c:order val="2"/>
          <c:tx>
            <c:strRef>
              <c:f>Output!$AP$19</c:f>
              <c:strCache>
                <c:ptCount val="1"/>
                <c:pt idx="0">
                  <c:v>Interest Coverage Stress Case</c:v>
                </c:pt>
              </c:strCache>
            </c:strRef>
          </c:tx>
          <c:spPr>
            <a:ln w="12700">
              <a:solidFill>
                <a:srgbClr val="B2B2B2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B2B2B2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3.0866220520598626E-2"/>
                  <c:y val="-0.1089297278991611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E91-45DD-9BF1-B74FBD266BDE}"/>
                </c:ext>
              </c:extLst>
            </c:dLbl>
            <c:dLbl>
              <c:idx val="2"/>
              <c:layout>
                <c:manualLayout>
                  <c:x val="-3.1291354807050892E-2"/>
                  <c:y val="-9.72773510736933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E91-45DD-9BF1-B74FBD266BDE}"/>
                </c:ext>
              </c:extLst>
            </c:dLbl>
            <c:dLbl>
              <c:idx val="3"/>
              <c:layout>
                <c:manualLayout>
                  <c:x val="-3.0228547500530351E-2"/>
                  <c:y val="-0.107935627183261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E91-45DD-9BF1-B74FBD266BDE}"/>
                </c:ext>
              </c:extLst>
            </c:dLbl>
            <c:dLbl>
              <c:idx val="4"/>
              <c:layout>
                <c:manualLayout>
                  <c:x val="-3.6606071389483442E-2"/>
                  <c:y val="5.29003671235092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E91-45DD-9BF1-B74FBD266BDE}"/>
                </c:ext>
              </c:extLst>
            </c:dLbl>
            <c:dLbl>
              <c:idx val="5"/>
              <c:layout>
                <c:manualLayout>
                  <c:x val="-2.512642647093432E-2"/>
                  <c:y val="2.28849720146186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E91-45DD-9BF1-B74FBD266BDE}"/>
                </c:ext>
              </c:extLst>
            </c:dLbl>
            <c:dLbl>
              <c:idx val="6"/>
              <c:layout>
                <c:manualLayout>
                  <c:x val="-2.7039658158011882E-2"/>
                  <c:y val="2.3194673298964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E91-45DD-9BF1-B74FBD266BD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25" b="0" i="0" u="none" strike="noStrike" baseline="0">
                    <a:solidFill>
                      <a:srgbClr val="969696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Output!$AQ$11:$AW$11</c:f>
              <c:numCache>
                <c:formatCode>_(* #,##0_);_(* \(#,##0\);_(* "-"??_);_(@_)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Output!$AQ$19:$AW$19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1.3667284787669789</c:v>
                </c:pt>
                <c:pt idx="3">
                  <c:v>0.91197165693065163</c:v>
                </c:pt>
                <c:pt idx="4">
                  <c:v>1.0356276510531035</c:v>
                </c:pt>
                <c:pt idx="5">
                  <c:v>1.3761137209358569</c:v>
                </c:pt>
                <c:pt idx="6">
                  <c:v>1.7752232690012049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E91-45DD-9BF1-B74FBD266BDE}"/>
            </c:ext>
          </c:extLst>
        </c:ser>
        <c:ser>
          <c:idx val="0"/>
          <c:order val="3"/>
          <c:tx>
            <c:strRef>
              <c:f>Output!$AP$20</c:f>
              <c:strCache>
                <c:ptCount val="1"/>
                <c:pt idx="0">
                  <c:v>Corte Sugerido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ysDash"/>
            </a:ln>
          </c:spPr>
          <c:marker>
            <c:symbol val="none"/>
          </c:marker>
          <c:val>
            <c:numRef>
              <c:f>Output!$AQ$20:$AW$20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E91-45DD-9BF1-B74FBD266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984448"/>
        <c:axId val="117027200"/>
      </c:lineChart>
      <c:catAx>
        <c:axId val="116984448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7027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0272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698444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7559549327377091"/>
          <c:y val="0.88800231250602213"/>
          <c:w val="0.76041777171946456"/>
          <c:h val="0.1013335972229094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en-US"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000000000000944" r="0.75000000000000944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Liquidez Seca</a:t>
            </a:r>
          </a:p>
        </c:rich>
      </c:tx>
      <c:layout>
        <c:manualLayout>
          <c:xMode val="edge"/>
          <c:yMode val="edge"/>
          <c:x val="0.43108535262594588"/>
          <c:y val="3.21716238841842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909155995947705E-2"/>
          <c:y val="4.0214529855231676E-2"/>
          <c:w val="0.8753671956383996"/>
          <c:h val="0.76943800456341849"/>
        </c:manualLayout>
      </c:layout>
      <c:lineChart>
        <c:grouping val="standard"/>
        <c:varyColors val="0"/>
        <c:ser>
          <c:idx val="1"/>
          <c:order val="0"/>
          <c:tx>
            <c:strRef>
              <c:f>Output!$AP$23</c:f>
              <c:strCache>
                <c:ptCount val="1"/>
                <c:pt idx="0">
                  <c:v>Liquidez Seca Base Case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2.9689207400241842E-2"/>
                  <c:y val="-4.32842075918846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41-44B3-8501-95AC08C8FA0F}"/>
                </c:ext>
              </c:extLst>
            </c:dLbl>
            <c:dLbl>
              <c:idx val="2"/>
              <c:layout>
                <c:manualLayout>
                  <c:x val="-2.7175508472642898E-2"/>
                  <c:y val="-4.74824106434104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41-44B3-8501-95AC08C8FA0F}"/>
                </c:ext>
              </c:extLst>
            </c:dLbl>
            <c:dLbl>
              <c:idx val="3"/>
              <c:layout>
                <c:manualLayout>
                  <c:x val="-2.3195686483568487E-2"/>
                  <c:y val="2.44373116321139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41-44B3-8501-95AC08C8FA0F}"/>
                </c:ext>
              </c:extLst>
            </c:dLbl>
            <c:dLbl>
              <c:idx val="4"/>
              <c:layout>
                <c:manualLayout>
                  <c:x val="-3.3878631590615119E-2"/>
                  <c:y val="2.67499760590825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41-44B3-8501-95AC08C8FA0F}"/>
                </c:ext>
              </c:extLst>
            </c:dLbl>
            <c:dLbl>
              <c:idx val="5"/>
              <c:layout>
                <c:manualLayout>
                  <c:x val="-2.2567272405344767E-2"/>
                  <c:y val="3.06542843313851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41-44B3-8501-95AC08C8FA0F}"/>
                </c:ext>
              </c:extLst>
            </c:dLbl>
            <c:dLbl>
              <c:idx val="6"/>
              <c:layout>
                <c:manualLayout>
                  <c:x val="-1.1256066868209786E-2"/>
                  <c:y val="3.31694017682981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41-44B3-8501-95AC08C8FA0F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50" b="0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Output!$AS$23:$AX$23</c:f>
              <c:numCache>
                <c:formatCode>_(* #,##0.00_);_(* \(#,##0.00\);_(* "-"??_);_(@_)</c:formatCode>
                <c:ptCount val="6"/>
                <c:pt idx="0">
                  <c:v>2.7928030275238087</c:v>
                </c:pt>
                <c:pt idx="1">
                  <c:v>2.4669518298807822</c:v>
                </c:pt>
                <c:pt idx="2">
                  <c:v>2.185955574067703</c:v>
                </c:pt>
                <c:pt idx="3">
                  <c:v>2.0513889230262574</c:v>
                </c:pt>
                <c:pt idx="4">
                  <c:v>2.0297355030054711</c:v>
                </c:pt>
                <c:pt idx="5">
                  <c:v>2.5673358349842221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41-44B3-8501-95AC08C8FA0F}"/>
            </c:ext>
          </c:extLst>
        </c:ser>
        <c:ser>
          <c:idx val="2"/>
          <c:order val="1"/>
          <c:tx>
            <c:strRef>
              <c:f>Output!$AP$25</c:f>
              <c:strCache>
                <c:ptCount val="1"/>
                <c:pt idx="0">
                  <c:v>Liquidez Seca Client Case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2.9689207400241842E-2"/>
                  <c:y val="-2.5776837550596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41-44B3-8501-95AC08C8FA0F}"/>
                </c:ext>
              </c:extLst>
            </c:dLbl>
            <c:dLbl>
              <c:idx val="2"/>
              <c:layout>
                <c:manualLayout>
                  <c:x val="-1.5445294795745907E-2"/>
                  <c:y val="2.5354542756448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41-44B3-8501-95AC08C8FA0F}"/>
                </c:ext>
              </c:extLst>
            </c:dLbl>
            <c:dLbl>
              <c:idx val="3"/>
              <c:layout>
                <c:manualLayout>
                  <c:x val="-2.9060793322016693E-2"/>
                  <c:y val="-4.91845791342088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41-44B3-8501-95AC08C8FA0F}"/>
                </c:ext>
              </c:extLst>
            </c:dLbl>
            <c:dLbl>
              <c:idx val="4"/>
              <c:layout>
                <c:manualLayout>
                  <c:x val="-3.0946078171391E-2"/>
                  <c:y val="-4.33979147042698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E41-44B3-8501-95AC08C8FA0F}"/>
                </c:ext>
              </c:extLst>
            </c:dLbl>
            <c:dLbl>
              <c:idx val="5"/>
              <c:layout>
                <c:manualLayout>
                  <c:x val="-3.8696316211076685E-2"/>
                  <c:y val="-4.69950970431120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41-44B3-8501-95AC08C8FA0F}"/>
                </c:ext>
              </c:extLst>
            </c:dLbl>
            <c:dLbl>
              <c:idx val="6"/>
              <c:layout>
                <c:manualLayout>
                  <c:x val="-2.7385110673943083E-2"/>
                  <c:y val="-4.80783877414243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E41-44B3-8501-95AC08C8FA0F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Output!$AS$25:$AX$25</c:f>
              <c:numCache>
                <c:formatCode>_(* #,##0.00_);_(* \(#,##0.00\);_(* "-"??_);_(@_)</c:formatCode>
                <c:ptCount val="6"/>
                <c:pt idx="0">
                  <c:v>2.6285730980600017</c:v>
                </c:pt>
                <c:pt idx="1">
                  <c:v>2.1509617848436187</c:v>
                </c:pt>
                <c:pt idx="2">
                  <c:v>1.9089282690423353</c:v>
                </c:pt>
                <c:pt idx="3">
                  <c:v>1.9053958709909984</c:v>
                </c:pt>
                <c:pt idx="4">
                  <c:v>2.1092385348653413</c:v>
                </c:pt>
                <c:pt idx="5">
                  <c:v>2.9633391060280272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E41-44B3-8501-95AC08C8FA0F}"/>
            </c:ext>
          </c:extLst>
        </c:ser>
        <c:ser>
          <c:idx val="3"/>
          <c:order val="2"/>
          <c:tx>
            <c:strRef>
              <c:f>Output!#REF!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B2B2B2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B2B2B2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2.8222930690629051E-2"/>
                  <c:y val="4.5485329276644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E41-44B3-8501-95AC08C8FA0F}"/>
                </c:ext>
              </c:extLst>
            </c:dLbl>
            <c:dLbl>
              <c:idx val="2"/>
              <c:layout>
                <c:manualLayout>
                  <c:x val="-3.4506892020702666E-2"/>
                  <c:y val="3.21406724809814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E41-44B3-8501-95AC08C8FA0F}"/>
                </c:ext>
              </c:extLst>
            </c:dLbl>
            <c:dLbl>
              <c:idx val="3"/>
              <c:layout>
                <c:manualLayout>
                  <c:x val="-2.4661963193180453E-2"/>
                  <c:y val="3.20704087248537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E41-44B3-8501-95AC08C8FA0F}"/>
                </c:ext>
              </c:extLst>
            </c:dLbl>
            <c:dLbl>
              <c:idx val="4"/>
              <c:layout>
                <c:manualLayout>
                  <c:x val="-2.6547248042555396E-2"/>
                  <c:y val="3.5907809445214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E41-44B3-8501-95AC08C8FA0F}"/>
                </c:ext>
              </c:extLst>
            </c:dLbl>
            <c:dLbl>
              <c:idx val="5"/>
              <c:layout>
                <c:manualLayout>
                  <c:x val="-2.9898655953404314E-2"/>
                  <c:y val="3.7989888124468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E41-44B3-8501-95AC08C8FA0F}"/>
                </c:ext>
              </c:extLst>
            </c:dLbl>
            <c:dLbl>
              <c:idx val="6"/>
              <c:layout>
                <c:manualLayout>
                  <c:x val="-3.6182770931614816E-2"/>
                  <c:y val="-4.0495541608985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E41-44B3-8501-95AC08C8FA0F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50" b="0" i="0" u="none" strike="noStrike" baseline="0">
                    <a:solidFill>
                      <a:srgbClr val="969696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E41-44B3-8501-95AC08C8FA0F}"/>
            </c:ext>
          </c:extLst>
        </c:ser>
        <c:ser>
          <c:idx val="0"/>
          <c:order val="3"/>
          <c:tx>
            <c:strRef>
              <c:f>Output!$AP$26</c:f>
              <c:strCache>
                <c:ptCount val="1"/>
                <c:pt idx="0">
                  <c:v>Corte Sugerido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ysDash"/>
            </a:ln>
          </c:spPr>
          <c:marker>
            <c:symbol val="none"/>
          </c:marker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Output!$AS$26:$AX$26</c:f>
              <c:numCache>
                <c:formatCode>_(* #,##0.00_);_(* \(#,##0.00\);_(* "-"??_);_(@_)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1.8</c:v>
                </c:pt>
                <c:pt idx="3">
                  <c:v>1.8</c:v>
                </c:pt>
                <c:pt idx="4">
                  <c:v>1.5</c:v>
                </c:pt>
                <c:pt idx="5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E41-44B3-8501-95AC08C8F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63680"/>
        <c:axId val="117065216"/>
      </c:lineChart>
      <c:catAx>
        <c:axId val="117063680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7065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06521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706368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4.1055747869137682E-2"/>
          <c:y val="0.93833902995537388"/>
          <c:w val="0.94868103111901436"/>
          <c:h val="5.361937314030707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en-US"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000000000000944" r="0.75000000000000944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Net Debt/Ebitda</a:t>
            </a:r>
          </a:p>
        </c:rich>
      </c:tx>
      <c:layout>
        <c:manualLayout>
          <c:xMode val="edge"/>
          <c:yMode val="edge"/>
          <c:x val="0.42540615655151454"/>
          <c:y val="3.13505630174458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011816838995484E-2"/>
          <c:y val="4.4247915076267075E-2"/>
          <c:w val="0.88183161004431365"/>
          <c:h val="0.78466302735247095"/>
        </c:manualLayout>
      </c:layout>
      <c:lineChart>
        <c:grouping val="standard"/>
        <c:varyColors val="0"/>
        <c:ser>
          <c:idx val="1"/>
          <c:order val="0"/>
          <c:tx>
            <c:strRef>
              <c:f>Output!$AP$28</c:f>
              <c:strCache>
                <c:ptCount val="1"/>
                <c:pt idx="0">
                  <c:v>Net Debt / EBITDA Base Case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2.1037280029686266E-2"/>
                  <c:y val="-3.45206645357592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CC-495E-90A5-90215B57C081}"/>
                </c:ext>
              </c:extLst>
            </c:dLbl>
            <c:dLbl>
              <c:idx val="2"/>
              <c:layout>
                <c:manualLayout>
                  <c:x val="-3.4753156316073792E-2"/>
                  <c:y val="-4.6107246071917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CC-495E-90A5-90215B57C081}"/>
                </c:ext>
              </c:extLst>
            </c:dLbl>
            <c:dLbl>
              <c:idx val="3"/>
              <c:layout>
                <c:manualLayout>
                  <c:x val="-3.074392876913129E-2"/>
                  <c:y val="-4.5086147183730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CC-495E-90A5-90215B57C081}"/>
                </c:ext>
              </c:extLst>
            </c:dLbl>
            <c:dLbl>
              <c:idx val="4"/>
              <c:layout>
                <c:manualLayout>
                  <c:x val="-3.5597330468866012E-2"/>
                  <c:y val="-5.65311199731220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CC-495E-90A5-90215B57C081}"/>
                </c:ext>
              </c:extLst>
            </c:dLbl>
            <c:dLbl>
              <c:idx val="5"/>
              <c:layout>
                <c:manualLayout>
                  <c:x val="-3.7496367759685262E-2"/>
                  <c:y val="2.92392866570548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CC-495E-90A5-90215B57C081}"/>
                </c:ext>
              </c:extLst>
            </c:dLbl>
            <c:dLbl>
              <c:idx val="6"/>
              <c:layout>
                <c:manualLayout>
                  <c:x val="-3.6441349961634908E-2"/>
                  <c:y val="2.6409566804982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CC-495E-90A5-90215B57C081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50" b="0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Output!$AS$28:$AX$28</c:f>
              <c:numCache>
                <c:formatCode>_(* #,##0.00_);_(* \(#,##0.00\);_(* "-"??_);_(@_)</c:formatCode>
                <c:ptCount val="6"/>
                <c:pt idx="0">
                  <c:v>2.3963705898657963</c:v>
                </c:pt>
                <c:pt idx="1">
                  <c:v>2.3280126917180919</c:v>
                </c:pt>
                <c:pt idx="2">
                  <c:v>1.8715799788096401</c:v>
                </c:pt>
                <c:pt idx="3">
                  <c:v>1.531002684831231</c:v>
                </c:pt>
                <c:pt idx="4">
                  <c:v>1.1431096345854836</c:v>
                </c:pt>
                <c:pt idx="5">
                  <c:v>0.72027185795177961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CC-495E-90A5-90215B57C081}"/>
            </c:ext>
          </c:extLst>
        </c:ser>
        <c:ser>
          <c:idx val="2"/>
          <c:order val="1"/>
          <c:tx>
            <c:strRef>
              <c:f>Output!$AP$29</c:f>
              <c:strCache>
                <c:ptCount val="1"/>
                <c:pt idx="0">
                  <c:v>Net Debt / EBITDA Client Case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2.8422804401916191E-2"/>
                  <c:y val="3.436775522263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CC-495E-90A5-90215B57C081}"/>
                </c:ext>
              </c:extLst>
            </c:dLbl>
            <c:dLbl>
              <c:idx val="2"/>
              <c:layout>
                <c:manualLayout>
                  <c:x val="-1.8552552315686185E-2"/>
                  <c:y val="4.74795284491850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CC-495E-90A5-90215B57C081}"/>
                </c:ext>
              </c:extLst>
            </c:dLbl>
            <c:dLbl>
              <c:idx val="3"/>
              <c:layout>
                <c:manualLayout>
                  <c:x val="-3.8616597030991545E-2"/>
                  <c:y val="4.88767538222120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4CC-495E-90A5-90215B57C081}"/>
                </c:ext>
              </c:extLst>
            </c:dLbl>
            <c:dLbl>
              <c:idx val="4"/>
              <c:layout>
                <c:manualLayout>
                  <c:x val="-3.412022559441915E-2"/>
                  <c:y val="3.5316686440434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4CC-495E-90A5-90215B57C081}"/>
                </c:ext>
              </c:extLst>
            </c:dLbl>
            <c:dLbl>
              <c:idx val="5"/>
              <c:layout>
                <c:manualLayout>
                  <c:x val="-3.454215801079237E-2"/>
                  <c:y val="2.98633866894564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4CC-495E-90A5-90215B57C081}"/>
                </c:ext>
              </c:extLst>
            </c:dLbl>
            <c:dLbl>
              <c:idx val="6"/>
              <c:layout>
                <c:manualLayout>
                  <c:x val="-3.6441349961634895E-2"/>
                  <c:y val="2.8450057017967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4CC-495E-90A5-90215B57C081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Output!$AS$29:$AX$29</c:f>
              <c:numCache>
                <c:formatCode>_(* #,##0.00_);_(* \(#,##0.00\);_(* "-"??_);_(@_)</c:formatCode>
                <c:ptCount val="6"/>
                <c:pt idx="0">
                  <c:v>1.9214066883645862</c:v>
                </c:pt>
                <c:pt idx="1">
                  <c:v>1.8837126374503375</c:v>
                </c:pt>
                <c:pt idx="2">
                  <c:v>1.5973004654836165</c:v>
                </c:pt>
                <c:pt idx="3">
                  <c:v>1.2760107047441671</c:v>
                </c:pt>
                <c:pt idx="4">
                  <c:v>0.87276614290719445</c:v>
                </c:pt>
                <c:pt idx="5">
                  <c:v>0.42758280712108143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4CC-495E-90A5-90215B57C081}"/>
            </c:ext>
          </c:extLst>
        </c:ser>
        <c:ser>
          <c:idx val="3"/>
          <c:order val="2"/>
          <c:tx>
            <c:strRef>
              <c:f>Output!$AP$30</c:f>
              <c:strCache>
                <c:ptCount val="1"/>
                <c:pt idx="0">
                  <c:v>Net Debt / EBITDA Stress Case</c:v>
                </c:pt>
              </c:strCache>
            </c:strRef>
          </c:tx>
          <c:spPr>
            <a:ln w="12700">
              <a:solidFill>
                <a:srgbClr val="B2B2B2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B2B2B2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3.1377014150808354E-2"/>
                  <c:y val="-5.52942820866791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4CC-495E-90A5-90215B57C081}"/>
                </c:ext>
              </c:extLst>
            </c:dLbl>
            <c:dLbl>
              <c:idx val="2"/>
              <c:layout>
                <c:manualLayout>
                  <c:x val="-2.8844736818289418E-2"/>
                  <c:y val="-4.99460848758524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4CC-495E-90A5-90215B57C081}"/>
                </c:ext>
              </c:extLst>
            </c:dLbl>
            <c:dLbl>
              <c:idx val="3"/>
              <c:layout>
                <c:manualLayout>
                  <c:x val="-3.074392876913129E-2"/>
                  <c:y val="-4.63654605423559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4CC-495E-90A5-90215B57C081}"/>
                </c:ext>
              </c:extLst>
            </c:dLbl>
            <c:dLbl>
              <c:idx val="4"/>
              <c:layout>
                <c:manualLayout>
                  <c:x val="-2.8211806096634817E-2"/>
                  <c:y val="-4.92115908230347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4CC-495E-90A5-90215B57C081}"/>
                </c:ext>
              </c:extLst>
            </c:dLbl>
            <c:dLbl>
              <c:idx val="5"/>
              <c:layout>
                <c:manualLayout>
                  <c:x val="-3.6019262885238455E-2"/>
                  <c:y val="-4.58456272221677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4CC-495E-90A5-90215B57C081}"/>
                </c:ext>
              </c:extLst>
            </c:dLbl>
            <c:dLbl>
              <c:idx val="6"/>
              <c:layout>
                <c:manualLayout>
                  <c:x val="-3.9395559710526315E-2"/>
                  <c:y val="-4.70790418592628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4CC-495E-90A5-90215B57C081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50" b="0" i="0" u="none" strike="noStrike" baseline="0">
                    <a:solidFill>
                      <a:srgbClr val="969696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Output!$AS$30:$AX$30</c:f>
              <c:numCache>
                <c:formatCode>_(* #,##0.00_);_(* \(#,##0.00\);_(* "-"??_);_(@_)</c:formatCode>
                <c:ptCount val="6"/>
                <c:pt idx="0">
                  <c:v>4.9345765792466185</c:v>
                </c:pt>
                <c:pt idx="1">
                  <c:v>4.7783112116292834</c:v>
                </c:pt>
                <c:pt idx="2">
                  <c:v>4.4518328764868835</c:v>
                </c:pt>
                <c:pt idx="3">
                  <c:v>4.0396358897812625</c:v>
                </c:pt>
                <c:pt idx="4">
                  <c:v>3.5567187333772128</c:v>
                </c:pt>
                <c:pt idx="5">
                  <c:v>3.0343066345047927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CC-495E-90A5-90215B57C081}"/>
            </c:ext>
          </c:extLst>
        </c:ser>
        <c:ser>
          <c:idx val="0"/>
          <c:order val="3"/>
          <c:tx>
            <c:strRef>
              <c:f>Output!$AP$31</c:f>
              <c:strCache>
                <c:ptCount val="1"/>
                <c:pt idx="0">
                  <c:v>Corte Sugerido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ysDash"/>
            </a:ln>
          </c:spPr>
          <c:marker>
            <c:symbol val="none"/>
          </c:marker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Output!$AS$31:$AX$31</c:f>
              <c:numCache>
                <c:formatCode>General</c:formatCode>
                <c:ptCount val="6"/>
                <c:pt idx="0">
                  <c:v>2.6</c:v>
                </c:pt>
                <c:pt idx="1">
                  <c:v>2.6</c:v>
                </c:pt>
                <c:pt idx="2">
                  <c:v>2.2000000000000002</c:v>
                </c:pt>
                <c:pt idx="3">
                  <c:v>2</c:v>
                </c:pt>
                <c:pt idx="4">
                  <c:v>1.5</c:v>
                </c:pt>
                <c:pt idx="5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4CC-495E-90A5-90215B57C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195904"/>
        <c:axId val="117197440"/>
      </c:lineChart>
      <c:catAx>
        <c:axId val="117195904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7197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19744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719590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0930576070901178"/>
          <c:y val="0.870208996499931"/>
          <c:w val="0.8847858197932057"/>
          <c:h val="0.1209443012084635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en-US" sz="8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000000000000944" r="0.75000000000000944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EBITDA / INTEREST EXPENSE</a:t>
            </a:r>
          </a:p>
        </c:rich>
      </c:tx>
      <c:layout>
        <c:manualLayout>
          <c:xMode val="edge"/>
          <c:yMode val="edge"/>
          <c:x val="0.36070407056456688"/>
          <c:y val="3.21716238841842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706816253620267E-2"/>
          <c:y val="4.0214529855231676E-2"/>
          <c:w val="0.86656953538072723"/>
          <c:h val="0.76943800456341849"/>
        </c:manualLayout>
      </c:layout>
      <c:lineChart>
        <c:grouping val="standard"/>
        <c:varyColors val="0"/>
        <c:ser>
          <c:idx val="2"/>
          <c:order val="0"/>
          <c:tx>
            <c:strRef>
              <c:f>Output!$AP$33:$AQ$33</c:f>
              <c:strCache>
                <c:ptCount val="2"/>
                <c:pt idx="0">
                  <c:v>EBITDA / INTEREST EXPENSE Base Case</c:v>
                </c:pt>
                <c:pt idx="1">
                  <c:v> n.a. 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2366221112330131E-2"/>
                  <c:y val="1.322614359761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77-4E3D-ABCC-2BA841388B90}"/>
                </c:ext>
              </c:extLst>
            </c:dLbl>
            <c:dLbl>
              <c:idx val="1"/>
              <c:layout>
                <c:manualLayout>
                  <c:x val="-2.9270299881150891E-2"/>
                  <c:y val="-4.77038730449383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77-4E3D-ABCC-2BA841388B90}"/>
                </c:ext>
              </c:extLst>
            </c:dLbl>
            <c:dLbl>
              <c:idx val="2"/>
              <c:layout>
                <c:manualLayout>
                  <c:x val="-1.5235975874930564E-2"/>
                  <c:y val="2.71618003579742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77-4E3D-ABCC-2BA841388B90}"/>
                </c:ext>
              </c:extLst>
            </c:dLbl>
            <c:dLbl>
              <c:idx val="3"/>
              <c:layout>
                <c:manualLayout>
                  <c:x val="-2.4662079222503276E-2"/>
                  <c:y val="3.97381856815266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77-4E3D-ABCC-2BA841388B90}"/>
                </c:ext>
              </c:extLst>
            </c:dLbl>
            <c:dLbl>
              <c:idx val="4"/>
              <c:layout>
                <c:manualLayout>
                  <c:x val="-3.1155475502715507E-2"/>
                  <c:y val="-4.45197226760764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77-4E3D-ABCC-2BA841388B90}"/>
                </c:ext>
              </c:extLst>
            </c:dLbl>
            <c:dLbl>
              <c:idx val="5"/>
              <c:layout>
                <c:manualLayout>
                  <c:x val="-3.7649025431064367E-2"/>
                  <c:y val="-4.6838210449553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77-4E3D-ABCC-2BA841388B90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75953133557904684"/>
                  <c:y val="3.753356119821501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en-US" sz="8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77-4E3D-ABCC-2BA841388B90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50" b="0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Output!$AR$33:$AW$33</c:f>
              <c:numCache>
                <c:formatCode>_(* #,##0.00_);_(* \(#,##0.00\);_(* "-"??_);_(@_)</c:formatCode>
                <c:ptCount val="6"/>
                <c:pt idx="0">
                  <c:v>3.9420497230633589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77-4E3D-ABCC-2BA841388B90}"/>
            </c:ext>
          </c:extLst>
        </c:ser>
        <c:ser>
          <c:idx val="3"/>
          <c:order val="1"/>
          <c:tx>
            <c:strRef>
              <c:f>Output!$AP$34:$AQ$34</c:f>
              <c:strCache>
                <c:ptCount val="2"/>
                <c:pt idx="0">
                  <c:v>EBITDA / INTEREST EXPENSE Client Case</c:v>
                </c:pt>
                <c:pt idx="1">
                  <c:v> n.a. 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1574410210474815E-2"/>
                  <c:y val="-4.81794056071359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677-4E3D-ABCC-2BA841388B90}"/>
                </c:ext>
              </c:extLst>
            </c:dLbl>
            <c:dLbl>
              <c:idx val="1"/>
              <c:layout>
                <c:manualLayout>
                  <c:x val="-3.0736576590762888E-2"/>
                  <c:y val="-7.34035716950722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677-4E3D-ABCC-2BA841388B90}"/>
                </c:ext>
              </c:extLst>
            </c:dLbl>
            <c:dLbl>
              <c:idx val="2"/>
              <c:layout>
                <c:manualLayout>
                  <c:x val="-3.7230126519112221E-2"/>
                  <c:y val="-4.99107634860902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677-4E3D-ABCC-2BA841388B90}"/>
                </c:ext>
              </c:extLst>
            </c:dLbl>
            <c:dLbl>
              <c:idx val="3"/>
              <c:layout>
                <c:manualLayout>
                  <c:x val="-4.8122506576296187E-2"/>
                  <c:y val="-4.8456608115995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77-4E3D-ABCC-2BA841388B90}"/>
                </c:ext>
              </c:extLst>
            </c:dLbl>
            <c:dLbl>
              <c:idx val="4"/>
              <c:layout>
                <c:manualLayout>
                  <c:x val="-5.9014732985345562E-2"/>
                  <c:y val="-5.57884000729154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677-4E3D-ABCC-2BA841388B90}"/>
                </c:ext>
              </c:extLst>
            </c:dLbl>
            <c:dLbl>
              <c:idx val="5"/>
              <c:layout>
                <c:manualLayout>
                  <c:x val="-3.0317641883003416E-2"/>
                  <c:y val="3.6620561555702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677-4E3D-ABCC-2BA841388B90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75219995203100443"/>
                  <c:y val="0.3190352701848331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en-US" sz="850" b="0" i="0" u="none" strike="noStrike" baseline="0">
                      <a:solidFill>
                        <a:srgbClr val="969696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677-4E3D-ABCC-2BA841388B90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Output!$AR$34:$AW$34</c:f>
              <c:numCache>
                <c:formatCode>_(* #,##0.00_);_(* \(#,##0.00\);_(* "-"??_);_(@_)</c:formatCode>
                <c:ptCount val="6"/>
                <c:pt idx="0">
                  <c:v>5.0837438874992786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677-4E3D-ABCC-2BA841388B90}"/>
            </c:ext>
          </c:extLst>
        </c:ser>
        <c:ser>
          <c:idx val="0"/>
          <c:order val="2"/>
          <c:tx>
            <c:strRef>
              <c:f>Output!$AP$35:$AQ$35</c:f>
              <c:strCache>
                <c:ptCount val="2"/>
                <c:pt idx="0">
                  <c:v>EBITDA / INTEREST EXPENSE Stress Case</c:v>
                </c:pt>
                <c:pt idx="1">
                  <c:v> n.a. </c:v>
                </c:pt>
              </c:strCache>
            </c:strRef>
          </c:tx>
          <c:spPr>
            <a:ln w="12700">
              <a:solidFill>
                <a:srgbClr val="808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1046536275905863E-2"/>
                  <c:y val="2.46355168582612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677-4E3D-ABCC-2BA841388B90}"/>
                </c:ext>
              </c:extLst>
            </c:dLbl>
            <c:dLbl>
              <c:idx val="1"/>
              <c:layout>
                <c:manualLayout>
                  <c:x val="-1.1674979365806411E-2"/>
                  <c:y val="2.1075894574316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677-4E3D-ABCC-2BA841388B90}"/>
                </c:ext>
              </c:extLst>
            </c:dLbl>
            <c:dLbl>
              <c:idx val="2"/>
              <c:layout>
                <c:manualLayout>
                  <c:x val="2.8752325413431222E-2"/>
                  <c:y val="1.1217836912370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677-4E3D-ABCC-2BA841388B90}"/>
                </c:ext>
              </c:extLst>
            </c:dLbl>
            <c:dLbl>
              <c:idx val="3"/>
              <c:layout>
                <c:manualLayout>
                  <c:x val="3.1971782601260038E-3"/>
                  <c:y val="1.46540189091051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677-4E3D-ABCC-2BA841388B90}"/>
                </c:ext>
              </c:extLst>
            </c:dLbl>
            <c:dLbl>
              <c:idx val="4"/>
              <c:layout>
                <c:manualLayout>
                  <c:x val="-2.8222922083490826E-2"/>
                  <c:y val="3.598181433762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677-4E3D-ABCC-2BA841388B90}"/>
                </c:ext>
              </c:extLst>
            </c:dLbl>
            <c:dLbl>
              <c:idx val="5"/>
              <c:layout>
                <c:manualLayout>
                  <c:x val="-3.7649025431064367E-2"/>
                  <c:y val="4.56568440455157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677-4E3D-ABCC-2BA841388B90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50" b="0" i="0" u="none" strike="noStrike" baseline="0">
                    <a:solidFill>
                      <a:srgbClr val="80808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Output!$AR$35:$AW$35</c:f>
              <c:numCache>
                <c:formatCode>_(* #,##0.00_);_(* \(#,##0.00\);_(* "-"??_);_(@_)</c:formatCode>
                <c:ptCount val="6"/>
                <c:pt idx="0">
                  <c:v>4.292081689823469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677-4E3D-ABCC-2BA841388B90}"/>
            </c:ext>
          </c:extLst>
        </c:ser>
        <c:ser>
          <c:idx val="1"/>
          <c:order val="3"/>
          <c:tx>
            <c:strRef>
              <c:f>Output!$AP$36</c:f>
              <c:strCache>
                <c:ptCount val="1"/>
                <c:pt idx="0">
                  <c:v>Corte Sugerido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ysDash"/>
            </a:ln>
          </c:spPr>
          <c:marker>
            <c:symbol val="none"/>
          </c:marker>
          <c:val>
            <c:numRef>
              <c:f>Output!$AQ$36:$AW$36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677-4E3D-ABCC-2BA841388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82144"/>
        <c:axId val="117424896"/>
      </c:lineChart>
      <c:catAx>
        <c:axId val="11738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7424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42489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738214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202346901881912"/>
          <c:y val="0.88740062547208221"/>
          <c:w val="0.86070442854228935"/>
          <c:h val="0.1018768089665851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en-US"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000000000000944" r="0.75000000000000944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Total Debt / (EBITDA+WCC)</a:t>
            </a:r>
          </a:p>
        </c:rich>
      </c:tx>
      <c:layout>
        <c:manualLayout>
          <c:xMode val="edge"/>
          <c:yMode val="edge"/>
          <c:x val="0.37223042836041381"/>
          <c:y val="3.53983320610138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34711964549545E-2"/>
          <c:y val="4.4247915076267075E-2"/>
          <c:w val="0.88035450516986657"/>
          <c:h val="0.74041511227620382"/>
        </c:manualLayout>
      </c:layout>
      <c:lineChart>
        <c:grouping val="standard"/>
        <c:varyColors val="0"/>
        <c:ser>
          <c:idx val="2"/>
          <c:order val="0"/>
          <c:tx>
            <c:strRef>
              <c:f>Output!$AP$39:$AQ$39</c:f>
              <c:strCache>
                <c:ptCount val="2"/>
                <c:pt idx="0">
                  <c:v>Total Debt / (EBITDA+WCC) Base Case</c:v>
                </c:pt>
                <c:pt idx="1">
                  <c:v> n.a. 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8243330200991792E-2"/>
                  <c:y val="-5.08446055659939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06-432B-AD8F-2BB2816907D0}"/>
                </c:ext>
              </c:extLst>
            </c:dLbl>
            <c:dLbl>
              <c:idx val="1"/>
              <c:layout>
                <c:manualLayout>
                  <c:x val="-1.6297769192191263E-2"/>
                  <c:y val="-5.36901938197070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06-432B-AD8F-2BB2816907D0}"/>
                </c:ext>
              </c:extLst>
            </c:dLbl>
            <c:dLbl>
              <c:idx val="2"/>
              <c:layout>
                <c:manualLayout>
                  <c:x val="-1.2077466676743778E-2"/>
                  <c:y val="-5.2479483025988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06-432B-AD8F-2BB2816907D0}"/>
                </c:ext>
              </c:extLst>
            </c:dLbl>
            <c:dLbl>
              <c:idx val="3"/>
              <c:layout>
                <c:manualLayout>
                  <c:x val="-3.2967947026880648E-2"/>
                  <c:y val="-5.02672449349929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06-432B-AD8F-2BB2816907D0}"/>
                </c:ext>
              </c:extLst>
            </c:dLbl>
            <c:dLbl>
              <c:idx val="4"/>
              <c:layout>
                <c:manualLayout>
                  <c:x val="-1.9885015264756327E-2"/>
                  <c:y val="-3.66687741117232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06-432B-AD8F-2BB2816907D0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50" b="0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Output!$AR$39:$AW$39</c:f>
              <c:numCache>
                <c:formatCode>_(* #,##0.00_);_(* \(#,##0.00\);_(* "-"??_);_(@_)</c:formatCode>
                <c:ptCount val="6"/>
                <c:pt idx="0">
                  <c:v>0.17376374424475827</c:v>
                </c:pt>
                <c:pt idx="1">
                  <c:v>3.4901978646616771</c:v>
                </c:pt>
                <c:pt idx="2">
                  <c:v>2.6701662930024064</c:v>
                </c:pt>
                <c:pt idx="3">
                  <c:v>2.0114350276227824</c:v>
                </c:pt>
                <c:pt idx="4">
                  <c:v>1.5924209649740886</c:v>
                </c:pt>
                <c:pt idx="5">
                  <c:v>1.1369845758475676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06-432B-AD8F-2BB2816907D0}"/>
            </c:ext>
          </c:extLst>
        </c:ser>
        <c:ser>
          <c:idx val="3"/>
          <c:order val="1"/>
          <c:tx>
            <c:strRef>
              <c:f>Output!$AP$42:$AQ$42</c:f>
              <c:strCache>
                <c:ptCount val="2"/>
                <c:pt idx="0">
                  <c:v>Total Debt / (EBITDA+WCC) Client Case</c:v>
                </c:pt>
                <c:pt idx="1">
                  <c:v> n.a. 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x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1846300131526242E-2"/>
                  <c:y val="4.32946751013060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06-432B-AD8F-2BB2816907D0}"/>
                </c:ext>
              </c:extLst>
            </c:dLbl>
            <c:dLbl>
              <c:idx val="1"/>
              <c:layout>
                <c:manualLayout>
                  <c:x val="-6.7507829226122792E-2"/>
                  <c:y val="6.952806355641703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06-432B-AD8F-2BB2816907D0}"/>
                </c:ext>
              </c:extLst>
            </c:dLbl>
            <c:dLbl>
              <c:idx val="2"/>
              <c:layout>
                <c:manualLayout>
                  <c:x val="-4.5562268217322413E-2"/>
                  <c:y val="3.8318399421113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006-432B-AD8F-2BB2816907D0}"/>
                </c:ext>
              </c:extLst>
            </c:dLbl>
            <c:dLbl>
              <c:idx val="3"/>
              <c:layout>
                <c:manualLayout>
                  <c:x val="-5.1681699822997404E-2"/>
                  <c:y val="2.75659415566184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06-432B-AD8F-2BB2816907D0}"/>
                </c:ext>
              </c:extLst>
            </c:dLbl>
            <c:dLbl>
              <c:idx val="4"/>
              <c:layout>
                <c:manualLayout>
                  <c:x val="-5.0415607056443837E-2"/>
                  <c:y val="2.34305529752268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006-432B-AD8F-2BB2816907D0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Output!$AR$42:$AW$42</c:f>
              <c:numCache>
                <c:formatCode>_(* #,##0.00_);_(* \(#,##0.00\);_(* "-"??_);_(@_)</c:formatCode>
                <c:ptCount val="6"/>
                <c:pt idx="0">
                  <c:v>0.2622080156602789</c:v>
                </c:pt>
                <c:pt idx="1">
                  <c:v>3.7083103636365959</c:v>
                </c:pt>
                <c:pt idx="2">
                  <c:v>3.381116683490494</c:v>
                </c:pt>
                <c:pt idx="3">
                  <c:v>3.2020541857391942</c:v>
                </c:pt>
                <c:pt idx="4">
                  <c:v>2.2690903475899868</c:v>
                </c:pt>
                <c:pt idx="5">
                  <c:v>1.467344912636507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06-432B-AD8F-2BB2816907D0}"/>
            </c:ext>
          </c:extLst>
        </c:ser>
        <c:ser>
          <c:idx val="0"/>
          <c:order val="2"/>
          <c:tx>
            <c:strRef>
              <c:f>Output!$AP$43:$AQ$43</c:f>
              <c:strCache>
                <c:ptCount val="2"/>
                <c:pt idx="0">
                  <c:v>Total Debt / (EBITDA+WCC) Stress Case</c:v>
                </c:pt>
                <c:pt idx="1">
                  <c:v>n.a.</c:v>
                </c:pt>
              </c:strCache>
            </c:strRef>
          </c:tx>
          <c:spPr>
            <a:ln w="12700">
              <a:solidFill>
                <a:srgbClr val="808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1.0389349694406901E-2"/>
                  <c:y val="-7.80883315832776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006-432B-AD8F-2BB2816907D0}"/>
                </c:ext>
              </c:extLst>
            </c:dLbl>
            <c:dLbl>
              <c:idx val="2"/>
              <c:layout>
                <c:manualLayout>
                  <c:x val="1.2164771932709861E-3"/>
                  <c:y val="-8.03635862048934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06-432B-AD8F-2BB2816907D0}"/>
                </c:ext>
              </c:extLst>
            </c:dLbl>
            <c:dLbl>
              <c:idx val="3"/>
              <c:layout>
                <c:manualLayout>
                  <c:x val="-2.5582422654649439E-2"/>
                  <c:y val="-8.20979572592743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006-432B-AD8F-2BB2816907D0}"/>
                </c:ext>
              </c:extLst>
            </c:dLbl>
            <c:dLbl>
              <c:idx val="4"/>
              <c:layout>
                <c:manualLayout>
                  <c:x val="-1.2499490892525424E-2"/>
                  <c:y val="-7.74166738775110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06-432B-AD8F-2BB2816907D0}"/>
                </c:ext>
              </c:extLst>
            </c:dLbl>
            <c:dLbl>
              <c:idx val="5"/>
              <c:layout>
                <c:manualLayout>
                  <c:x val="-9.7562932515240768E-3"/>
                  <c:y val="-4.4863635151974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06-432B-AD8F-2BB2816907D0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US" sz="850" b="0" i="0" u="none" strike="noStrike" baseline="0">
                    <a:solidFill>
                      <a:srgbClr val="80808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Output!$AR$43:$AW$43</c:f>
              <c:numCache>
                <c:formatCode>General</c:formatCode>
                <c:ptCount val="6"/>
                <c:pt idx="0">
                  <c:v>0.18284318802141036</c:v>
                </c:pt>
                <c:pt idx="1">
                  <c:v>7.5960487169235922</c:v>
                </c:pt>
                <c:pt idx="2">
                  <c:v>6.5554055045209125</c:v>
                </c:pt>
                <c:pt idx="3">
                  <c:v>6.1424918663355097</c:v>
                </c:pt>
                <c:pt idx="4">
                  <c:v>5.4313142671275525</c:v>
                </c:pt>
                <c:pt idx="5">
                  <c:v>4.7642195934926121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06-432B-AD8F-2BB2816907D0}"/>
            </c:ext>
          </c:extLst>
        </c:ser>
        <c:ser>
          <c:idx val="1"/>
          <c:order val="3"/>
          <c:tx>
            <c:strRef>
              <c:f>Output!$AP$44</c:f>
              <c:strCache>
                <c:ptCount val="1"/>
                <c:pt idx="0">
                  <c:v>Corte Sugerido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ysDash"/>
            </a:ln>
          </c:spPr>
          <c:marker>
            <c:symbol val="none"/>
          </c:marker>
          <c:val>
            <c:numRef>
              <c:f>Output!$AQ$44:$AW$44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06-432B-AD8F-2BB281690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06144"/>
        <c:axId val="118007680"/>
      </c:lineChart>
      <c:catAx>
        <c:axId val="11800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8007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80076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800614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7577548005908444"/>
          <c:y val="0.87610871851010641"/>
          <c:w val="0.77695716395864112"/>
          <c:h val="0.1150445791982946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en-US"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000000000000944" r="0.75000000000000944" t="1" header="0.5" footer="0.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000"/>
              <a:t>Covenants Sugerido</a:t>
            </a:r>
            <a:r>
              <a:rPr lang="pt-BR" sz="1000" baseline="0"/>
              <a:t> Vs Projetado</a:t>
            </a:r>
          </a:p>
          <a:p>
            <a:pPr>
              <a:defRPr lang="en-US"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000" baseline="0"/>
              <a:t>(Net Debt / EBITDA)*</a:t>
            </a:r>
            <a:endParaRPr lang="pt-BR" sz="1000"/>
          </a:p>
        </c:rich>
      </c:tx>
      <c:layout>
        <c:manualLayout>
          <c:xMode val="edge"/>
          <c:yMode val="edge"/>
          <c:x val="0.23983449795657932"/>
          <c:y val="8.264314483663560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6704067978250241E-3"/>
          <c:y val="0.17272918028553211"/>
          <c:w val="0.99732959320217496"/>
          <c:h val="0.53448619359169836"/>
        </c:manualLayout>
      </c:layout>
      <c:lineChart>
        <c:grouping val="standard"/>
        <c:varyColors val="0"/>
        <c:ser>
          <c:idx val="1"/>
          <c:order val="0"/>
          <c:tx>
            <c:strRef>
              <c:f>Output!$AP$17</c:f>
              <c:strCache>
                <c:ptCount val="1"/>
                <c:pt idx="0">
                  <c:v>Base Case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Output!$AS$17:$AX$17</c:f>
              <c:numCache>
                <c:formatCode>_(* #,##0.00_);_(* \(#,##0.00\);_(* "-"??_);_(@_)</c:formatCode>
                <c:ptCount val="6"/>
                <c:pt idx="0">
                  <c:v>2.3505268367965693</c:v>
                </c:pt>
                <c:pt idx="1">
                  <c:v>1.8981457913497346</c:v>
                </c:pt>
                <c:pt idx="2">
                  <c:v>1.664438045353174</c:v>
                </c:pt>
                <c:pt idx="3">
                  <c:v>1.3339471194462826</c:v>
                </c:pt>
                <c:pt idx="4">
                  <c:v>1.0312661444012732</c:v>
                </c:pt>
                <c:pt idx="5">
                  <c:v>0.73791208226126603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FF-4126-800D-4FE946EDC7A5}"/>
            </c:ext>
          </c:extLst>
        </c:ser>
        <c:ser>
          <c:idx val="2"/>
          <c:order val="1"/>
          <c:tx>
            <c:strRef>
              <c:f>Output!$AP$18</c:f>
              <c:strCache>
                <c:ptCount val="1"/>
                <c:pt idx="0">
                  <c:v>Covenant Sugerido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FF-4126-800D-4FE946EDC7A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FF-4126-800D-4FE946EDC7A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FF-4126-800D-4FE946EDC7A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FF-4126-800D-4FE946EDC7A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FF-4126-800D-4FE946EDC7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Output!$AS$11:$AX$11</c:f>
              <c:numCache>
                <c:formatCode>_(* #,##0_);_(* \(#,##0\);_(* "-"??_);_(@_)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Output!$AS$18:$AX$18</c:f>
              <c:numCache>
                <c:formatCode>_(* #,##0.00_);_(* \(#,##0.00\);_(* "-"??_);_(@_)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FF-4126-800D-4FE946EDC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25600"/>
        <c:axId val="121463936"/>
      </c:lineChart>
      <c:catAx>
        <c:axId val="118025600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21463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1463936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1180256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3.5356383231811332E-2"/>
          <c:y val="0.82596801274334686"/>
          <c:w val="0.92327411750771149"/>
          <c:h val="0.1246980113626620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000000000000944" r="0.75000000000000944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749114</xdr:colOff>
      <xdr:row>31</xdr:row>
      <xdr:rowOff>138953</xdr:rowOff>
    </xdr:from>
    <xdr:to>
      <xdr:col>35</xdr:col>
      <xdr:colOff>476251</xdr:colOff>
      <xdr:row>53</xdr:row>
      <xdr:rowOff>110378</xdr:rowOff>
    </xdr:to>
    <xdr:graphicFrame macro="">
      <xdr:nvGraphicFramePr>
        <xdr:cNvPr id="13443" name="Chart 131">
          <a:extLst>
            <a:ext uri="{FF2B5EF4-FFF2-40B4-BE49-F238E27FC236}">
              <a16:creationId xmlns:a16="http://schemas.microsoft.com/office/drawing/2014/main" id="{00000000-0008-0000-0200-0000833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49</xdr:col>
      <xdr:colOff>756396</xdr:colOff>
      <xdr:row>10</xdr:row>
      <xdr:rowOff>112059</xdr:rowOff>
    </xdr:from>
    <xdr:to>
      <xdr:col>60</xdr:col>
      <xdr:colOff>112060</xdr:colOff>
      <xdr:row>23</xdr:row>
      <xdr:rowOff>22412</xdr:rowOff>
    </xdr:to>
    <xdr:graphicFrame macro="">
      <xdr:nvGraphicFramePr>
        <xdr:cNvPr id="13451" name="Chart 139">
          <a:extLst>
            <a:ext uri="{FF2B5EF4-FFF2-40B4-BE49-F238E27FC236}">
              <a16:creationId xmlns:a16="http://schemas.microsoft.com/office/drawing/2014/main" id="{00000000-0008-0000-0200-00008B3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69</xdr:col>
      <xdr:colOff>31377</xdr:colOff>
      <xdr:row>31</xdr:row>
      <xdr:rowOff>64996</xdr:rowOff>
    </xdr:from>
    <xdr:to>
      <xdr:col>79</xdr:col>
      <xdr:colOff>402853</xdr:colOff>
      <xdr:row>54</xdr:row>
      <xdr:rowOff>43143</xdr:rowOff>
    </xdr:to>
    <xdr:graphicFrame macro="">
      <xdr:nvGraphicFramePr>
        <xdr:cNvPr id="13452" name="Chart 140">
          <a:extLst>
            <a:ext uri="{FF2B5EF4-FFF2-40B4-BE49-F238E27FC236}">
              <a16:creationId xmlns:a16="http://schemas.microsoft.com/office/drawing/2014/main" id="{00000000-0008-0000-0200-00008C3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48</xdr:col>
      <xdr:colOff>557492</xdr:colOff>
      <xdr:row>44</xdr:row>
      <xdr:rowOff>89647</xdr:rowOff>
    </xdr:from>
    <xdr:to>
      <xdr:col>62</xdr:col>
      <xdr:colOff>492499</xdr:colOff>
      <xdr:row>68</xdr:row>
      <xdr:rowOff>67795</xdr:rowOff>
    </xdr:to>
    <xdr:graphicFrame macro="">
      <xdr:nvGraphicFramePr>
        <xdr:cNvPr id="13453" name="Chart 141">
          <a:extLst>
            <a:ext uri="{FF2B5EF4-FFF2-40B4-BE49-F238E27FC236}">
              <a16:creationId xmlns:a16="http://schemas.microsoft.com/office/drawing/2014/main" id="{00000000-0008-0000-0200-00008D3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48</xdr:col>
      <xdr:colOff>598395</xdr:colOff>
      <xdr:row>69</xdr:row>
      <xdr:rowOff>128307</xdr:rowOff>
    </xdr:from>
    <xdr:to>
      <xdr:col>62</xdr:col>
      <xdr:colOff>490820</xdr:colOff>
      <xdr:row>88</xdr:row>
      <xdr:rowOff>38660</xdr:rowOff>
    </xdr:to>
    <xdr:graphicFrame macro="">
      <xdr:nvGraphicFramePr>
        <xdr:cNvPr id="13454" name="Chart 142">
          <a:extLst>
            <a:ext uri="{FF2B5EF4-FFF2-40B4-BE49-F238E27FC236}">
              <a16:creationId xmlns:a16="http://schemas.microsoft.com/office/drawing/2014/main" id="{00000000-0008-0000-0200-00008E3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40</xdr:col>
      <xdr:colOff>744071</xdr:colOff>
      <xdr:row>144</xdr:row>
      <xdr:rowOff>58831</xdr:rowOff>
    </xdr:from>
    <xdr:to>
      <xdr:col>47</xdr:col>
      <xdr:colOff>80683</xdr:colOff>
      <xdr:row>164</xdr:row>
      <xdr:rowOff>138954</xdr:rowOff>
    </xdr:to>
    <xdr:graphicFrame macro="">
      <xdr:nvGraphicFramePr>
        <xdr:cNvPr id="13455" name="Chart 143">
          <a:extLst>
            <a:ext uri="{FF2B5EF4-FFF2-40B4-BE49-F238E27FC236}">
              <a16:creationId xmlns:a16="http://schemas.microsoft.com/office/drawing/2014/main" id="{00000000-0008-0000-0200-00008F3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40</xdr:col>
      <xdr:colOff>564217</xdr:colOff>
      <xdr:row>167</xdr:row>
      <xdr:rowOff>82923</xdr:rowOff>
    </xdr:from>
    <xdr:to>
      <xdr:col>46</xdr:col>
      <xdr:colOff>653304</xdr:colOff>
      <xdr:row>186</xdr:row>
      <xdr:rowOff>20731</xdr:rowOff>
    </xdr:to>
    <xdr:graphicFrame macro="">
      <xdr:nvGraphicFramePr>
        <xdr:cNvPr id="13456" name="Chart 144">
          <a:extLst>
            <a:ext uri="{FF2B5EF4-FFF2-40B4-BE49-F238E27FC236}">
              <a16:creationId xmlns:a16="http://schemas.microsoft.com/office/drawing/2014/main" id="{00000000-0008-0000-0200-0000903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61</xdr:col>
      <xdr:colOff>228600</xdr:colOff>
      <xdr:row>10</xdr:row>
      <xdr:rowOff>0</xdr:rowOff>
    </xdr:from>
    <xdr:to>
      <xdr:col>67</xdr:col>
      <xdr:colOff>522196</xdr:colOff>
      <xdr:row>22</xdr:row>
      <xdr:rowOff>89647</xdr:rowOff>
    </xdr:to>
    <xdr:graphicFrame macro="">
      <xdr:nvGraphicFramePr>
        <xdr:cNvPr id="10" name="Chart 13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72</xdr:row>
      <xdr:rowOff>0</xdr:rowOff>
    </xdr:from>
    <xdr:to>
      <xdr:col>2</xdr:col>
      <xdr:colOff>914400</xdr:colOff>
      <xdr:row>73</xdr:row>
      <xdr:rowOff>66675</xdr:rowOff>
    </xdr:to>
    <xdr:pic>
      <xdr:nvPicPr>
        <xdr:cNvPr id="3073" name="Picture 1" hidden="1">
          <a:extLst>
            <a:ext uri="{FF2B5EF4-FFF2-40B4-BE49-F238E27FC236}">
              <a16:creationId xmlns:a16="http://schemas.microsoft.com/office/drawing/2014/main" id="{00000000-0008-0000-0600-0000010C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17348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dmision\SECTOR%204\DISTRIBUCION\Casino\2006\Ratings%20&amp;%20Spreads\FR.5CG1G.20051231.FRG.CASINO%20GUICHAR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stas%20Particulares\Luiz%20Felipe\WINNT\Profiles\f532894\Desktop\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NT\Profiles\f532894\Desktop\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%20b&#226;tons%20rompu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NT\Profiles\f532894\Desktop\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f90\123\valo+debt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brsp55\economia\Proje&#231;&#245;es\Pre&#231;os\FGV\Proje&#231;&#245;es\Pre&#231;os\Fipe\pj-FIPE20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ientes\ERSA\Portfolio%202%20(2010)\Modelo%20ERSA%20Atualizad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New%20Network\Energy,%20Oil%20and%20Gas\Energy\2%20Clients\Tractebel\Projeto%20Saint%20Pierre\6%20Valuation\1%20DCF%20Model\PPE%20-%20AES%20-%20ASv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saod011r15\e\Loan_Products\Struc_Prod_Power_Oil&amp;Gas\SECTORS\POWER\LT%2030.09.04\Modelos\Modelo%20Uirapuru_BRDE_08.004.20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brsp55\economia\BDADOS\BANCO\Fcesp90-9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620640\Desktop\modelo%20gustavo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F248584\LOCALS~1\Temp\TSU_model_FIN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stas%20Particulares\Luiz%20Felipe\DOCUME~1\F248584\LOCALS~1\Temp\TSU_model_FIN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F248584\LOCALS~1\Temp\TSU_model_FINA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brsp1152\M_A\New%20Network\Toolkit\Valuation%20tools\Models\DCF\Standard%20DCF%20Model%20v31%2005%20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_A\Modelos\Old\Documents\Pessoal\U2\Project%20U2%20Merger%20Model%200403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663585\Local%20Settings\Temporary%20Internet%20Files\Content.Outlook\27J034ZK\Modelo_Colinas_final_4_sensibilidades%20(2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stas%20Particulares\Luiz%20Felipe\Suporte%20Excel\DCF%20Mode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astas%20Particulares\Luiz%20Felipe\Suporte%20Excel\DCF%20Mode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brsp1152\M_A\Electric\Impregilo\Mandato\Ponte%20de%20Pedra\6%20Valuation\1%20DCF%20Model\Pantanal%20DCF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Activo"/>
      <sheetName val="Pasivo"/>
      <sheetName val="PyG"/>
      <sheetName val="Ratios"/>
      <sheetName val="Extracción"/>
      <sheetName val="Gráficos"/>
      <sheetName val="Cash Flow"/>
      <sheetName val="Resumen"/>
      <sheetName val="Resumen BBDD"/>
      <sheetName val="BBDD Estado Cash Flow"/>
      <sheetName val="rating interno"/>
      <sheetName val="Datos relevantes P1"/>
      <sheetName val="Datos relevantes P4 Cia"/>
      <sheetName val="Tablas"/>
      <sheetName val="Pples magnitudes"/>
      <sheetName val="Cta de resultados"/>
      <sheetName val="Cash Flow "/>
      <sheetName val="Balance"/>
      <sheetName val="Ratios "/>
      <sheetName val="Contactos_"/>
      <sheetName val="Anillas"/>
      <sheetName val="Barras"/>
      <sheetName val="Lineas"/>
      <sheetName val="numero de establecimientos"/>
      <sheetName val="Consejo Admon_"/>
      <sheetName val="Ev por linea de negocio"/>
      <sheetName val="datos profor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10">
          <cell r="A210" t="str">
            <v>Aumento Capital</v>
          </cell>
          <cell r="D210">
            <v>-436.19999999999982</v>
          </cell>
        </row>
        <row r="211">
          <cell r="A211" t="str">
            <v>Variación Resevas</v>
          </cell>
          <cell r="D211">
            <v>0</v>
          </cell>
          <cell r="F211">
            <v>0</v>
          </cell>
          <cell r="G211" t="str">
            <v>Variación Resrvas</v>
          </cell>
        </row>
        <row r="212">
          <cell r="A212" t="str">
            <v>Aumento Provisiones</v>
          </cell>
          <cell r="D212">
            <v>0</v>
          </cell>
          <cell r="F212">
            <v>-52</v>
          </cell>
          <cell r="G212" t="str">
            <v>Disminución Provisiones</v>
          </cell>
        </row>
        <row r="213">
          <cell r="A213" t="str">
            <v>Aumento Intereses Minoritarios</v>
          </cell>
          <cell r="D213">
            <v>-428.5</v>
          </cell>
          <cell r="F213">
            <v>0</v>
          </cell>
          <cell r="G213" t="str">
            <v>Disminución Intereses Minoritarios</v>
          </cell>
        </row>
        <row r="214">
          <cell r="A214" t="str">
            <v>TOTAL FINANCIACIÓN INTERNA</v>
          </cell>
          <cell r="D214">
            <v>0</v>
          </cell>
          <cell r="F214">
            <v>0</v>
          </cell>
        </row>
        <row r="215">
          <cell r="A215" t="str">
            <v>TOTAL FINANCIACIÓN</v>
          </cell>
          <cell r="D215">
            <v>0</v>
          </cell>
          <cell r="F215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Inputs"/>
      <sheetName val="#REF"/>
      <sheetName val="Macro"/>
      <sheetName val="Revenues"/>
      <sheetName val="Telcel"/>
      <sheetName val="Supplier"/>
      <sheetName val="Telecom Assumptions"/>
      <sheetName val="MobileIB"/>
      <sheetName val="INCOME 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Inputs"/>
      <sheetName val="#REF"/>
      <sheetName val="Macro"/>
      <sheetName val="Revenues"/>
      <sheetName val="Telcel"/>
      <sheetName val="Supplier"/>
      <sheetName val="Telecom Assumptions"/>
      <sheetName val="MobileIB"/>
      <sheetName val="INCOME 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Graph2"/>
      <sheetName val="synthgraph"/>
      <sheetName val="EBITDA Build U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Inputs"/>
      <sheetName val="#REF"/>
      <sheetName val="Macro"/>
      <sheetName val="Revenues"/>
      <sheetName val="Telcel"/>
      <sheetName val="Supplier"/>
      <sheetName val="Telecom Assumptions"/>
      <sheetName val="MobileIB"/>
      <sheetName val="INCOME 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CC"/>
      <sheetName val="DCF"/>
      <sheetName val="marine"/>
      <sheetName val="industry"/>
      <sheetName val="aero"/>
      <sheetName val="constr"/>
      <sheetName val="gov"/>
      <sheetName val="consum"/>
      <sheetName val="inspec"/>
      <sheetName val="debt-model"/>
      <sheetName val="BV"/>
      <sheetName val="assumptio-Oval"/>
      <sheetName val="Oval"/>
      <sheetName val="combined"/>
      <sheetName val="debt"/>
      <sheetName val="CF"/>
      <sheetName val="debt ratios"/>
      <sheetName val="synergies"/>
      <sheetName val="acquisitions"/>
      <sheetName val="EVA acq"/>
      <sheetName val="dilution"/>
      <sheetName val="poids relatif"/>
      <sheetName val="Comps"/>
      <sheetName val="ITS-Valo old multiples"/>
      <sheetName val="new cap struc"/>
      <sheetName val="Implied multiples BV"/>
      <sheetName val="Implied multiples Oval"/>
      <sheetName val="BV-Valo old multiples"/>
      <sheetName val="Synthèse old"/>
      <sheetName val="ITS-Valo new multiples"/>
      <sheetName val="BV-Valo new multiples"/>
      <sheetName val="Synthèse new"/>
      <sheetName val="conclusion"/>
      <sheetName val="regression"/>
      <sheetName val="Sujet"/>
      <sheetName val="SGS"/>
      <sheetName val="serco"/>
      <sheetName val="AEA"/>
      <sheetName val="adecco"/>
      <sheetName val="rentokil"/>
      <sheetName val="securitas"/>
      <sheetName val="Randstad"/>
      <sheetName val="dsdde"/>
      <sheetName val="dsdde update"/>
      <sheetName val="synthè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agregado"/>
      <sheetName val="projeção quadri"/>
      <sheetName val="semanal"/>
      <sheetName val="mensal"/>
      <sheetName val="proj-efetivo"/>
      <sheetName val="nucleos"/>
      <sheetName val="charts"/>
      <sheetName val="FORNECEDORES"/>
    </sheetNames>
    <sheetDataSet>
      <sheetData sheetId="0" refreshError="1">
        <row r="1">
          <cell r="B1" t="str">
            <v>FIPE Desagregada - 2003</v>
          </cell>
          <cell r="E1" t="str">
            <v>Pond.</v>
          </cell>
          <cell r="F1" t="str">
            <v>jan00</v>
          </cell>
          <cell r="G1" t="str">
            <v>fev</v>
          </cell>
          <cell r="K1" t="str">
            <v>mar</v>
          </cell>
          <cell r="O1" t="str">
            <v>abr</v>
          </cell>
          <cell r="S1" t="str">
            <v>mai</v>
          </cell>
          <cell r="W1" t="str">
            <v>jun</v>
          </cell>
          <cell r="AA1" t="str">
            <v>jul</v>
          </cell>
          <cell r="AE1" t="str">
            <v>ago</v>
          </cell>
          <cell r="AI1" t="str">
            <v>set</v>
          </cell>
          <cell r="AM1" t="str">
            <v>out</v>
          </cell>
          <cell r="AQ1" t="str">
            <v>nov</v>
          </cell>
          <cell r="AU1" t="str">
            <v>dez</v>
          </cell>
          <cell r="AY1" t="str">
            <v>jan01</v>
          </cell>
          <cell r="BC1" t="str">
            <v>fev</v>
          </cell>
          <cell r="BG1" t="str">
            <v>mar</v>
          </cell>
          <cell r="BK1" t="str">
            <v>abr</v>
          </cell>
          <cell r="BO1" t="str">
            <v>mai</v>
          </cell>
          <cell r="BS1" t="str">
            <v>jun</v>
          </cell>
          <cell r="BW1" t="str">
            <v>jul</v>
          </cell>
          <cell r="CA1" t="str">
            <v>ago</v>
          </cell>
          <cell r="CE1" t="str">
            <v>set</v>
          </cell>
          <cell r="CI1" t="str">
            <v>out</v>
          </cell>
          <cell r="CM1" t="str">
            <v>nov</v>
          </cell>
          <cell r="CQ1" t="str">
            <v>dez</v>
          </cell>
          <cell r="CU1" t="str">
            <v>jan02</v>
          </cell>
          <cell r="CY1" t="str">
            <v>fev02</v>
          </cell>
          <cell r="DC1" t="str">
            <v>mar02</v>
          </cell>
          <cell r="DG1" t="str">
            <v>abr02</v>
          </cell>
          <cell r="DK1" t="str">
            <v>mai02</v>
          </cell>
          <cell r="DO1" t="str">
            <v>jun02</v>
          </cell>
          <cell r="DS1" t="str">
            <v>jul02</v>
          </cell>
          <cell r="DW1" t="str">
            <v>ago02</v>
          </cell>
          <cell r="EA1" t="str">
            <v>set02</v>
          </cell>
          <cell r="EE1" t="str">
            <v>out02</v>
          </cell>
          <cell r="EI1">
            <v>37561</v>
          </cell>
          <cell r="EM1">
            <v>37591</v>
          </cell>
          <cell r="EQ1">
            <v>37622</v>
          </cell>
          <cell r="EU1">
            <v>37653</v>
          </cell>
          <cell r="EY1">
            <v>37681</v>
          </cell>
          <cell r="FC1">
            <v>37712</v>
          </cell>
          <cell r="FG1">
            <v>37742</v>
          </cell>
          <cell r="FK1">
            <v>37773</v>
          </cell>
          <cell r="FO1">
            <v>37803</v>
          </cell>
          <cell r="IK1" t="str">
            <v>CHECAR</v>
          </cell>
        </row>
        <row r="2">
          <cell r="G2" t="str">
            <v>1ª q</v>
          </cell>
          <cell r="H2" t="str">
            <v>2ª q</v>
          </cell>
          <cell r="I2" t="str">
            <v>3ª q</v>
          </cell>
          <cell r="J2" t="str">
            <v>fev</v>
          </cell>
          <cell r="K2" t="str">
            <v>1ª q</v>
          </cell>
          <cell r="L2" t="str">
            <v>2ª q</v>
          </cell>
          <cell r="M2" t="str">
            <v>3ª q</v>
          </cell>
          <cell r="N2" t="str">
            <v>mar</v>
          </cell>
          <cell r="O2" t="str">
            <v>1ª q</v>
          </cell>
          <cell r="P2" t="str">
            <v>2ª q</v>
          </cell>
          <cell r="Q2" t="str">
            <v>3ª q</v>
          </cell>
          <cell r="R2" t="str">
            <v>abr</v>
          </cell>
          <cell r="S2" t="str">
            <v>1ª q</v>
          </cell>
          <cell r="T2" t="str">
            <v>2ª q</v>
          </cell>
          <cell r="U2" t="str">
            <v>3ª q</v>
          </cell>
          <cell r="V2" t="str">
            <v>mai</v>
          </cell>
          <cell r="W2" t="str">
            <v>1ª q</v>
          </cell>
          <cell r="X2" t="str">
            <v>2ª q</v>
          </cell>
          <cell r="Y2" t="str">
            <v>3ª q</v>
          </cell>
          <cell r="Z2" t="str">
            <v>jun</v>
          </cell>
          <cell r="AA2" t="str">
            <v>1ª q</v>
          </cell>
          <cell r="AB2" t="str">
            <v>2ª q</v>
          </cell>
          <cell r="AC2" t="str">
            <v>3ª q</v>
          </cell>
          <cell r="AD2" t="str">
            <v>jul</v>
          </cell>
          <cell r="AE2" t="str">
            <v>1ª q</v>
          </cell>
          <cell r="AF2" t="str">
            <v>2ª q</v>
          </cell>
          <cell r="AG2" t="str">
            <v>3ª q</v>
          </cell>
          <cell r="AH2" t="str">
            <v>ago</v>
          </cell>
          <cell r="AI2" t="str">
            <v>1ª q</v>
          </cell>
          <cell r="AJ2" t="str">
            <v>2ª q</v>
          </cell>
          <cell r="AK2" t="str">
            <v>3ª q</v>
          </cell>
          <cell r="AL2" t="str">
            <v>set</v>
          </cell>
          <cell r="AM2" t="str">
            <v>1ª q</v>
          </cell>
          <cell r="AN2" t="str">
            <v>2ª q</v>
          </cell>
          <cell r="AO2" t="str">
            <v>3ª q</v>
          </cell>
          <cell r="AP2" t="str">
            <v>out</v>
          </cell>
          <cell r="AQ2" t="str">
            <v>1ª q</v>
          </cell>
          <cell r="AR2" t="str">
            <v>2ª q</v>
          </cell>
          <cell r="AS2" t="str">
            <v>3ª q</v>
          </cell>
          <cell r="AT2" t="str">
            <v>nov</v>
          </cell>
          <cell r="AU2" t="str">
            <v>1ª q</v>
          </cell>
          <cell r="AV2" t="str">
            <v>2ª q</v>
          </cell>
          <cell r="AW2" t="str">
            <v>3ª q</v>
          </cell>
          <cell r="AX2" t="str">
            <v>dez</v>
          </cell>
          <cell r="AY2" t="str">
            <v>1ª q</v>
          </cell>
          <cell r="AZ2" t="str">
            <v>2ª q</v>
          </cell>
          <cell r="BA2" t="str">
            <v>3ª q</v>
          </cell>
          <cell r="BB2" t="str">
            <v>jan</v>
          </cell>
          <cell r="BC2" t="str">
            <v>1ª q</v>
          </cell>
          <cell r="BD2" t="str">
            <v>2ª q</v>
          </cell>
          <cell r="BE2" t="str">
            <v>3ª q</v>
          </cell>
          <cell r="BF2" t="str">
            <v>fev</v>
          </cell>
          <cell r="BG2" t="str">
            <v>1ª q</v>
          </cell>
          <cell r="BH2" t="str">
            <v>2ª q</v>
          </cell>
          <cell r="BI2" t="str">
            <v>3ª q</v>
          </cell>
          <cell r="BJ2" t="str">
            <v>mar</v>
          </cell>
          <cell r="BK2" t="str">
            <v>1ª q</v>
          </cell>
          <cell r="BL2" t="str">
            <v>2ª q</v>
          </cell>
          <cell r="BM2" t="str">
            <v>3ª q</v>
          </cell>
          <cell r="BN2" t="str">
            <v>abr</v>
          </cell>
          <cell r="BO2" t="str">
            <v>1ª q</v>
          </cell>
          <cell r="BP2" t="str">
            <v>2ª q</v>
          </cell>
          <cell r="BQ2" t="str">
            <v>3ª q</v>
          </cell>
          <cell r="BR2" t="str">
            <v>mai</v>
          </cell>
          <cell r="BS2" t="str">
            <v>1ª q</v>
          </cell>
          <cell r="BT2" t="str">
            <v>2ª q</v>
          </cell>
          <cell r="BU2" t="str">
            <v>3ª q</v>
          </cell>
          <cell r="BV2" t="str">
            <v>jun</v>
          </cell>
          <cell r="BW2" t="str">
            <v>1ª q</v>
          </cell>
          <cell r="BX2" t="str">
            <v>2ª q</v>
          </cell>
          <cell r="BY2" t="str">
            <v>3ª q</v>
          </cell>
          <cell r="BZ2" t="str">
            <v>jul</v>
          </cell>
          <cell r="CA2" t="str">
            <v>1ª q</v>
          </cell>
          <cell r="CB2" t="str">
            <v>2ª q</v>
          </cell>
          <cell r="CC2" t="str">
            <v>3ª q</v>
          </cell>
          <cell r="CD2" t="str">
            <v>ago</v>
          </cell>
          <cell r="CE2" t="str">
            <v>1ª q</v>
          </cell>
          <cell r="CF2" t="str">
            <v>2ª q</v>
          </cell>
          <cell r="CG2" t="str">
            <v>3ª q</v>
          </cell>
          <cell r="CH2" t="str">
            <v>set</v>
          </cell>
          <cell r="CI2" t="str">
            <v>1ª q</v>
          </cell>
          <cell r="CJ2" t="str">
            <v>2ª q</v>
          </cell>
          <cell r="CK2" t="str">
            <v>3ª q</v>
          </cell>
          <cell r="CL2" t="str">
            <v>out</v>
          </cell>
          <cell r="CM2" t="str">
            <v>1ª q</v>
          </cell>
          <cell r="CN2" t="str">
            <v>2ª q</v>
          </cell>
          <cell r="CO2" t="str">
            <v>3ª q</v>
          </cell>
          <cell r="CP2" t="str">
            <v>nov</v>
          </cell>
          <cell r="CQ2" t="str">
            <v>1ª q</v>
          </cell>
          <cell r="CR2" t="str">
            <v>2ª q</v>
          </cell>
          <cell r="CS2" t="str">
            <v>3ª q</v>
          </cell>
          <cell r="CT2" t="str">
            <v>dez</v>
          </cell>
          <cell r="CU2" t="str">
            <v>1ª q</v>
          </cell>
          <cell r="CV2" t="str">
            <v>2ª q</v>
          </cell>
          <cell r="CW2" t="str">
            <v>3ª q</v>
          </cell>
          <cell r="CX2" t="str">
            <v>jan</v>
          </cell>
          <cell r="CY2" t="str">
            <v>1ª q</v>
          </cell>
          <cell r="CZ2" t="str">
            <v>2ª q</v>
          </cell>
          <cell r="DA2" t="str">
            <v>3ª q</v>
          </cell>
          <cell r="DB2" t="str">
            <v>fev</v>
          </cell>
          <cell r="DC2" t="str">
            <v>1ª q</v>
          </cell>
          <cell r="DD2" t="str">
            <v>2ª q</v>
          </cell>
          <cell r="DE2" t="str">
            <v>3ª q</v>
          </cell>
          <cell r="DF2" t="str">
            <v>mar</v>
          </cell>
          <cell r="DG2" t="str">
            <v>1ª q</v>
          </cell>
          <cell r="DH2" t="str">
            <v>2ª q</v>
          </cell>
          <cell r="DI2" t="str">
            <v>3ª q</v>
          </cell>
          <cell r="DJ2" t="str">
            <v>abr</v>
          </cell>
          <cell r="DK2" t="str">
            <v>1ª q</v>
          </cell>
          <cell r="DL2" t="str">
            <v>2ª q</v>
          </cell>
          <cell r="DM2" t="str">
            <v>3ª q</v>
          </cell>
          <cell r="DN2" t="str">
            <v>mai</v>
          </cell>
          <cell r="DO2" t="str">
            <v>1ª q</v>
          </cell>
          <cell r="DP2" t="str">
            <v>2ª q</v>
          </cell>
          <cell r="DQ2" t="str">
            <v>3ª q</v>
          </cell>
          <cell r="DR2" t="str">
            <v>jun</v>
          </cell>
          <cell r="DS2" t="str">
            <v>1ª q</v>
          </cell>
          <cell r="DT2" t="str">
            <v>2ª q</v>
          </cell>
          <cell r="DU2" t="str">
            <v>3ª q</v>
          </cell>
          <cell r="DV2" t="str">
            <v>jul</v>
          </cell>
          <cell r="DW2" t="str">
            <v>1ª q</v>
          </cell>
          <cell r="DX2" t="str">
            <v>2ª q</v>
          </cell>
          <cell r="DY2" t="str">
            <v>3ª q</v>
          </cell>
          <cell r="DZ2" t="str">
            <v>ago</v>
          </cell>
          <cell r="EA2" t="str">
            <v>1ª q</v>
          </cell>
          <cell r="EB2" t="str">
            <v>2ª q</v>
          </cell>
          <cell r="EC2" t="str">
            <v>3ª q</v>
          </cell>
          <cell r="ED2" t="str">
            <v>set</v>
          </cell>
          <cell r="EE2" t="str">
            <v>1ª q</v>
          </cell>
          <cell r="EF2" t="str">
            <v>2ª q</v>
          </cell>
          <cell r="EG2" t="str">
            <v>3ª q</v>
          </cell>
          <cell r="EH2" t="str">
            <v>out</v>
          </cell>
          <cell r="EI2" t="str">
            <v>1ª q</v>
          </cell>
          <cell r="EJ2" t="str">
            <v>2ª q</v>
          </cell>
          <cell r="EK2" t="str">
            <v>3ª q</v>
          </cell>
          <cell r="EL2" t="str">
            <v>nov</v>
          </cell>
          <cell r="EM2" t="str">
            <v>1ª q</v>
          </cell>
          <cell r="EN2" t="str">
            <v>2ª q</v>
          </cell>
          <cell r="EO2" t="str">
            <v>3ª q</v>
          </cell>
          <cell r="EP2">
            <v>37591</v>
          </cell>
          <cell r="EQ2" t="str">
            <v>1ª q</v>
          </cell>
          <cell r="ER2" t="str">
            <v>2ª q</v>
          </cell>
          <cell r="ES2" t="str">
            <v>3ª q</v>
          </cell>
          <cell r="ET2">
            <v>37622</v>
          </cell>
          <cell r="EU2" t="str">
            <v>1ª q</v>
          </cell>
          <cell r="EV2" t="str">
            <v>2ª q</v>
          </cell>
          <cell r="EW2" t="str">
            <v>3ª q</v>
          </cell>
          <cell r="EX2">
            <v>37653</v>
          </cell>
          <cell r="EY2" t="str">
            <v>1ª q</v>
          </cell>
          <cell r="EZ2" t="str">
            <v>2ª q</v>
          </cell>
          <cell r="FA2" t="str">
            <v>3ª q</v>
          </cell>
          <cell r="FB2">
            <v>37681</v>
          </cell>
          <cell r="FC2" t="str">
            <v>1ª q</v>
          </cell>
          <cell r="FD2" t="str">
            <v>2ª q</v>
          </cell>
          <cell r="FE2" t="str">
            <v>3ª q</v>
          </cell>
          <cell r="FF2">
            <v>37712</v>
          </cell>
          <cell r="FG2" t="str">
            <v>1ª q</v>
          </cell>
          <cell r="FH2" t="str">
            <v>2ª q</v>
          </cell>
          <cell r="FI2" t="str">
            <v>3ª q</v>
          </cell>
          <cell r="FJ2">
            <v>37742</v>
          </cell>
          <cell r="FK2" t="str">
            <v>1ª q</v>
          </cell>
          <cell r="FL2" t="str">
            <v>2ª q</v>
          </cell>
          <cell r="FM2" t="str">
            <v>3ª q</v>
          </cell>
          <cell r="FN2">
            <v>37773</v>
          </cell>
          <cell r="FO2" t="str">
            <v>1ª q</v>
          </cell>
          <cell r="FP2" t="str">
            <v>2ª q</v>
          </cell>
          <cell r="FQ2" t="str">
            <v>3ª q</v>
          </cell>
          <cell r="FR2">
            <v>37803</v>
          </cell>
          <cell r="FS2" t="str">
            <v>1ª q</v>
          </cell>
          <cell r="FT2" t="str">
            <v>2ª q</v>
          </cell>
          <cell r="FU2" t="str">
            <v>3ª q</v>
          </cell>
          <cell r="FV2">
            <v>37834</v>
          </cell>
          <cell r="FW2" t="str">
            <v>1ª q</v>
          </cell>
          <cell r="FX2" t="str">
            <v>2ª q</v>
          </cell>
          <cell r="FY2" t="str">
            <v>3ª q</v>
          </cell>
          <cell r="FZ2">
            <v>37865</v>
          </cell>
          <cell r="GA2" t="str">
            <v>1ª q</v>
          </cell>
          <cell r="GB2" t="str">
            <v>2ª q</v>
          </cell>
          <cell r="GC2" t="str">
            <v>3ª q</v>
          </cell>
          <cell r="GD2">
            <v>37895</v>
          </cell>
          <cell r="GE2" t="str">
            <v>1ª q</v>
          </cell>
          <cell r="GF2" t="str">
            <v>2ª q</v>
          </cell>
          <cell r="GG2" t="str">
            <v>3ª q</v>
          </cell>
          <cell r="GH2">
            <v>37926</v>
          </cell>
          <cell r="GI2" t="str">
            <v>1ª q</v>
          </cell>
          <cell r="GJ2" t="str">
            <v>2ª q</v>
          </cell>
          <cell r="GK2" t="str">
            <v>3ª q</v>
          </cell>
          <cell r="GL2">
            <v>37956</v>
          </cell>
          <cell r="GM2" t="str">
            <v>1ª q</v>
          </cell>
          <cell r="GN2" t="str">
            <v>2ª q</v>
          </cell>
          <cell r="GO2" t="str">
            <v>3ª q</v>
          </cell>
          <cell r="GP2">
            <v>37987</v>
          </cell>
          <cell r="GQ2" t="str">
            <v>1ª q</v>
          </cell>
          <cell r="GR2" t="str">
            <v>2ª q</v>
          </cell>
          <cell r="GS2" t="str">
            <v>3ª q</v>
          </cell>
          <cell r="GT2">
            <v>38018</v>
          </cell>
          <cell r="GU2" t="str">
            <v>1ª q</v>
          </cell>
          <cell r="GV2" t="str">
            <v>2ª q</v>
          </cell>
          <cell r="GW2" t="str">
            <v>3ª q</v>
          </cell>
          <cell r="GX2">
            <v>38047</v>
          </cell>
          <cell r="GY2" t="str">
            <v>1ª q</v>
          </cell>
          <cell r="GZ2" t="str">
            <v>2ª q</v>
          </cell>
          <cell r="HA2" t="str">
            <v>3ª q</v>
          </cell>
          <cell r="HB2">
            <v>38078</v>
          </cell>
          <cell r="HC2" t="str">
            <v>1ª q</v>
          </cell>
          <cell r="HD2" t="str">
            <v>2ª q</v>
          </cell>
          <cell r="HE2" t="str">
            <v>3ª q</v>
          </cell>
          <cell r="HF2">
            <v>38108</v>
          </cell>
          <cell r="HG2" t="str">
            <v>1ª q</v>
          </cell>
          <cell r="HH2" t="str">
            <v>2ª q</v>
          </cell>
          <cell r="HI2" t="str">
            <v>3ª q</v>
          </cell>
          <cell r="HJ2" t="str">
            <v>jun/04</v>
          </cell>
          <cell r="HK2" t="str">
            <v>1ª q</v>
          </cell>
          <cell r="HL2" t="str">
            <v>2ª q</v>
          </cell>
          <cell r="HM2" t="str">
            <v>3ª q</v>
          </cell>
          <cell r="HN2">
            <v>38169</v>
          </cell>
          <cell r="HO2" t="str">
            <v>1ª q</v>
          </cell>
          <cell r="HP2" t="str">
            <v>2ª q</v>
          </cell>
          <cell r="HQ2" t="str">
            <v>3ª q</v>
          </cell>
          <cell r="HR2">
            <v>38200</v>
          </cell>
          <cell r="HS2" t="str">
            <v>1ª q</v>
          </cell>
          <cell r="HT2" t="str">
            <v>2ª q</v>
          </cell>
          <cell r="HU2" t="str">
            <v>3ª q</v>
          </cell>
          <cell r="HV2">
            <v>38231</v>
          </cell>
          <cell r="HW2" t="str">
            <v>1ª q</v>
          </cell>
          <cell r="HX2" t="str">
            <v>2ª q</v>
          </cell>
          <cell r="HY2" t="str">
            <v>3ª q</v>
          </cell>
          <cell r="HZ2">
            <v>38261</v>
          </cell>
          <cell r="IA2" t="str">
            <v>1ª q</v>
          </cell>
          <cell r="IB2" t="str">
            <v>2ª q</v>
          </cell>
          <cell r="IC2" t="str">
            <v>3ª q</v>
          </cell>
          <cell r="ID2">
            <v>38292</v>
          </cell>
          <cell r="IE2" t="str">
            <v>1ª q</v>
          </cell>
          <cell r="IF2" t="str">
            <v>2ª q</v>
          </cell>
          <cell r="IG2" t="str">
            <v>3ª q</v>
          </cell>
          <cell r="IH2">
            <v>38322</v>
          </cell>
          <cell r="II2" t="str">
            <v>1ª q</v>
          </cell>
          <cell r="IJ2" t="str">
            <v>2ª q</v>
          </cell>
          <cell r="IK2" t="str">
            <v>3ª q</v>
          </cell>
          <cell r="IL2">
            <v>38353</v>
          </cell>
        </row>
        <row r="4">
          <cell r="D4" t="str">
            <v>RESUMO</v>
          </cell>
        </row>
        <row r="5">
          <cell r="B5" t="str">
            <v>Índice Geral</v>
          </cell>
          <cell r="E5">
            <v>100</v>
          </cell>
          <cell r="F5">
            <v>0.57369999999999999</v>
          </cell>
          <cell r="G5">
            <v>0.36890000000000001</v>
          </cell>
          <cell r="H5">
            <v>0.1789</v>
          </cell>
          <cell r="I5">
            <v>-4.5499999999999999E-2</v>
          </cell>
          <cell r="J5">
            <v>-0.22509999999999999</v>
          </cell>
        </row>
        <row r="7">
          <cell r="B7" t="str">
            <v>I. Habitação</v>
          </cell>
          <cell r="E7">
            <v>32.792499999999997</v>
          </cell>
          <cell r="F7">
            <v>0.4047</v>
          </cell>
          <cell r="G7">
            <v>0.4083</v>
          </cell>
          <cell r="H7">
            <v>0.54949999999999999</v>
          </cell>
          <cell r="I7">
            <v>0.49049999999999999</v>
          </cell>
          <cell r="J7">
            <v>0.436</v>
          </cell>
        </row>
        <row r="8">
          <cell r="B8" t="str">
            <v>1. Manutenção do Domicílio</v>
          </cell>
          <cell r="E8">
            <v>15.726699999999999</v>
          </cell>
          <cell r="F8">
            <v>0.3654</v>
          </cell>
          <cell r="G8">
            <v>0.1646</v>
          </cell>
          <cell r="H8">
            <v>0.1328</v>
          </cell>
          <cell r="I8">
            <v>5.8000000000000003E-2</v>
          </cell>
          <cell r="J8">
            <v>0.1227</v>
          </cell>
        </row>
        <row r="9">
          <cell r="B9" t="str">
            <v>1.1. Serviços de Utilidade Pública</v>
          </cell>
          <cell r="E9">
            <v>8.2805</v>
          </cell>
          <cell r="F9">
            <v>8.6E-3</v>
          </cell>
          <cell r="G9">
            <v>1.4200000000000001E-2</v>
          </cell>
          <cell r="H9">
            <v>4.1999999999999997E-3</v>
          </cell>
          <cell r="I9">
            <v>-1.2999999999999999E-2</v>
          </cell>
          <cell r="J9">
            <v>-2.7900000000000001E-2</v>
          </cell>
        </row>
        <row r="10">
          <cell r="D10" t="str">
            <v>luz</v>
          </cell>
          <cell r="E10">
            <v>4.2427999999999999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D11" t="str">
            <v>água/esgoto</v>
          </cell>
          <cell r="E11">
            <v>2.2246000000000001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D12" t="str">
            <v>gás de botijão</v>
          </cell>
          <cell r="E12">
            <v>0.71250000000000002</v>
          </cell>
          <cell r="F12">
            <v>0.1</v>
          </cell>
          <cell r="G12">
            <v>0.21</v>
          </cell>
          <cell r="H12">
            <v>0.21</v>
          </cell>
          <cell r="I12">
            <v>0.19</v>
          </cell>
          <cell r="J12">
            <v>0.13</v>
          </cell>
        </row>
        <row r="13">
          <cell r="D13" t="str">
            <v>gás canalizado</v>
          </cell>
          <cell r="E13">
            <v>3.4200000000000001E-2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D14" t="str">
            <v>imposto predial</v>
          </cell>
          <cell r="E14">
            <v>1.0664</v>
          </cell>
          <cell r="F14">
            <v>0</v>
          </cell>
          <cell r="G14">
            <v>-0.03</v>
          </cell>
          <cell r="H14">
            <v>-0.1075</v>
          </cell>
          <cell r="I14">
            <v>-0.22750000000000001</v>
          </cell>
          <cell r="J14">
            <v>-0.30309999999999998</v>
          </cell>
        </row>
        <row r="15">
          <cell r="B15" t="str">
            <v>1.2. Serviços Domésticos e Conservação</v>
          </cell>
          <cell r="E15">
            <v>6.1429999999999998</v>
          </cell>
          <cell r="F15">
            <v>0.90500000000000003</v>
          </cell>
          <cell r="G15">
            <v>0.39939999999999998</v>
          </cell>
          <cell r="H15">
            <v>0.4037</v>
          </cell>
          <cell r="I15">
            <v>0.23039999999999999</v>
          </cell>
          <cell r="J15">
            <v>0.24809999999999999</v>
          </cell>
        </row>
        <row r="16">
          <cell r="B16" t="str">
            <v>1.3. Artigos de Limpeza</v>
          </cell>
          <cell r="E16">
            <v>1.3031999999999999</v>
          </cell>
          <cell r="F16">
            <v>0.1003</v>
          </cell>
          <cell r="G16">
            <v>1.5699999999999999E-2</v>
          </cell>
          <cell r="H16">
            <v>-0.32369999999999999</v>
          </cell>
          <cell r="I16">
            <v>-0.30220000000000002</v>
          </cell>
          <cell r="J16">
            <v>0.49070000000000003</v>
          </cell>
        </row>
        <row r="17">
          <cell r="B17" t="str">
            <v>2. Aluguel</v>
          </cell>
          <cell r="E17">
            <v>8.9748000000000001</v>
          </cell>
          <cell r="F17">
            <v>-0.03</v>
          </cell>
          <cell r="G17">
            <v>-0.05</v>
          </cell>
          <cell r="H17">
            <v>-0.08</v>
          </cell>
          <cell r="I17">
            <v>-0.14000000000000001</v>
          </cell>
          <cell r="J17">
            <v>-0.19</v>
          </cell>
        </row>
        <row r="18">
          <cell r="B18" t="str">
            <v>3. Equipamentos do Domicílio</v>
          </cell>
          <cell r="E18">
            <v>4.4016999999999999</v>
          </cell>
          <cell r="F18">
            <v>0.38250000000000001</v>
          </cell>
          <cell r="G18">
            <v>0.30719999999999997</v>
          </cell>
          <cell r="H18">
            <v>0.63549999999999995</v>
          </cell>
          <cell r="I18">
            <v>0.74919999999999998</v>
          </cell>
          <cell r="J18">
            <v>0.62209999999999999</v>
          </cell>
        </row>
        <row r="19">
          <cell r="B19" t="str">
            <v>4. Serviços de Comunicações</v>
          </cell>
          <cell r="E19">
            <v>3.6892999999999998</v>
          </cell>
          <cell r="F19">
            <v>1.6666000000000001</v>
          </cell>
          <cell r="G19">
            <v>2.7124999999999999</v>
          </cell>
          <cell r="H19">
            <v>3.8153999999999999</v>
          </cell>
          <cell r="I19">
            <v>3.6160999999999999</v>
          </cell>
          <cell r="J19">
            <v>3.1141999999999999</v>
          </cell>
        </row>
        <row r="21">
          <cell r="B21" t="str">
            <v>II. Alimentação</v>
          </cell>
          <cell r="E21">
            <v>22.730499999999999</v>
          </cell>
          <cell r="F21">
            <v>0.6038</v>
          </cell>
          <cell r="G21">
            <v>-8.3999999999999995E-3</v>
          </cell>
          <cell r="H21">
            <v>-0.58179999999999998</v>
          </cell>
          <cell r="I21">
            <v>-1.0661</v>
          </cell>
          <cell r="J21">
            <v>-1.3848</v>
          </cell>
        </row>
        <row r="22">
          <cell r="B22" t="str">
            <v>1. Industrializados</v>
          </cell>
          <cell r="E22">
            <v>9.0904000000000007</v>
          </cell>
          <cell r="F22">
            <v>0.9012</v>
          </cell>
          <cell r="G22">
            <v>0.46589999999999998</v>
          </cell>
          <cell r="H22">
            <v>6.08E-2</v>
          </cell>
          <cell r="I22">
            <v>-0.35499999999999998</v>
          </cell>
          <cell r="J22">
            <v>-0.77649999999999997</v>
          </cell>
        </row>
        <row r="23">
          <cell r="B23" t="str">
            <v>2. Semi-elaborados</v>
          </cell>
          <cell r="E23">
            <v>6.9256000000000002</v>
          </cell>
          <cell r="F23">
            <v>-1.4872000000000001</v>
          </cell>
          <cell r="G23">
            <v>-2.8479999999999999</v>
          </cell>
          <cell r="H23">
            <v>-3.3650000000000002</v>
          </cell>
          <cell r="I23">
            <v>-3.3643999999999998</v>
          </cell>
          <cell r="J23">
            <v>-3.4984999999999999</v>
          </cell>
        </row>
        <row r="24">
          <cell r="B24" t="str">
            <v>3. Alimentos In Natura</v>
          </cell>
          <cell r="E24">
            <v>4.0011999999999999</v>
          </cell>
          <cell r="F24">
            <v>3.9268000000000001</v>
          </cell>
          <cell r="G24">
            <v>3.8231999999999999</v>
          </cell>
          <cell r="H24">
            <v>2.4093</v>
          </cell>
          <cell r="I24">
            <v>0.5806</v>
          </cell>
          <cell r="J24">
            <v>-0.1226</v>
          </cell>
        </row>
        <row r="25">
          <cell r="B25" t="str">
            <v>4. Alimentação Fora do Domicílio</v>
          </cell>
          <cell r="E25">
            <v>2.7132999999999998</v>
          </cell>
          <cell r="F25">
            <v>0.18179999999999999</v>
          </cell>
          <cell r="G25">
            <v>0.21429999999999999</v>
          </cell>
          <cell r="H25">
            <v>0.1338</v>
          </cell>
          <cell r="I25">
            <v>9.4100000000000003E-2</v>
          </cell>
          <cell r="J25">
            <v>0.20030000000000001</v>
          </cell>
        </row>
        <row r="27">
          <cell r="B27" t="str">
            <v xml:space="preserve">III. Transportes </v>
          </cell>
          <cell r="E27">
            <v>16.030899999999999</v>
          </cell>
          <cell r="F27">
            <v>0.19420000000000001</v>
          </cell>
          <cell r="G27">
            <v>0.1794</v>
          </cell>
          <cell r="H27">
            <v>5.1200000000000002E-2</v>
          </cell>
          <cell r="I27">
            <v>0.1704</v>
          </cell>
          <cell r="J27">
            <v>0.36409999999999998</v>
          </cell>
        </row>
        <row r="28">
          <cell r="B28" t="str">
            <v>1. Veículo Próprio</v>
          </cell>
          <cell r="E28">
            <v>8.6915000000000013</v>
          </cell>
          <cell r="F28">
            <v>-9.5200000000000007E-2</v>
          </cell>
          <cell r="G28">
            <v>-5.2600000000000001E-2</v>
          </cell>
          <cell r="H28">
            <v>-0.22090000000000001</v>
          </cell>
          <cell r="I28">
            <v>8.0199999999999994E-2</v>
          </cell>
          <cell r="J28">
            <v>0.43930000000000002</v>
          </cell>
        </row>
        <row r="29">
          <cell r="C29" t="str">
            <v>1.1. Manutenção do Veículo</v>
          </cell>
          <cell r="E29">
            <v>5.5149000000000008</v>
          </cell>
          <cell r="F29">
            <v>-0.16320000000000001</v>
          </cell>
          <cell r="G29">
            <v>-0.4249</v>
          </cell>
          <cell r="H29">
            <v>-0.70620000000000005</v>
          </cell>
          <cell r="I29">
            <v>-0.2472</v>
          </cell>
          <cell r="J29">
            <v>5.5899999999999998E-2</v>
          </cell>
        </row>
        <row r="30">
          <cell r="D30" t="str">
            <v>gasolina</v>
          </cell>
          <cell r="E30">
            <v>2.6541999999999999</v>
          </cell>
          <cell r="F30">
            <v>-0.29770000000000002</v>
          </cell>
          <cell r="G30">
            <v>-0.75109999999999999</v>
          </cell>
          <cell r="H30">
            <v>-1.1800999999999999</v>
          </cell>
          <cell r="I30">
            <v>-1.0415000000000001</v>
          </cell>
          <cell r="J30">
            <v>-0.54290000000000005</v>
          </cell>
        </row>
        <row r="31">
          <cell r="D31" t="str">
            <v>álcool combustível</v>
          </cell>
          <cell r="E31">
            <v>0.54649999999999999</v>
          </cell>
          <cell r="F31">
            <v>-0.28339999999999999</v>
          </cell>
          <cell r="G31">
            <v>0.22259999999999999</v>
          </cell>
          <cell r="H31">
            <v>9.35E-2</v>
          </cell>
          <cell r="I31">
            <v>-0.13439999999999999</v>
          </cell>
          <cell r="J31">
            <v>-9.4700000000000006E-2</v>
          </cell>
        </row>
        <row r="32">
          <cell r="D32" t="str">
            <v>diesel</v>
          </cell>
          <cell r="E32">
            <v>2.9499999999999998E-2</v>
          </cell>
          <cell r="F32">
            <v>0.44</v>
          </cell>
          <cell r="G32">
            <v>0.61599999999999999</v>
          </cell>
          <cell r="H32">
            <v>-0.2248</v>
          </cell>
          <cell r="I32">
            <v>-0.44369999999999998</v>
          </cell>
          <cell r="J32">
            <v>-0.46820000000000001</v>
          </cell>
        </row>
        <row r="33">
          <cell r="D33" t="str">
            <v>reparo no veículo</v>
          </cell>
          <cell r="E33">
            <v>1.6113999999999999</v>
          </cell>
          <cell r="F33">
            <v>-4.2799999999999998E-2</v>
          </cell>
          <cell r="G33">
            <v>-0.50139999999999996</v>
          </cell>
          <cell r="H33">
            <v>-0.7409</v>
          </cell>
          <cell r="I33">
            <v>0.39450000000000002</v>
          </cell>
          <cell r="J33">
            <v>0.61550000000000005</v>
          </cell>
        </row>
        <row r="34">
          <cell r="D34" t="str">
            <v>produtos para veículo</v>
          </cell>
          <cell r="E34">
            <v>0.4461</v>
          </cell>
          <cell r="F34">
            <v>0.50919999999999999</v>
          </cell>
          <cell r="G34">
            <v>0.69830000000000003</v>
          </cell>
          <cell r="H34">
            <v>0.57250000000000001</v>
          </cell>
          <cell r="I34">
            <v>1.2801</v>
          </cell>
          <cell r="J34">
            <v>1.2748999999999999</v>
          </cell>
        </row>
        <row r="35">
          <cell r="D35" t="str">
            <v>óleo para veículo</v>
          </cell>
          <cell r="E35">
            <v>9.2499999999999999E-2</v>
          </cell>
          <cell r="F35">
            <v>-2.5232999999999999</v>
          </cell>
          <cell r="G35">
            <v>-0.10249999999999999</v>
          </cell>
          <cell r="H35">
            <v>0.72750000000000004</v>
          </cell>
          <cell r="I35">
            <v>3.0707</v>
          </cell>
          <cell r="J35">
            <v>2.9094000000000002</v>
          </cell>
        </row>
        <row r="36">
          <cell r="D36" t="str">
            <v>acessórios de veículo</v>
          </cell>
          <cell r="E36">
            <v>8.2900000000000001E-2</v>
          </cell>
          <cell r="F36">
            <v>1.6612</v>
          </cell>
          <cell r="G36">
            <v>2.1800000000000002</v>
          </cell>
          <cell r="H36">
            <v>2.4923000000000002</v>
          </cell>
          <cell r="I36">
            <v>1.7699</v>
          </cell>
          <cell r="J36">
            <v>0.74060000000000004</v>
          </cell>
        </row>
        <row r="37">
          <cell r="D37" t="str">
            <v>lavagem de veículo</v>
          </cell>
          <cell r="E37">
            <v>5.1799999999999999E-2</v>
          </cell>
          <cell r="F37">
            <v>-0.48180000000000001</v>
          </cell>
          <cell r="G37">
            <v>-2.9761000000000002</v>
          </cell>
          <cell r="H37">
            <v>-2.4666000000000001</v>
          </cell>
          <cell r="I37">
            <v>-2.419</v>
          </cell>
          <cell r="J37">
            <v>-1.1780999999999999</v>
          </cell>
        </row>
        <row r="38">
          <cell r="C38" t="str">
            <v>1.2. Aquisição de Veículo</v>
          </cell>
          <cell r="E38">
            <v>3.1766000000000005</v>
          </cell>
          <cell r="F38">
            <v>2.2800000000000001E-2</v>
          </cell>
          <cell r="G38">
            <v>0.59709999999999996</v>
          </cell>
          <cell r="H38">
            <v>0.62719999999999998</v>
          </cell>
          <cell r="I38">
            <v>0.65129999999999999</v>
          </cell>
          <cell r="J38">
            <v>1.1084000000000001</v>
          </cell>
        </row>
        <row r="39">
          <cell r="D39" t="str">
            <v>automóvel usado</v>
          </cell>
          <cell r="E39">
            <v>2.2018</v>
          </cell>
          <cell r="F39">
            <v>-0.18</v>
          </cell>
          <cell r="G39">
            <v>0.61</v>
          </cell>
          <cell r="H39">
            <v>0.43</v>
          </cell>
          <cell r="I39">
            <v>0.51</v>
          </cell>
          <cell r="J39">
            <v>1.1399999999999999</v>
          </cell>
        </row>
        <row r="40">
          <cell r="D40" t="str">
            <v>automóvel novo</v>
          </cell>
          <cell r="E40">
            <v>0.84230000000000005</v>
          </cell>
          <cell r="F40">
            <v>0.3377</v>
          </cell>
          <cell r="G40">
            <v>0.41489999999999999</v>
          </cell>
          <cell r="H40">
            <v>0.94069999999999998</v>
          </cell>
          <cell r="I40">
            <v>0.92920000000000003</v>
          </cell>
          <cell r="J40">
            <v>1.0087999999999999</v>
          </cell>
        </row>
        <row r="41">
          <cell r="D41" t="str">
            <v>motocicleta usada</v>
          </cell>
          <cell r="E41">
            <v>4.6800000000000001E-2</v>
          </cell>
          <cell r="F41">
            <v>1.02</v>
          </cell>
          <cell r="G41">
            <v>0.38</v>
          </cell>
          <cell r="H41">
            <v>0.49</v>
          </cell>
          <cell r="I41">
            <v>0.13</v>
          </cell>
          <cell r="J41">
            <v>0.16</v>
          </cell>
        </row>
        <row r="42">
          <cell r="D42" t="str">
            <v>motocicleta nova</v>
          </cell>
          <cell r="E42">
            <v>8.5699999999999998E-2</v>
          </cell>
          <cell r="F42">
            <v>1.62</v>
          </cell>
          <cell r="G42">
            <v>2.19</v>
          </cell>
          <cell r="H42">
            <v>2.72</v>
          </cell>
          <cell r="I42">
            <v>1.85</v>
          </cell>
          <cell r="J42">
            <v>1.7991999999999999</v>
          </cell>
        </row>
        <row r="43">
          <cell r="B43" t="str">
            <v>2. Transportes Coletivos</v>
          </cell>
          <cell r="E43">
            <v>5.8623000000000003</v>
          </cell>
          <cell r="F43">
            <v>0.12809999999999999</v>
          </cell>
          <cell r="G43">
            <v>6.5799999999999997E-2</v>
          </cell>
          <cell r="H43">
            <v>5.8799999999999998E-2</v>
          </cell>
          <cell r="I43">
            <v>2.5899999999999999E-2</v>
          </cell>
          <cell r="J43">
            <v>3.6299999999999999E-2</v>
          </cell>
        </row>
        <row r="44">
          <cell r="D44" t="str">
            <v>ônibus</v>
          </cell>
          <cell r="E44">
            <v>4.4032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D45" t="str">
            <v>lotação</v>
          </cell>
          <cell r="E45">
            <v>0.1898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D46" t="str">
            <v>integração</v>
          </cell>
          <cell r="E46">
            <v>0.1857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D47" t="str">
            <v>metrô</v>
          </cell>
          <cell r="E47">
            <v>0.58860000000000001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D48" t="str">
            <v>táxi</v>
          </cell>
          <cell r="E48">
            <v>0.2019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D49" t="str">
            <v>trem</v>
          </cell>
          <cell r="E49">
            <v>6.8900000000000003E-2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D50" t="str">
            <v>transporte escolar</v>
          </cell>
          <cell r="E50">
            <v>0.22420000000000001</v>
          </cell>
          <cell r="F50">
            <v>3.4030999999999998</v>
          </cell>
          <cell r="G50">
            <v>1.734</v>
          </cell>
          <cell r="H50">
            <v>1.5501</v>
          </cell>
          <cell r="I50">
            <v>0.68030000000000002</v>
          </cell>
          <cell r="J50">
            <v>0.95389999999999997</v>
          </cell>
        </row>
        <row r="51">
          <cell r="B51" t="str">
            <v>3. Outras Despesas com Transporte</v>
          </cell>
          <cell r="E51">
            <v>1.4771000000000001</v>
          </cell>
          <cell r="F51">
            <v>2.1821000000000002</v>
          </cell>
          <cell r="G51">
            <v>2.0143</v>
          </cell>
          <cell r="H51">
            <v>1.6369</v>
          </cell>
          <cell r="I51">
            <v>1.2814000000000001</v>
          </cell>
          <cell r="J51">
            <v>1.2287999999999999</v>
          </cell>
        </row>
        <row r="53">
          <cell r="B53" t="str">
            <v>IV. Despesas Pessoais</v>
          </cell>
          <cell r="E53">
            <v>12.298500000000001</v>
          </cell>
          <cell r="F53">
            <v>6.0000000000000001E-3</v>
          </cell>
          <cell r="G53">
            <v>0.1484</v>
          </cell>
          <cell r="H53">
            <v>0.27779999999999999</v>
          </cell>
          <cell r="I53">
            <v>3.1899999999999998E-2</v>
          </cell>
          <cell r="J53">
            <v>-0.26919999999999999</v>
          </cell>
        </row>
        <row r="54">
          <cell r="B54" t="str">
            <v>1. Fumo e Bebidas</v>
          </cell>
          <cell r="E54">
            <v>4.3230000000000004</v>
          </cell>
          <cell r="F54">
            <v>0.21809999999999999</v>
          </cell>
          <cell r="G54">
            <v>0.3049</v>
          </cell>
          <cell r="H54">
            <v>0.44469999999999998</v>
          </cell>
          <cell r="I54">
            <v>0.22189999999999999</v>
          </cell>
          <cell r="J54">
            <v>4.4299999999999999E-2</v>
          </cell>
        </row>
        <row r="55">
          <cell r="B55" t="str">
            <v>2. Recreação e Cultura</v>
          </cell>
          <cell r="E55">
            <v>3.6985999999999999</v>
          </cell>
          <cell r="F55">
            <v>0.67869999999999997</v>
          </cell>
          <cell r="G55">
            <v>0.42780000000000001</v>
          </cell>
          <cell r="H55">
            <v>0.18479999999999999</v>
          </cell>
          <cell r="I55">
            <v>-0.74339999999999995</v>
          </cell>
          <cell r="J55">
            <v>-1.6921999999999999</v>
          </cell>
        </row>
        <row r="56">
          <cell r="B56" t="str">
            <v>3. Artigos de Higiene e Beleza</v>
          </cell>
          <cell r="E56">
            <v>2.74</v>
          </cell>
          <cell r="F56">
            <v>-0.36449999999999999</v>
          </cell>
          <cell r="G56">
            <v>9.7900000000000001E-2</v>
          </cell>
          <cell r="H56">
            <v>0.37459999999999999</v>
          </cell>
          <cell r="I56">
            <v>0.5675</v>
          </cell>
          <cell r="J56">
            <v>0.8276</v>
          </cell>
        </row>
        <row r="57">
          <cell r="B57" t="str">
            <v>4. Serviços Pessoais</v>
          </cell>
          <cell r="E57">
            <v>0.79900000000000004</v>
          </cell>
          <cell r="F57">
            <v>-1.0446</v>
          </cell>
          <cell r="G57">
            <v>-0.28220000000000001</v>
          </cell>
          <cell r="H57">
            <v>0.45750000000000002</v>
          </cell>
          <cell r="I57">
            <v>0.94399999999999995</v>
          </cell>
          <cell r="J57">
            <v>0.4899</v>
          </cell>
        </row>
        <row r="58">
          <cell r="B58" t="str">
            <v>5. Despesas Diversas</v>
          </cell>
          <cell r="E58">
            <v>0.7379</v>
          </cell>
          <cell r="F58">
            <v>-2.0527000000000002</v>
          </cell>
          <cell r="G58">
            <v>-1.4981</v>
          </cell>
          <cell r="H58">
            <v>-0.78029999999999999</v>
          </cell>
          <cell r="I58">
            <v>-0.1454</v>
          </cell>
          <cell r="J58">
            <v>0.21290000000000001</v>
          </cell>
        </row>
        <row r="60">
          <cell r="B60" t="str">
            <v>V. Saúde</v>
          </cell>
          <cell r="E60">
            <v>7.0755999999999997</v>
          </cell>
          <cell r="F60">
            <v>0.33079999999999998</v>
          </cell>
          <cell r="G60">
            <v>0.13980000000000001</v>
          </cell>
          <cell r="H60">
            <v>-0.18229999999999999</v>
          </cell>
          <cell r="I60">
            <v>-0.53449999999999998</v>
          </cell>
          <cell r="J60">
            <v>-0.31040000000000001</v>
          </cell>
        </row>
        <row r="61">
          <cell r="B61" t="str">
            <v>1. Contrato de Assistência Médica</v>
          </cell>
          <cell r="E61">
            <v>3.0979999999999999</v>
          </cell>
          <cell r="F61">
            <v>0.18</v>
          </cell>
          <cell r="G61">
            <v>0.13</v>
          </cell>
          <cell r="H61">
            <v>0.09</v>
          </cell>
          <cell r="I61">
            <v>0.04</v>
          </cell>
          <cell r="J61">
            <v>0.26</v>
          </cell>
        </row>
        <row r="62">
          <cell r="B62" t="str">
            <v>2. Serviços Médicos e Laboratoriais</v>
          </cell>
          <cell r="E62">
            <v>1.1729000000000001</v>
          </cell>
          <cell r="F62">
            <v>1.3213999999999999</v>
          </cell>
          <cell r="G62">
            <v>1.6584000000000001</v>
          </cell>
          <cell r="H62">
            <v>1.6082000000000001</v>
          </cell>
          <cell r="I62">
            <v>0.54979999999999996</v>
          </cell>
          <cell r="J62">
            <v>-0.17680000000000001</v>
          </cell>
        </row>
        <row r="63">
          <cell r="B63" t="str">
            <v>3. Remédios e Produtos Farmacêuticos</v>
          </cell>
          <cell r="E63">
            <v>2.5261999999999998</v>
          </cell>
          <cell r="F63">
            <v>5.3499999999999999E-2</v>
          </cell>
          <cell r="G63">
            <v>-0.5645</v>
          </cell>
          <cell r="H63">
            <v>-1.3680000000000001</v>
          </cell>
          <cell r="I63">
            <v>-1.7994000000000001</v>
          </cell>
          <cell r="J63">
            <v>-1.1420999999999999</v>
          </cell>
        </row>
        <row r="64">
          <cell r="B64" t="str">
            <v>4. Aparelhos Corretivos</v>
          </cell>
          <cell r="E64">
            <v>0.27850000000000003</v>
          </cell>
          <cell r="F64">
            <v>0.37690000000000001</v>
          </cell>
          <cell r="G64">
            <v>0.31280000000000002</v>
          </cell>
          <cell r="H64">
            <v>0.1399</v>
          </cell>
          <cell r="I64">
            <v>0.10050000000000001</v>
          </cell>
          <cell r="J64">
            <v>0.379</v>
          </cell>
        </row>
        <row r="66">
          <cell r="B66" t="str">
            <v>VI. Vestuário</v>
          </cell>
          <cell r="E66">
            <v>5.2892999999999999</v>
          </cell>
          <cell r="F66">
            <v>-0.38740000000000002</v>
          </cell>
          <cell r="G66">
            <v>-0.49359999999999998</v>
          </cell>
          <cell r="H66">
            <v>-0.6804</v>
          </cell>
          <cell r="I66">
            <v>-0.47960000000000003</v>
          </cell>
          <cell r="J66">
            <v>-1.0645</v>
          </cell>
        </row>
        <row r="67">
          <cell r="B67" t="str">
            <v>1. Roupa de Mulher</v>
          </cell>
          <cell r="E67">
            <v>1.7738</v>
          </cell>
          <cell r="F67">
            <v>-0.113</v>
          </cell>
          <cell r="G67">
            <v>-1.2062999999999999</v>
          </cell>
          <cell r="H67">
            <v>-1.4990000000000001</v>
          </cell>
          <cell r="I67">
            <v>-1.4536</v>
          </cell>
          <cell r="J67">
            <v>-2.3632</v>
          </cell>
        </row>
        <row r="68">
          <cell r="B68" t="str">
            <v>2. Roupa de Homem</v>
          </cell>
          <cell r="E68">
            <v>1.1158999999999999</v>
          </cell>
          <cell r="F68">
            <v>0.42309999999999998</v>
          </cell>
          <cell r="G68">
            <v>-0.15509999999999999</v>
          </cell>
          <cell r="H68">
            <v>-0.9365</v>
          </cell>
          <cell r="I68">
            <v>0.27450000000000002</v>
          </cell>
          <cell r="J68">
            <v>-0.92549999999999999</v>
          </cell>
        </row>
        <row r="69">
          <cell r="B69" t="str">
            <v>3. Roupa de Criança</v>
          </cell>
          <cell r="E69">
            <v>0.64800000000000002</v>
          </cell>
          <cell r="F69">
            <v>-0.7</v>
          </cell>
          <cell r="G69">
            <v>-0.18690000000000001</v>
          </cell>
          <cell r="H69">
            <v>-0.38390000000000002</v>
          </cell>
          <cell r="I69">
            <v>-0.80610000000000004</v>
          </cell>
          <cell r="J69">
            <v>-0.79530000000000001</v>
          </cell>
        </row>
        <row r="70">
          <cell r="B70" t="str">
            <v>4. Calçados e Acessórios de Vestuário</v>
          </cell>
          <cell r="E70">
            <v>1.4421999999999999</v>
          </cell>
          <cell r="F70">
            <v>-1.1348</v>
          </cell>
          <cell r="G70">
            <v>-1.89E-2</v>
          </cell>
          <cell r="H70">
            <v>0.21829999999999999</v>
          </cell>
          <cell r="I70">
            <v>8.3699999999999997E-2</v>
          </cell>
          <cell r="J70">
            <v>-8.9599999999999999E-2</v>
          </cell>
        </row>
        <row r="71">
          <cell r="B71" t="str">
            <v>5. Tecido, Lã e Aviamento</v>
          </cell>
          <cell r="E71">
            <v>9.5299999999999996E-2</v>
          </cell>
          <cell r="F71">
            <v>-1.4994000000000001</v>
          </cell>
          <cell r="G71">
            <v>-1.5517000000000001</v>
          </cell>
          <cell r="H71">
            <v>0.27910000000000001</v>
          </cell>
          <cell r="I71">
            <v>1.4433</v>
          </cell>
          <cell r="J71">
            <v>1.6302000000000001</v>
          </cell>
        </row>
        <row r="72">
          <cell r="B72" t="str">
            <v>6. Relógio, Jóia e Bijuteria</v>
          </cell>
          <cell r="E72">
            <v>0.21410000000000001</v>
          </cell>
          <cell r="F72">
            <v>-0.36609999999999998</v>
          </cell>
          <cell r="G72">
            <v>3.0599999999999999E-2</v>
          </cell>
          <cell r="H72">
            <v>0.1222</v>
          </cell>
          <cell r="I72">
            <v>7.4499999999999997E-2</v>
          </cell>
          <cell r="J72">
            <v>0.52349999999999997</v>
          </cell>
        </row>
        <row r="74">
          <cell r="B74" t="str">
            <v>VII. Educação</v>
          </cell>
          <cell r="E74">
            <v>3.7827000000000002</v>
          </cell>
          <cell r="F74">
            <v>7.3428000000000004</v>
          </cell>
          <cell r="G74">
            <v>5.5918000000000001</v>
          </cell>
          <cell r="H74">
            <v>3.7258</v>
          </cell>
          <cell r="I74">
            <v>1.8628</v>
          </cell>
          <cell r="J74">
            <v>6.6000000000000003E-2</v>
          </cell>
        </row>
        <row r="75">
          <cell r="B75" t="str">
            <v>1. Ensino Escolar</v>
          </cell>
          <cell r="E75">
            <v>3.2955999999999999</v>
          </cell>
          <cell r="F75">
            <v>8.3039000000000005</v>
          </cell>
          <cell r="G75">
            <v>6.2949000000000002</v>
          </cell>
          <cell r="H75">
            <v>4.2408000000000001</v>
          </cell>
          <cell r="I75">
            <v>2.1951000000000001</v>
          </cell>
          <cell r="J75">
            <v>0.1016</v>
          </cell>
        </row>
        <row r="76">
          <cell r="B76" t="str">
            <v>2. Material Escolar</v>
          </cell>
          <cell r="E76">
            <v>0.3402</v>
          </cell>
          <cell r="F76">
            <v>1.0978000000000001</v>
          </cell>
          <cell r="G76">
            <v>0.97330000000000005</v>
          </cell>
          <cell r="H76">
            <v>6.0299999999999999E-2</v>
          </cell>
          <cell r="I76">
            <v>-0.88549999999999995</v>
          </cell>
          <cell r="J76">
            <v>-0.51280000000000003</v>
          </cell>
        </row>
        <row r="77">
          <cell r="B77" t="str">
            <v>3. Livros Didáticos</v>
          </cell>
          <cell r="E77">
            <v>0.1469</v>
          </cell>
          <cell r="F77">
            <v>0.97309999999999997</v>
          </cell>
          <cell r="G77">
            <v>0.91359999999999997</v>
          </cell>
          <cell r="H77">
            <v>0.88290000000000002</v>
          </cell>
          <cell r="I77">
            <v>0.87509999999999999</v>
          </cell>
          <cell r="J77">
            <v>0.61319999999999997</v>
          </cell>
        </row>
        <row r="80">
          <cell r="D80" t="str">
            <v>Desagregado</v>
          </cell>
        </row>
        <row r="81">
          <cell r="B81" t="str">
            <v>Índice Geral</v>
          </cell>
          <cell r="E81">
            <v>100</v>
          </cell>
        </row>
        <row r="82">
          <cell r="B82" t="str">
            <v>I. Habitação</v>
          </cell>
          <cell r="E82">
            <v>32.792499999999997</v>
          </cell>
        </row>
        <row r="83">
          <cell r="B83" t="str">
            <v>1. Manutenção do Domicílio</v>
          </cell>
          <cell r="E83">
            <v>15.726699999999999</v>
          </cell>
        </row>
        <row r="84">
          <cell r="C84" t="str">
            <v>1.1. Serviços de Utilidade Pública</v>
          </cell>
          <cell r="E84">
            <v>8.2805</v>
          </cell>
        </row>
        <row r="85">
          <cell r="D85" t="str">
            <v>luz</v>
          </cell>
          <cell r="E85">
            <v>4.2427999999999999</v>
          </cell>
        </row>
        <row r="86">
          <cell r="D86" t="str">
            <v>água/esgoto</v>
          </cell>
          <cell r="E86">
            <v>2.2246000000000001</v>
          </cell>
        </row>
        <row r="87">
          <cell r="D87" t="str">
            <v>gás de botijão</v>
          </cell>
          <cell r="E87">
            <v>0.71250000000000002</v>
          </cell>
        </row>
        <row r="88">
          <cell r="D88" t="str">
            <v>gás canalizado</v>
          </cell>
          <cell r="E88">
            <v>3.4200000000000001E-2</v>
          </cell>
        </row>
        <row r="89">
          <cell r="D89" t="str">
            <v>imposto predial</v>
          </cell>
          <cell r="E89">
            <v>1.0664</v>
          </cell>
        </row>
        <row r="90">
          <cell r="C90" t="str">
            <v>1.2. Serviços Domésticos e Conservação</v>
          </cell>
          <cell r="E90">
            <v>6.1429999999999998</v>
          </cell>
        </row>
        <row r="91">
          <cell r="D91" t="str">
            <v>condomínio</v>
          </cell>
          <cell r="E91">
            <v>2.105</v>
          </cell>
        </row>
        <row r="92">
          <cell r="D92" t="str">
            <v>serviço doméstico</v>
          </cell>
          <cell r="E92">
            <v>1.4674</v>
          </cell>
        </row>
        <row r="93">
          <cell r="D93" t="str">
            <v>reparo no domicílio</v>
          </cell>
          <cell r="E93">
            <v>2.1255000000000002</v>
          </cell>
        </row>
        <row r="94">
          <cell r="D94" t="str">
            <v>conserto de equipamento doméstico</v>
          </cell>
          <cell r="E94">
            <v>0.33939999999999998</v>
          </cell>
        </row>
        <row r="95">
          <cell r="D95" t="str">
            <v>ferramenta</v>
          </cell>
          <cell r="E95">
            <v>1.0699999999999999E-2</v>
          </cell>
        </row>
        <row r="96">
          <cell r="D96" t="str">
            <v>velas</v>
          </cell>
          <cell r="E96">
            <v>2.3599999999999999E-2</v>
          </cell>
        </row>
        <row r="97">
          <cell r="D97" t="str">
            <v>fósforos</v>
          </cell>
          <cell r="E97">
            <v>1.41E-2</v>
          </cell>
        </row>
        <row r="98">
          <cell r="D98" t="str">
            <v>lâmpada</v>
          </cell>
          <cell r="E98">
            <v>4.7E-2</v>
          </cell>
        </row>
        <row r="99">
          <cell r="D99" t="str">
            <v>serviço de mudança</v>
          </cell>
          <cell r="E99">
            <v>1.03E-2</v>
          </cell>
        </row>
        <row r="100">
          <cell r="C100" t="str">
            <v>1.3. Artigos de Limpeza</v>
          </cell>
          <cell r="E100">
            <v>1.3031999999999999</v>
          </cell>
        </row>
        <row r="101">
          <cell r="D101" t="str">
            <v>sabão em pó</v>
          </cell>
          <cell r="E101">
            <v>0.44900000000000001</v>
          </cell>
        </row>
        <row r="102">
          <cell r="D102" t="str">
            <v>sabão em barra</v>
          </cell>
          <cell r="E102">
            <v>7.5600000000000001E-2</v>
          </cell>
        </row>
        <row r="103">
          <cell r="D103" t="str">
            <v>sabão de coco</v>
          </cell>
          <cell r="E103">
            <v>1.72E-2</v>
          </cell>
        </row>
        <row r="104">
          <cell r="D104" t="str">
            <v>detergente</v>
          </cell>
          <cell r="E104">
            <v>0.1139</v>
          </cell>
        </row>
        <row r="105">
          <cell r="D105" t="str">
            <v>desinfetante</v>
          </cell>
          <cell r="E105">
            <v>7.6200000000000004E-2</v>
          </cell>
        </row>
        <row r="106">
          <cell r="D106" t="str">
            <v>desodorizante</v>
          </cell>
          <cell r="E106">
            <v>1.72E-2</v>
          </cell>
        </row>
        <row r="107">
          <cell r="D107" t="str">
            <v>alvejante</v>
          </cell>
          <cell r="E107">
            <v>1.0699999999999999E-2</v>
          </cell>
        </row>
        <row r="108">
          <cell r="D108" t="str">
            <v>concentrado de limpeza</v>
          </cell>
          <cell r="E108">
            <v>6.0299999999999999E-2</v>
          </cell>
        </row>
        <row r="109">
          <cell r="D109" t="str">
            <v>água sanitária</v>
          </cell>
          <cell r="E109">
            <v>8.0799999999999997E-2</v>
          </cell>
        </row>
        <row r="110">
          <cell r="D110" t="str">
            <v>limpa-limo</v>
          </cell>
          <cell r="E110">
            <v>9.4999999999999998E-3</v>
          </cell>
        </row>
        <row r="111">
          <cell r="D111" t="str">
            <v>esponja de aço</v>
          </cell>
          <cell r="E111">
            <v>5.4800000000000001E-2</v>
          </cell>
        </row>
        <row r="112">
          <cell r="D112" t="str">
            <v>esponja</v>
          </cell>
          <cell r="E112">
            <v>1.9400000000000001E-2</v>
          </cell>
        </row>
        <row r="113">
          <cell r="D113" t="str">
            <v>cera</v>
          </cell>
          <cell r="E113">
            <v>3.3799999999999997E-2</v>
          </cell>
        </row>
        <row r="114">
          <cell r="D114" t="str">
            <v>amaciante de roupa</v>
          </cell>
          <cell r="E114">
            <v>0.1318</v>
          </cell>
        </row>
        <row r="115">
          <cell r="D115" t="str">
            <v>inseticida</v>
          </cell>
          <cell r="E115">
            <v>4.7100000000000003E-2</v>
          </cell>
        </row>
        <row r="116">
          <cell r="D116" t="str">
            <v>sacos para lixo</v>
          </cell>
          <cell r="E116">
            <v>2.35E-2</v>
          </cell>
        </row>
        <row r="117">
          <cell r="D117" t="str">
            <v>pano de limpeza</v>
          </cell>
          <cell r="E117">
            <v>1.5699999999999999E-2</v>
          </cell>
        </row>
        <row r="118">
          <cell r="D118" t="str">
            <v>vassoura</v>
          </cell>
          <cell r="E118">
            <v>2.01E-2</v>
          </cell>
        </row>
        <row r="119">
          <cell r="D119" t="str">
            <v>álcool p/ limpeza</v>
          </cell>
          <cell r="E119">
            <v>2.3900000000000001E-2</v>
          </cell>
        </row>
        <row r="120">
          <cell r="D120" t="str">
            <v>lustra-móveis</v>
          </cell>
          <cell r="E120">
            <v>2.2700000000000001E-2</v>
          </cell>
        </row>
        <row r="121">
          <cell r="B121" t="str">
            <v>2. Aluguel</v>
          </cell>
          <cell r="E121">
            <v>8.9748000000000001</v>
          </cell>
        </row>
        <row r="122">
          <cell r="D122" t="str">
            <v>aluguel</v>
          </cell>
          <cell r="E122">
            <v>8.9748000000000001</v>
          </cell>
        </row>
        <row r="123">
          <cell r="B123" t="str">
            <v>3. Equipamentos do Domicílio</v>
          </cell>
          <cell r="E123">
            <v>4.4016999999999999</v>
          </cell>
        </row>
        <row r="124">
          <cell r="C124" t="str">
            <v>3.1. Mobiliário e Decoração</v>
          </cell>
          <cell r="E124">
            <v>2.0348000000000002</v>
          </cell>
        </row>
        <row r="125">
          <cell r="D125" t="str">
            <v>armário para quarto</v>
          </cell>
          <cell r="E125">
            <v>0.33260000000000001</v>
          </cell>
        </row>
        <row r="126">
          <cell r="D126" t="str">
            <v>armário para cozinha</v>
          </cell>
          <cell r="E126">
            <v>0.42949999999999999</v>
          </cell>
        </row>
        <row r="127">
          <cell r="D127" t="str">
            <v>estante para sala</v>
          </cell>
          <cell r="E127">
            <v>9.4E-2</v>
          </cell>
        </row>
        <row r="128">
          <cell r="D128" t="str">
            <v>mesa com cadeiras</v>
          </cell>
          <cell r="E128">
            <v>0.26150000000000001</v>
          </cell>
        </row>
        <row r="129">
          <cell r="D129" t="str">
            <v>sofá</v>
          </cell>
          <cell r="E129">
            <v>0.32540000000000002</v>
          </cell>
        </row>
        <row r="130">
          <cell r="D130" t="str">
            <v>cama</v>
          </cell>
          <cell r="E130">
            <v>0.26300000000000001</v>
          </cell>
        </row>
        <row r="131">
          <cell r="D131" t="str">
            <v>colchão</v>
          </cell>
          <cell r="E131">
            <v>0.13500000000000001</v>
          </cell>
        </row>
        <row r="132">
          <cell r="D132" t="str">
            <v>cortina</v>
          </cell>
          <cell r="E132">
            <v>8.43E-2</v>
          </cell>
        </row>
        <row r="133">
          <cell r="D133" t="str">
            <v>tapete</v>
          </cell>
          <cell r="E133">
            <v>6.2100000000000002E-2</v>
          </cell>
        </row>
        <row r="134">
          <cell r="D134" t="str">
            <v>peças de iluminação e decoração</v>
          </cell>
          <cell r="E134">
            <v>4.7399999999999998E-2</v>
          </cell>
        </row>
        <row r="135">
          <cell r="C135" t="str">
            <v>3.2. Aparelhos de Imagem e Som</v>
          </cell>
          <cell r="E135">
            <v>0.79169999999999996</v>
          </cell>
        </row>
        <row r="136">
          <cell r="D136" t="str">
            <v>televisor</v>
          </cell>
          <cell r="E136">
            <v>0.32800000000000001</v>
          </cell>
        </row>
        <row r="137">
          <cell r="D137" t="str">
            <v>videocassete</v>
          </cell>
          <cell r="E137">
            <v>6.3899999999999998E-2</v>
          </cell>
        </row>
        <row r="138">
          <cell r="D138" t="str">
            <v>aparelho de som</v>
          </cell>
          <cell r="E138">
            <v>0.30159999999999998</v>
          </cell>
        </row>
        <row r="139">
          <cell r="D139" t="str">
            <v>radiogravador</v>
          </cell>
          <cell r="E139">
            <v>1.95E-2</v>
          </cell>
        </row>
        <row r="140">
          <cell r="D140" t="str">
            <v>máquina fotográfica</v>
          </cell>
          <cell r="E140">
            <v>9.9000000000000008E-3</v>
          </cell>
        </row>
        <row r="141">
          <cell r="D141" t="str">
            <v>filmadora</v>
          </cell>
          <cell r="E141">
            <v>8.5000000000000006E-3</v>
          </cell>
        </row>
        <row r="142">
          <cell r="D142" t="str">
            <v>instrumento musical</v>
          </cell>
          <cell r="E142">
            <v>6.0299999999999999E-2</v>
          </cell>
        </row>
        <row r="143">
          <cell r="C143" t="str">
            <v>3.3. Equipamentos Eletroeletrônicos</v>
          </cell>
          <cell r="E143">
            <v>0.72189999999999999</v>
          </cell>
        </row>
        <row r="144">
          <cell r="D144" t="str">
            <v>geladeira</v>
          </cell>
          <cell r="E144">
            <v>0.18129999999999999</v>
          </cell>
        </row>
        <row r="145">
          <cell r="D145" t="str">
            <v>freezer</v>
          </cell>
          <cell r="E145">
            <v>2.5399999999999999E-2</v>
          </cell>
        </row>
        <row r="146">
          <cell r="D146" t="str">
            <v>máquina de lavar roupa</v>
          </cell>
          <cell r="E146">
            <v>0.14560000000000001</v>
          </cell>
        </row>
        <row r="147">
          <cell r="D147" t="str">
            <v>máquina de secar roupa</v>
          </cell>
          <cell r="E147">
            <v>1.0200000000000001E-2</v>
          </cell>
        </row>
        <row r="148">
          <cell r="D148" t="str">
            <v>fogão</v>
          </cell>
          <cell r="E148">
            <v>0.1464</v>
          </cell>
        </row>
        <row r="149">
          <cell r="D149" t="str">
            <v>forno de microondas</v>
          </cell>
          <cell r="E149">
            <v>8.8300000000000003E-2</v>
          </cell>
        </row>
        <row r="150">
          <cell r="D150" t="str">
            <v>exaustor</v>
          </cell>
          <cell r="E150">
            <v>7.4000000000000003E-3</v>
          </cell>
        </row>
        <row r="151">
          <cell r="D151" t="str">
            <v>ventilador</v>
          </cell>
          <cell r="E151">
            <v>5.7999999999999996E-3</v>
          </cell>
        </row>
        <row r="152">
          <cell r="D152" t="str">
            <v>aquecedor elétrico</v>
          </cell>
          <cell r="E152">
            <v>4.0000000000000001E-3</v>
          </cell>
        </row>
        <row r="153">
          <cell r="D153" t="str">
            <v>chuveiro</v>
          </cell>
          <cell r="E153">
            <v>1.9699999999999999E-2</v>
          </cell>
        </row>
        <row r="154">
          <cell r="D154" t="str">
            <v>liquidificador</v>
          </cell>
          <cell r="E154">
            <v>2.01E-2</v>
          </cell>
        </row>
        <row r="155">
          <cell r="D155" t="str">
            <v>batedeira</v>
          </cell>
          <cell r="E155">
            <v>1.0200000000000001E-2</v>
          </cell>
        </row>
        <row r="156">
          <cell r="D156" t="str">
            <v>ferro elétrico</v>
          </cell>
          <cell r="E156">
            <v>2.7900000000000001E-2</v>
          </cell>
        </row>
        <row r="157">
          <cell r="D157" t="str">
            <v>secador de cabelo</v>
          </cell>
          <cell r="E157">
            <v>8.5000000000000006E-3</v>
          </cell>
        </row>
        <row r="158">
          <cell r="D158" t="str">
            <v>depilador elétrico</v>
          </cell>
          <cell r="E158">
            <v>3.3999999999999998E-3</v>
          </cell>
        </row>
        <row r="159">
          <cell r="D159" t="str">
            <v>barbeador elétrico</v>
          </cell>
          <cell r="E159">
            <v>2.8999999999999998E-3</v>
          </cell>
        </row>
        <row r="160">
          <cell r="D160" t="str">
            <v>limpadora a vapor</v>
          </cell>
          <cell r="E160">
            <v>5.7000000000000002E-3</v>
          </cell>
        </row>
        <row r="161">
          <cell r="D161" t="str">
            <v>aspirador de pó</v>
          </cell>
          <cell r="E161">
            <v>2.8999999999999998E-3</v>
          </cell>
        </row>
        <row r="162">
          <cell r="D162" t="str">
            <v>furadeira elétrica</v>
          </cell>
          <cell r="E162">
            <v>1.4E-3</v>
          </cell>
        </row>
        <row r="163">
          <cell r="D163" t="str">
            <v>calculadora</v>
          </cell>
          <cell r="E163">
            <v>4.7999999999999996E-3</v>
          </cell>
        </row>
        <row r="164">
          <cell r="C164" t="str">
            <v>3.4. Equipamentos de Informática e Telefonia</v>
          </cell>
          <cell r="E164">
            <v>0.22409999999999999</v>
          </cell>
        </row>
        <row r="165">
          <cell r="D165" t="str">
            <v>microcomputador</v>
          </cell>
          <cell r="E165">
            <v>4.0599999999999997E-2</v>
          </cell>
        </row>
        <row r="166">
          <cell r="D166" t="str">
            <v>impressora</v>
          </cell>
          <cell r="E166">
            <v>3.5000000000000001E-3</v>
          </cell>
        </row>
        <row r="167">
          <cell r="D167" t="str">
            <v>telefone celular (aparelho)</v>
          </cell>
          <cell r="E167">
            <v>0.12959999999999999</v>
          </cell>
        </row>
        <row r="168">
          <cell r="D168" t="str">
            <v>telefone fixo (aparelho)</v>
          </cell>
          <cell r="E168">
            <v>3.3399999999999999E-2</v>
          </cell>
        </row>
        <row r="169">
          <cell r="D169" t="str">
            <v>pager (aparelho)</v>
          </cell>
          <cell r="E169">
            <v>1.7000000000000001E-2</v>
          </cell>
        </row>
        <row r="170">
          <cell r="C170" t="str">
            <v>3.5. Utilidades Domésticas</v>
          </cell>
          <cell r="E170">
            <v>0.29170000000000001</v>
          </cell>
        </row>
        <row r="171">
          <cell r="D171" t="str">
            <v>panela</v>
          </cell>
          <cell r="E171">
            <v>7.1499999999999994E-2</v>
          </cell>
        </row>
        <row r="172">
          <cell r="D172" t="str">
            <v>frigideira</v>
          </cell>
          <cell r="E172">
            <v>1.04E-2</v>
          </cell>
        </row>
        <row r="173">
          <cell r="D173" t="str">
            <v>copo</v>
          </cell>
          <cell r="E173">
            <v>3.2000000000000001E-2</v>
          </cell>
        </row>
        <row r="174">
          <cell r="D174" t="str">
            <v>xícara</v>
          </cell>
          <cell r="E174">
            <v>5.7000000000000002E-3</v>
          </cell>
        </row>
        <row r="175">
          <cell r="D175" t="str">
            <v>aparelho de jantar</v>
          </cell>
          <cell r="E175">
            <v>1.66E-2</v>
          </cell>
        </row>
        <row r="176">
          <cell r="D176" t="str">
            <v>prato</v>
          </cell>
          <cell r="E176">
            <v>2.8400000000000002E-2</v>
          </cell>
        </row>
        <row r="177">
          <cell r="D177" t="str">
            <v>talher</v>
          </cell>
          <cell r="E177">
            <v>2.35E-2</v>
          </cell>
        </row>
        <row r="178">
          <cell r="D178" t="str">
            <v>garrafa térmica</v>
          </cell>
          <cell r="E178">
            <v>1.7399999999999999E-2</v>
          </cell>
        </row>
        <row r="179">
          <cell r="D179" t="str">
            <v>balde</v>
          </cell>
          <cell r="E179">
            <v>9.4000000000000004E-3</v>
          </cell>
        </row>
        <row r="180">
          <cell r="D180" t="str">
            <v>lixeira</v>
          </cell>
          <cell r="E180">
            <v>4.4999999999999997E-3</v>
          </cell>
        </row>
        <row r="181">
          <cell r="D181" t="str">
            <v>churrasqueira</v>
          </cell>
          <cell r="E181">
            <v>8.2000000000000007E-3</v>
          </cell>
        </row>
        <row r="182">
          <cell r="D182" t="str">
            <v>acessórios de bebê</v>
          </cell>
          <cell r="E182">
            <v>6.4100000000000004E-2</v>
          </cell>
        </row>
        <row r="183">
          <cell r="C183" t="str">
            <v>3.6. Artigos de Cama, Mesa e Banho</v>
          </cell>
          <cell r="E183">
            <v>0.33750000000000002</v>
          </cell>
        </row>
        <row r="184">
          <cell r="D184" t="str">
            <v>lençol</v>
          </cell>
          <cell r="E184">
            <v>7.7399999999999997E-2</v>
          </cell>
        </row>
        <row r="185">
          <cell r="D185" t="str">
            <v>colcha</v>
          </cell>
          <cell r="E185">
            <v>3.7900000000000003E-2</v>
          </cell>
        </row>
        <row r="186">
          <cell r="D186" t="str">
            <v>cobertor</v>
          </cell>
          <cell r="E186">
            <v>5.7700000000000001E-2</v>
          </cell>
        </row>
        <row r="187">
          <cell r="D187" t="str">
            <v>edredom</v>
          </cell>
          <cell r="E187">
            <v>5.9700000000000003E-2</v>
          </cell>
        </row>
        <row r="188">
          <cell r="D188" t="str">
            <v>travesseiro</v>
          </cell>
          <cell r="E188">
            <v>1.6799999999999999E-2</v>
          </cell>
        </row>
        <row r="189">
          <cell r="D189" t="str">
            <v>toalha de banho</v>
          </cell>
          <cell r="E189">
            <v>3.3000000000000002E-2</v>
          </cell>
        </row>
        <row r="190">
          <cell r="D190" t="str">
            <v>toalha de rosto</v>
          </cell>
          <cell r="E190">
            <v>1.0999999999999999E-2</v>
          </cell>
        </row>
        <row r="191">
          <cell r="D191" t="str">
            <v>toalha de mesa</v>
          </cell>
          <cell r="E191">
            <v>2.8299999999999999E-2</v>
          </cell>
        </row>
        <row r="192">
          <cell r="D192" t="str">
            <v>pano de prato</v>
          </cell>
          <cell r="E192">
            <v>1.5699999999999999E-2</v>
          </cell>
        </row>
        <row r="193">
          <cell r="B193" t="str">
            <v>4. Serviços de Comunicações</v>
          </cell>
          <cell r="E193">
            <v>3.6892999999999998</v>
          </cell>
        </row>
        <row r="194">
          <cell r="D194" t="str">
            <v>telefone fixo (conta)</v>
          </cell>
          <cell r="E194">
            <v>2.3264999999999998</v>
          </cell>
        </row>
        <row r="195">
          <cell r="D195" t="str">
            <v>telefone celular (conta)</v>
          </cell>
          <cell r="E195">
            <v>0.65759999999999996</v>
          </cell>
        </row>
        <row r="196">
          <cell r="D196" t="str">
            <v>pager(conta)</v>
          </cell>
          <cell r="E196">
            <v>9.4E-2</v>
          </cell>
        </row>
        <row r="197">
          <cell r="D197" t="str">
            <v>linha telefônica</v>
          </cell>
          <cell r="E197">
            <v>0.18160000000000001</v>
          </cell>
        </row>
        <row r="198">
          <cell r="D198" t="str">
            <v>tv a cabo e por satélite</v>
          </cell>
          <cell r="E198">
            <v>0.27960000000000002</v>
          </cell>
        </row>
        <row r="199">
          <cell r="D199" t="str">
            <v>provedor para internet</v>
          </cell>
          <cell r="E199">
            <v>3.1300000000000001E-2</v>
          </cell>
        </row>
        <row r="200">
          <cell r="D200" t="str">
            <v>cartão telefônico</v>
          </cell>
          <cell r="E200">
            <v>9.6600000000000005E-2</v>
          </cell>
        </row>
        <row r="201">
          <cell r="D201" t="str">
            <v>correio</v>
          </cell>
          <cell r="E201">
            <v>2.2100000000000002E-2</v>
          </cell>
        </row>
        <row r="202">
          <cell r="B202" t="str">
            <v>II. Alimentação</v>
          </cell>
          <cell r="E202">
            <v>22.730499999999999</v>
          </cell>
        </row>
        <row r="203">
          <cell r="B203" t="str">
            <v>1. Industrializados</v>
          </cell>
          <cell r="E203">
            <v>9.0904000000000007</v>
          </cell>
        </row>
        <row r="204">
          <cell r="C204" t="str">
            <v>1.1. Derivados do Leite</v>
          </cell>
          <cell r="E204">
            <v>1.4939</v>
          </cell>
        </row>
        <row r="205">
          <cell r="D205" t="str">
            <v>leite em pó</v>
          </cell>
          <cell r="E205">
            <v>0.23350000000000001</v>
          </cell>
        </row>
        <row r="206">
          <cell r="D206" t="str">
            <v>leite condensado</v>
          </cell>
          <cell r="E206">
            <v>0.1106</v>
          </cell>
        </row>
        <row r="207">
          <cell r="D207" t="str">
            <v>leite aromatizado</v>
          </cell>
          <cell r="E207">
            <v>2.3900000000000001E-2</v>
          </cell>
        </row>
        <row r="208">
          <cell r="D208" t="str">
            <v>creme de leite</v>
          </cell>
          <cell r="E208">
            <v>6.93E-2</v>
          </cell>
        </row>
        <row r="209">
          <cell r="D209" t="str">
            <v>margarina</v>
          </cell>
          <cell r="E209">
            <v>0.23369999999999999</v>
          </cell>
        </row>
        <row r="210">
          <cell r="D210" t="str">
            <v>manteiga</v>
          </cell>
          <cell r="E210">
            <v>2.81E-2</v>
          </cell>
        </row>
        <row r="211">
          <cell r="D211" t="str">
            <v>queijo mussarela</v>
          </cell>
          <cell r="E211">
            <v>0.16259999999999999</v>
          </cell>
        </row>
        <row r="212">
          <cell r="D212" t="str">
            <v>queijo prato</v>
          </cell>
          <cell r="E212">
            <v>5.6599999999999998E-2</v>
          </cell>
        </row>
        <row r="213">
          <cell r="D213" t="str">
            <v>queijo provolone</v>
          </cell>
          <cell r="E213">
            <v>1.4200000000000001E-2</v>
          </cell>
        </row>
        <row r="214">
          <cell r="D214" t="str">
            <v>queijo fresco</v>
          </cell>
          <cell r="E214">
            <v>8.6099999999999996E-2</v>
          </cell>
        </row>
        <row r="215">
          <cell r="D215" t="str">
            <v>queijo ralado</v>
          </cell>
          <cell r="E215">
            <v>5.1900000000000002E-2</v>
          </cell>
        </row>
        <row r="216">
          <cell r="D216" t="str">
            <v>requeijão</v>
          </cell>
          <cell r="E216">
            <v>7.6100000000000001E-2</v>
          </cell>
        </row>
        <row r="217">
          <cell r="D217" t="str">
            <v>iogurte</v>
          </cell>
          <cell r="E217">
            <v>0.17449999999999999</v>
          </cell>
        </row>
        <row r="218">
          <cell r="D218" t="str">
            <v>petit suisse</v>
          </cell>
          <cell r="E218">
            <v>5.2900000000000003E-2</v>
          </cell>
        </row>
        <row r="219">
          <cell r="D219" t="str">
            <v>leite fermentado</v>
          </cell>
          <cell r="E219">
            <v>0.11990000000000001</v>
          </cell>
        </row>
        <row r="220">
          <cell r="C220" t="str">
            <v>1.2. Derivados da Carne</v>
          </cell>
          <cell r="E220">
            <v>1.1065</v>
          </cell>
        </row>
        <row r="221">
          <cell r="D221" t="str">
            <v>lingüiça</v>
          </cell>
          <cell r="E221">
            <v>0.38890000000000002</v>
          </cell>
        </row>
        <row r="222">
          <cell r="D222" t="str">
            <v>salsicha</v>
          </cell>
          <cell r="E222">
            <v>0.16639999999999999</v>
          </cell>
        </row>
        <row r="223">
          <cell r="D223" t="str">
            <v>apresuntado</v>
          </cell>
          <cell r="E223">
            <v>3.9E-2</v>
          </cell>
        </row>
        <row r="224">
          <cell r="D224" t="str">
            <v>presunto</v>
          </cell>
          <cell r="E224">
            <v>8.14E-2</v>
          </cell>
        </row>
        <row r="225">
          <cell r="D225" t="str">
            <v>mortadela</v>
          </cell>
          <cell r="E225">
            <v>7.8700000000000006E-2</v>
          </cell>
        </row>
        <row r="226">
          <cell r="D226" t="str">
            <v>salame</v>
          </cell>
          <cell r="E226">
            <v>4.9299999999999997E-2</v>
          </cell>
        </row>
        <row r="227">
          <cell r="D227" t="str">
            <v>peito de peru</v>
          </cell>
          <cell r="E227">
            <v>1.8100000000000002E-2</v>
          </cell>
        </row>
        <row r="228">
          <cell r="D228" t="str">
            <v>hambúrguer</v>
          </cell>
          <cell r="E228">
            <v>8.7300000000000003E-2</v>
          </cell>
        </row>
        <row r="229">
          <cell r="D229" t="str">
            <v>nuggets</v>
          </cell>
          <cell r="E229">
            <v>6.0699999999999997E-2</v>
          </cell>
        </row>
        <row r="230">
          <cell r="D230" t="str">
            <v>toucinho defumado</v>
          </cell>
          <cell r="E230">
            <v>4.2799999999999998E-2</v>
          </cell>
        </row>
        <row r="231">
          <cell r="D231" t="str">
            <v>pertences de feijoada</v>
          </cell>
          <cell r="E231">
            <v>3.9399999999999998E-2</v>
          </cell>
        </row>
        <row r="232">
          <cell r="D232" t="str">
            <v>carne seca</v>
          </cell>
          <cell r="E232">
            <v>5.45E-2</v>
          </cell>
        </row>
        <row r="233">
          <cell r="C233" t="str">
            <v>1.3. Panificados</v>
          </cell>
          <cell r="E233">
            <v>1.6486000000000001</v>
          </cell>
        </row>
        <row r="234">
          <cell r="D234" t="str">
            <v>pão francês</v>
          </cell>
          <cell r="E234">
            <v>1.2709999999999999</v>
          </cell>
        </row>
        <row r="235">
          <cell r="D235" t="str">
            <v>baguete</v>
          </cell>
          <cell r="E235">
            <v>1.26E-2</v>
          </cell>
        </row>
        <row r="236">
          <cell r="D236" t="str">
            <v>pão de forma</v>
          </cell>
          <cell r="E236">
            <v>0.1537</v>
          </cell>
        </row>
        <row r="237">
          <cell r="D237" t="str">
            <v>pão sovado</v>
          </cell>
          <cell r="E237">
            <v>1.2999999999999999E-2</v>
          </cell>
        </row>
        <row r="238">
          <cell r="D238" t="str">
            <v>pãozinho empacotado</v>
          </cell>
          <cell r="E238">
            <v>3.8899999999999997E-2</v>
          </cell>
        </row>
        <row r="239">
          <cell r="D239" t="str">
            <v>pão de queijo</v>
          </cell>
          <cell r="E239">
            <v>1.3100000000000001E-2</v>
          </cell>
        </row>
        <row r="240">
          <cell r="D240" t="str">
            <v>torrada</v>
          </cell>
          <cell r="E240">
            <v>1.6500000000000001E-2</v>
          </cell>
        </row>
        <row r="241">
          <cell r="D241" t="str">
            <v>pão doce</v>
          </cell>
          <cell r="E241">
            <v>1.7899999999999999E-2</v>
          </cell>
        </row>
        <row r="242">
          <cell r="D242" t="str">
            <v>outros pães</v>
          </cell>
          <cell r="E242">
            <v>6.7500000000000004E-2</v>
          </cell>
        </row>
        <row r="243">
          <cell r="D243" t="str">
            <v>bolo de forma</v>
          </cell>
          <cell r="E243">
            <v>4.4400000000000002E-2</v>
          </cell>
        </row>
        <row r="244">
          <cell r="C244" t="str">
            <v>1.4. Doces</v>
          </cell>
          <cell r="E244">
            <v>0.57769999999999999</v>
          </cell>
        </row>
        <row r="245">
          <cell r="D245" t="str">
            <v>chocolate</v>
          </cell>
          <cell r="E245">
            <v>0.1673</v>
          </cell>
        </row>
        <row r="246">
          <cell r="D246" t="str">
            <v>bombom</v>
          </cell>
          <cell r="E246">
            <v>0.10979999999999999</v>
          </cell>
        </row>
        <row r="247">
          <cell r="D247" t="str">
            <v>sorvete</v>
          </cell>
          <cell r="E247">
            <v>6.6100000000000006E-2</v>
          </cell>
        </row>
        <row r="248">
          <cell r="D248" t="str">
            <v>gelatina</v>
          </cell>
          <cell r="E248">
            <v>4.7199999999999999E-2</v>
          </cell>
        </row>
        <row r="249">
          <cell r="D249" t="str">
            <v>geléia</v>
          </cell>
          <cell r="E249">
            <v>1.2E-2</v>
          </cell>
        </row>
        <row r="250">
          <cell r="D250" t="str">
            <v>bala</v>
          </cell>
          <cell r="E250">
            <v>4.3299999999999998E-2</v>
          </cell>
        </row>
        <row r="251">
          <cell r="D251" t="str">
            <v>goma de mascar</v>
          </cell>
          <cell r="E251">
            <v>1.61E-2</v>
          </cell>
        </row>
        <row r="252">
          <cell r="D252" t="str">
            <v>doce de leite</v>
          </cell>
          <cell r="E252">
            <v>9.7999999999999997E-3</v>
          </cell>
        </row>
        <row r="253">
          <cell r="D253" t="str">
            <v>goiabada</v>
          </cell>
          <cell r="E253">
            <v>3.3399999999999999E-2</v>
          </cell>
        </row>
        <row r="254">
          <cell r="D254" t="str">
            <v>fruta em calda</v>
          </cell>
          <cell r="E254">
            <v>3.0800000000000001E-2</v>
          </cell>
        </row>
        <row r="255">
          <cell r="D255" t="str">
            <v>coco ralado</v>
          </cell>
          <cell r="E255">
            <v>2.2700000000000001E-2</v>
          </cell>
        </row>
        <row r="256">
          <cell r="D256" t="str">
            <v>leite de coco</v>
          </cell>
          <cell r="E256">
            <v>1.9199999999999998E-2</v>
          </cell>
        </row>
        <row r="257">
          <cell r="C257" t="str">
            <v>1.5. Cafés, Achocolatado em pó e Chás</v>
          </cell>
          <cell r="E257">
            <v>0.64349999999999996</v>
          </cell>
        </row>
        <row r="258">
          <cell r="D258" t="str">
            <v>café em pó</v>
          </cell>
          <cell r="E258">
            <v>0.49530000000000002</v>
          </cell>
        </row>
        <row r="259">
          <cell r="D259" t="str">
            <v>café solúvel</v>
          </cell>
          <cell r="E259">
            <v>2.6100000000000002E-2</v>
          </cell>
        </row>
        <row r="260">
          <cell r="D260" t="str">
            <v>achocolatado em pó</v>
          </cell>
          <cell r="E260">
            <v>9.1800000000000007E-2</v>
          </cell>
        </row>
        <row r="261">
          <cell r="D261" t="str">
            <v>chá mate</v>
          </cell>
          <cell r="E261">
            <v>1.8800000000000001E-2</v>
          </cell>
        </row>
        <row r="262">
          <cell r="D262" t="str">
            <v>chá de erva doce</v>
          </cell>
          <cell r="E262">
            <v>6.4000000000000003E-3</v>
          </cell>
        </row>
        <row r="263">
          <cell r="D263" t="str">
            <v>chá de camomila</v>
          </cell>
          <cell r="E263">
            <v>5.1000000000000004E-3</v>
          </cell>
        </row>
        <row r="264">
          <cell r="C264" t="str">
            <v>1.6. Biscoitos e Salgadinhos</v>
          </cell>
          <cell r="E264">
            <v>0.61760000000000004</v>
          </cell>
        </row>
        <row r="265">
          <cell r="D265" t="str">
            <v>biscoito recheado</v>
          </cell>
          <cell r="E265">
            <v>0.20630000000000001</v>
          </cell>
        </row>
        <row r="266">
          <cell r="D266" t="str">
            <v>biscoito água e sal</v>
          </cell>
          <cell r="E266">
            <v>6.7699999999999996E-2</v>
          </cell>
        </row>
        <row r="267">
          <cell r="D267" t="str">
            <v>biscoito cream-cracker</v>
          </cell>
          <cell r="E267">
            <v>5.3999999999999999E-2</v>
          </cell>
        </row>
        <row r="268">
          <cell r="D268" t="str">
            <v>biscoito maisena</v>
          </cell>
          <cell r="E268">
            <v>3.2599999999999997E-2</v>
          </cell>
        </row>
        <row r="269">
          <cell r="D269" t="str">
            <v>biscoito leite</v>
          </cell>
          <cell r="E269">
            <v>4.2299999999999997E-2</v>
          </cell>
        </row>
        <row r="270">
          <cell r="D270" t="str">
            <v>biscoito rosquinha</v>
          </cell>
          <cell r="E270">
            <v>1.8200000000000001E-2</v>
          </cell>
        </row>
        <row r="271">
          <cell r="D271" t="str">
            <v>biscoito waffer</v>
          </cell>
          <cell r="E271">
            <v>5.0200000000000002E-2</v>
          </cell>
        </row>
        <row r="272">
          <cell r="D272" t="str">
            <v>cereal de milho</v>
          </cell>
          <cell r="E272">
            <v>4.02E-2</v>
          </cell>
        </row>
        <row r="273">
          <cell r="D273" t="str">
            <v>salgadinhos</v>
          </cell>
          <cell r="E273">
            <v>0.1061</v>
          </cell>
        </row>
        <row r="274">
          <cell r="C274" t="str">
            <v>1.7. Massas, Farinhas e Féculas</v>
          </cell>
          <cell r="E274">
            <v>0.60950000000000004</v>
          </cell>
        </row>
        <row r="275">
          <cell r="D275" t="str">
            <v>macarrão</v>
          </cell>
          <cell r="E275">
            <v>0.21029999999999999</v>
          </cell>
        </row>
        <row r="276">
          <cell r="D276" t="str">
            <v>massa fresca</v>
          </cell>
          <cell r="E276">
            <v>3.2099999999999997E-2</v>
          </cell>
        </row>
        <row r="277">
          <cell r="D277" t="str">
            <v>macarrão instantâneo</v>
          </cell>
          <cell r="E277">
            <v>8.6599999999999996E-2</v>
          </cell>
        </row>
        <row r="278">
          <cell r="D278" t="str">
            <v>farinha de trigo</v>
          </cell>
          <cell r="E278">
            <v>6.7500000000000004E-2</v>
          </cell>
        </row>
        <row r="279">
          <cell r="D279" t="str">
            <v>farinha de mandioca</v>
          </cell>
          <cell r="E279">
            <v>2.93E-2</v>
          </cell>
        </row>
        <row r="280">
          <cell r="D280" t="str">
            <v>farinha de rosca</v>
          </cell>
          <cell r="E280">
            <v>8.6999999999999994E-3</v>
          </cell>
        </row>
        <row r="281">
          <cell r="D281" t="str">
            <v>farinha de milho</v>
          </cell>
          <cell r="E281">
            <v>5.3E-3</v>
          </cell>
        </row>
        <row r="282">
          <cell r="D282" t="str">
            <v>farinha láctea</v>
          </cell>
          <cell r="E282">
            <v>2.8799999999999999E-2</v>
          </cell>
        </row>
        <row r="283">
          <cell r="D283" t="str">
            <v>complemento nutricional</v>
          </cell>
          <cell r="E283">
            <v>2.29E-2</v>
          </cell>
        </row>
        <row r="284">
          <cell r="D284" t="str">
            <v>fermento</v>
          </cell>
          <cell r="E284">
            <v>2.75E-2</v>
          </cell>
        </row>
        <row r="285">
          <cell r="D285" t="str">
            <v>massa para bolo</v>
          </cell>
          <cell r="E285">
            <v>1.9E-2</v>
          </cell>
        </row>
        <row r="286">
          <cell r="D286" t="str">
            <v>maisena</v>
          </cell>
          <cell r="E286">
            <v>1.3599999999999999E-2</v>
          </cell>
        </row>
        <row r="287">
          <cell r="D287" t="str">
            <v>aveia</v>
          </cell>
          <cell r="E287">
            <v>9.9000000000000008E-3</v>
          </cell>
        </row>
        <row r="288">
          <cell r="D288" t="str">
            <v>flocos de milho</v>
          </cell>
          <cell r="E288">
            <v>1.14E-2</v>
          </cell>
        </row>
        <row r="289">
          <cell r="D289" t="str">
            <v>creme de arroz</v>
          </cell>
          <cell r="E289">
            <v>8.6E-3</v>
          </cell>
        </row>
        <row r="290">
          <cell r="D290" t="str">
            <v>fubá</v>
          </cell>
          <cell r="E290">
            <v>1.5100000000000001E-2</v>
          </cell>
        </row>
        <row r="291">
          <cell r="D291" t="str">
            <v>farofa</v>
          </cell>
          <cell r="E291">
            <v>1.29E-2</v>
          </cell>
        </row>
        <row r="292">
          <cell r="C292" t="str">
            <v>1.8. Condimentos e Sopas</v>
          </cell>
          <cell r="E292">
            <v>0.56200000000000006</v>
          </cell>
        </row>
        <row r="293">
          <cell r="D293" t="str">
            <v>molho de tomate</v>
          </cell>
          <cell r="E293">
            <v>7.8100000000000003E-2</v>
          </cell>
        </row>
        <row r="294">
          <cell r="D294" t="str">
            <v>purê de tomate</v>
          </cell>
          <cell r="E294">
            <v>8.1199999999999994E-2</v>
          </cell>
        </row>
        <row r="295">
          <cell r="D295" t="str">
            <v>extrato de tomate</v>
          </cell>
          <cell r="E295">
            <v>5.74E-2</v>
          </cell>
        </row>
        <row r="296">
          <cell r="D296" t="str">
            <v>catchup</v>
          </cell>
          <cell r="E296">
            <v>2.3300000000000001E-2</v>
          </cell>
        </row>
        <row r="297">
          <cell r="D297" t="str">
            <v>tempero pronto</v>
          </cell>
          <cell r="E297">
            <v>4.9399999999999999E-2</v>
          </cell>
        </row>
        <row r="298">
          <cell r="D298" t="str">
            <v>tempero natural</v>
          </cell>
          <cell r="E298">
            <v>2.7300000000000001E-2</v>
          </cell>
        </row>
        <row r="299">
          <cell r="D299" t="str">
            <v>sal</v>
          </cell>
          <cell r="E299">
            <v>2.8899999999999999E-2</v>
          </cell>
        </row>
        <row r="300">
          <cell r="D300" t="str">
            <v>vinagre</v>
          </cell>
          <cell r="E300">
            <v>3.3500000000000002E-2</v>
          </cell>
        </row>
        <row r="301">
          <cell r="D301" t="str">
            <v>maionese</v>
          </cell>
          <cell r="E301">
            <v>9.7000000000000003E-2</v>
          </cell>
        </row>
        <row r="302">
          <cell r="D302" t="str">
            <v>caldo</v>
          </cell>
          <cell r="E302">
            <v>5.8500000000000003E-2</v>
          </cell>
        </row>
        <row r="303">
          <cell r="D303" t="str">
            <v>sopa</v>
          </cell>
          <cell r="E303">
            <v>2.7400000000000001E-2</v>
          </cell>
        </row>
        <row r="304">
          <cell r="C304" t="str">
            <v>1.9. Óleos</v>
          </cell>
          <cell r="E304">
            <v>0.49030000000000001</v>
          </cell>
        </row>
        <row r="305">
          <cell r="D305" t="str">
            <v>óleo de soja</v>
          </cell>
          <cell r="E305">
            <v>0.37219999999999998</v>
          </cell>
        </row>
        <row r="306">
          <cell r="D306" t="str">
            <v>óleo de milho</v>
          </cell>
          <cell r="E306">
            <v>2.7799999999999998E-2</v>
          </cell>
        </row>
        <row r="307">
          <cell r="D307" t="str">
            <v>óleo de girassol</v>
          </cell>
          <cell r="E307">
            <v>2.7699999999999999E-2</v>
          </cell>
        </row>
        <row r="308">
          <cell r="D308" t="str">
            <v>azeite de oliva</v>
          </cell>
          <cell r="E308">
            <v>6.2600000000000003E-2</v>
          </cell>
        </row>
        <row r="309">
          <cell r="C309" t="str">
            <v>1.10. Adoçantes</v>
          </cell>
          <cell r="E309">
            <v>0.34060000000000001</v>
          </cell>
        </row>
        <row r="310">
          <cell r="D310" t="str">
            <v>açúcar</v>
          </cell>
          <cell r="E310">
            <v>0.29920000000000002</v>
          </cell>
        </row>
        <row r="311">
          <cell r="D311" t="str">
            <v>mel</v>
          </cell>
          <cell r="E311">
            <v>1.17E-2</v>
          </cell>
        </row>
        <row r="312">
          <cell r="D312" t="str">
            <v>adoçante</v>
          </cell>
          <cell r="E312">
            <v>2.9700000000000001E-2</v>
          </cell>
        </row>
        <row r="313">
          <cell r="C313" t="str">
            <v>1.11. Enlatados e Conservas</v>
          </cell>
          <cell r="E313">
            <v>0.30080000000000001</v>
          </cell>
        </row>
        <row r="314">
          <cell r="D314" t="str">
            <v>sardinha em lata</v>
          </cell>
          <cell r="E314">
            <v>5.6500000000000002E-2</v>
          </cell>
        </row>
        <row r="315">
          <cell r="D315" t="str">
            <v>atum em lata</v>
          </cell>
          <cell r="E315">
            <v>3.32E-2</v>
          </cell>
        </row>
        <row r="316">
          <cell r="D316" t="str">
            <v>bacalhau</v>
          </cell>
          <cell r="E316">
            <v>6.9199999999999998E-2</v>
          </cell>
        </row>
        <row r="317">
          <cell r="D317" t="str">
            <v>azeitona</v>
          </cell>
          <cell r="E317">
            <v>5.28E-2</v>
          </cell>
        </row>
        <row r="318">
          <cell r="D318" t="str">
            <v>ervilha em lata</v>
          </cell>
          <cell r="E318">
            <v>3.0599999999999999E-2</v>
          </cell>
        </row>
        <row r="319">
          <cell r="D319" t="str">
            <v>milho em lata</v>
          </cell>
          <cell r="E319">
            <v>2.1899999999999999E-2</v>
          </cell>
        </row>
        <row r="320">
          <cell r="D320" t="str">
            <v>palmito</v>
          </cell>
          <cell r="E320">
            <v>3.6600000000000001E-2</v>
          </cell>
        </row>
        <row r="321">
          <cell r="C321" t="str">
            <v>1.12. Alimentos Semi-prontos e Prontos</v>
          </cell>
          <cell r="E321">
            <v>0.69940000000000002</v>
          </cell>
        </row>
        <row r="322">
          <cell r="D322" t="str">
            <v>alimentos congelados</v>
          </cell>
          <cell r="E322">
            <v>6.7699999999999996E-2</v>
          </cell>
        </row>
        <row r="323">
          <cell r="D323" t="str">
            <v>alimentos embalados</v>
          </cell>
          <cell r="E323">
            <v>3.7900000000000003E-2</v>
          </cell>
        </row>
        <row r="324">
          <cell r="D324" t="str">
            <v>pizza pronta</v>
          </cell>
          <cell r="E324">
            <v>0.33229999999999998</v>
          </cell>
        </row>
        <row r="325">
          <cell r="D325" t="str">
            <v>frango assado</v>
          </cell>
          <cell r="E325">
            <v>0.1192</v>
          </cell>
        </row>
        <row r="326">
          <cell r="D326" t="str">
            <v>carne assada</v>
          </cell>
          <cell r="E326">
            <v>3.1099999999999999E-2</v>
          </cell>
        </row>
        <row r="327">
          <cell r="D327" t="str">
            <v>feijoada pronta</v>
          </cell>
          <cell r="E327">
            <v>2.41E-2</v>
          </cell>
        </row>
        <row r="328">
          <cell r="D328" t="str">
            <v>lasanha pronta</v>
          </cell>
          <cell r="E328">
            <v>6.7999999999999996E-3</v>
          </cell>
        </row>
        <row r="329">
          <cell r="D329" t="str">
            <v>torta pronta</v>
          </cell>
          <cell r="E329">
            <v>9.5999999999999992E-3</v>
          </cell>
        </row>
        <row r="330">
          <cell r="D330" t="str">
            <v>bolo</v>
          </cell>
          <cell r="E330">
            <v>7.0699999999999999E-2</v>
          </cell>
        </row>
        <row r="331">
          <cell r="B331" t="str">
            <v>2. Semi-elaborados</v>
          </cell>
          <cell r="E331">
            <v>6.9256000000000002</v>
          </cell>
        </row>
        <row r="332">
          <cell r="C332" t="str">
            <v>2.1. Carnes Bovinas</v>
          </cell>
          <cell r="E332">
            <v>2.5402999999999998</v>
          </cell>
        </row>
        <row r="333">
          <cell r="D333" t="str">
            <v>coxão mole</v>
          </cell>
          <cell r="E333">
            <v>0.5595</v>
          </cell>
        </row>
        <row r="334">
          <cell r="D334" t="str">
            <v>alcatra</v>
          </cell>
          <cell r="E334">
            <v>0.42220000000000002</v>
          </cell>
        </row>
        <row r="335">
          <cell r="D335" t="str">
            <v>contra-filé</v>
          </cell>
          <cell r="E335">
            <v>0.27739999999999998</v>
          </cell>
        </row>
        <row r="336">
          <cell r="D336" t="str">
            <v>patinho</v>
          </cell>
          <cell r="E336">
            <v>0.21440000000000001</v>
          </cell>
        </row>
        <row r="337">
          <cell r="D337" t="str">
            <v>coxão duro</v>
          </cell>
          <cell r="E337">
            <v>0.12640000000000001</v>
          </cell>
        </row>
        <row r="338">
          <cell r="D338" t="str">
            <v>lagarto</v>
          </cell>
          <cell r="E338">
            <v>7.2900000000000006E-2</v>
          </cell>
        </row>
        <row r="339">
          <cell r="D339" t="str">
            <v>filé mignon</v>
          </cell>
          <cell r="E339">
            <v>3.6700000000000003E-2</v>
          </cell>
        </row>
        <row r="340">
          <cell r="D340" t="str">
            <v>picanha</v>
          </cell>
          <cell r="E340">
            <v>5.8400000000000001E-2</v>
          </cell>
        </row>
        <row r="341">
          <cell r="D341" t="str">
            <v>acém</v>
          </cell>
          <cell r="E341">
            <v>0.47199999999999998</v>
          </cell>
        </row>
        <row r="342">
          <cell r="D342" t="str">
            <v>costela bovina</v>
          </cell>
          <cell r="E342">
            <v>9.6199999999999994E-2</v>
          </cell>
        </row>
        <row r="343">
          <cell r="D343" t="str">
            <v>músculo</v>
          </cell>
          <cell r="E343">
            <v>5.5599999999999997E-2</v>
          </cell>
        </row>
        <row r="344">
          <cell r="D344" t="str">
            <v>capa de filé</v>
          </cell>
          <cell r="E344">
            <v>1.5599999999999999E-2</v>
          </cell>
        </row>
        <row r="345">
          <cell r="D345" t="str">
            <v>braço</v>
          </cell>
          <cell r="E345">
            <v>3.6499999999999998E-2</v>
          </cell>
        </row>
        <row r="346">
          <cell r="D346" t="str">
            <v>cupim</v>
          </cell>
          <cell r="E346">
            <v>7.4000000000000003E-3</v>
          </cell>
        </row>
        <row r="347">
          <cell r="D347" t="str">
            <v>peito sem osso</v>
          </cell>
          <cell r="E347">
            <v>1.29E-2</v>
          </cell>
        </row>
        <row r="348">
          <cell r="D348" t="str">
            <v>fígado</v>
          </cell>
          <cell r="E348">
            <v>4.9599999999999998E-2</v>
          </cell>
        </row>
        <row r="349">
          <cell r="D349" t="str">
            <v>rabo bovino</v>
          </cell>
          <cell r="E349">
            <v>2.6599999999999999E-2</v>
          </cell>
        </row>
        <row r="350">
          <cell r="C350" t="str">
            <v>2.2. Carnes Suínas</v>
          </cell>
          <cell r="E350">
            <v>0.1716</v>
          </cell>
        </row>
        <row r="351">
          <cell r="D351" t="str">
            <v>pernil com osso</v>
          </cell>
          <cell r="E351">
            <v>4.3200000000000002E-2</v>
          </cell>
        </row>
        <row r="352">
          <cell r="D352" t="str">
            <v>lombo com osso</v>
          </cell>
          <cell r="E352">
            <v>7.1300000000000002E-2</v>
          </cell>
        </row>
        <row r="353">
          <cell r="D353" t="str">
            <v>costela suína</v>
          </cell>
          <cell r="E353">
            <v>5.0200000000000002E-2</v>
          </cell>
        </row>
        <row r="354">
          <cell r="D354" t="str">
            <v>toucinho fresco</v>
          </cell>
          <cell r="E354">
            <v>6.8999999999999999E-3</v>
          </cell>
        </row>
        <row r="355">
          <cell r="C355" t="str">
            <v>2.3. Aves</v>
          </cell>
          <cell r="E355">
            <v>0.94810000000000005</v>
          </cell>
        </row>
        <row r="356">
          <cell r="D356" t="str">
            <v>frango</v>
          </cell>
          <cell r="E356">
            <v>0.90639999999999998</v>
          </cell>
        </row>
        <row r="357">
          <cell r="D357" t="str">
            <v>peru</v>
          </cell>
          <cell r="E357">
            <v>2.9399999999999999E-2</v>
          </cell>
        </row>
        <row r="358">
          <cell r="D358" t="str">
            <v>chester</v>
          </cell>
          <cell r="E358">
            <v>1.23E-2</v>
          </cell>
        </row>
        <row r="359">
          <cell r="C359" t="str">
            <v>2.4. Pescados</v>
          </cell>
          <cell r="E359">
            <v>0.223</v>
          </cell>
        </row>
        <row r="360">
          <cell r="D360" t="str">
            <v>pescada</v>
          </cell>
          <cell r="E360">
            <v>9.6500000000000002E-2</v>
          </cell>
        </row>
        <row r="361">
          <cell r="D361" t="str">
            <v>sardinha</v>
          </cell>
          <cell r="E361">
            <v>3.6299999999999999E-2</v>
          </cell>
        </row>
        <row r="362">
          <cell r="D362" t="str">
            <v>cação</v>
          </cell>
          <cell r="E362">
            <v>2.18E-2</v>
          </cell>
        </row>
        <row r="363">
          <cell r="D363" t="str">
            <v>corvina</v>
          </cell>
          <cell r="E363">
            <v>3.0499999999999999E-2</v>
          </cell>
        </row>
        <row r="364">
          <cell r="D364" t="str">
            <v>merluza</v>
          </cell>
          <cell r="E364">
            <v>1.54E-2</v>
          </cell>
        </row>
        <row r="365">
          <cell r="D365" t="str">
            <v>porquinho</v>
          </cell>
          <cell r="E365">
            <v>1.06E-2</v>
          </cell>
        </row>
        <row r="366">
          <cell r="D366" t="str">
            <v>camarão</v>
          </cell>
          <cell r="E366">
            <v>1.1900000000000001E-2</v>
          </cell>
        </row>
        <row r="367">
          <cell r="C367" t="str">
            <v>2.5. Leites</v>
          </cell>
          <cell r="E367">
            <v>1.6278999999999999</v>
          </cell>
        </row>
        <row r="368">
          <cell r="D368" t="str">
            <v>leite longa vida</v>
          </cell>
          <cell r="E368">
            <v>0.91959999999999997</v>
          </cell>
        </row>
        <row r="369">
          <cell r="D369" t="str">
            <v>leite tipo a</v>
          </cell>
          <cell r="E369">
            <v>2.3900000000000001E-2</v>
          </cell>
        </row>
        <row r="370">
          <cell r="D370" t="str">
            <v>leite tipo b</v>
          </cell>
          <cell r="E370">
            <v>0.44379999999999997</v>
          </cell>
        </row>
        <row r="371">
          <cell r="D371" t="str">
            <v>leite especial</v>
          </cell>
          <cell r="E371">
            <v>0.24060000000000001</v>
          </cell>
        </row>
        <row r="372">
          <cell r="C372" t="str">
            <v>2.6. Cereais</v>
          </cell>
          <cell r="E372">
            <v>1.4147000000000001</v>
          </cell>
        </row>
        <row r="373">
          <cell r="D373" t="str">
            <v>arroz</v>
          </cell>
          <cell r="E373">
            <v>0.90400000000000003</v>
          </cell>
        </row>
        <row r="374">
          <cell r="D374" t="str">
            <v>feijão</v>
          </cell>
          <cell r="E374">
            <v>0.47020000000000001</v>
          </cell>
        </row>
        <row r="375">
          <cell r="D375" t="str">
            <v>grão-de-bico</v>
          </cell>
          <cell r="E375">
            <v>4.4000000000000003E-3</v>
          </cell>
        </row>
        <row r="376">
          <cell r="D376" t="str">
            <v>lentilha</v>
          </cell>
          <cell r="E376">
            <v>4.5999999999999999E-3</v>
          </cell>
        </row>
        <row r="377">
          <cell r="D377" t="str">
            <v>milho</v>
          </cell>
          <cell r="E377">
            <v>3.15E-2</v>
          </cell>
        </row>
        <row r="378">
          <cell r="B378" t="str">
            <v>3. Alimentos In Natura</v>
          </cell>
          <cell r="E378">
            <v>4.0011999999999999</v>
          </cell>
        </row>
        <row r="379">
          <cell r="C379" t="str">
            <v>3.1. Frutas</v>
          </cell>
          <cell r="E379">
            <v>1.7619</v>
          </cell>
        </row>
        <row r="380">
          <cell r="D380" t="str">
            <v>laranja</v>
          </cell>
          <cell r="E380">
            <v>0.33439999999999998</v>
          </cell>
        </row>
        <row r="381">
          <cell r="D381" t="str">
            <v>mexerica</v>
          </cell>
          <cell r="E381">
            <v>7.4499999999999997E-2</v>
          </cell>
        </row>
        <row r="382">
          <cell r="D382" t="str">
            <v>limão</v>
          </cell>
          <cell r="E382">
            <v>5.8799999999999998E-2</v>
          </cell>
        </row>
        <row r="383">
          <cell r="D383" t="str">
            <v>banana</v>
          </cell>
          <cell r="E383">
            <v>0.35339999999999999</v>
          </cell>
        </row>
        <row r="384">
          <cell r="D384" t="str">
            <v>maçã</v>
          </cell>
          <cell r="E384">
            <v>0.1699</v>
          </cell>
        </row>
        <row r="385">
          <cell r="D385" t="str">
            <v>mamão</v>
          </cell>
          <cell r="E385">
            <v>0.1542</v>
          </cell>
        </row>
        <row r="386">
          <cell r="D386" t="str">
            <v>uva</v>
          </cell>
          <cell r="E386">
            <v>0.1283</v>
          </cell>
        </row>
        <row r="387">
          <cell r="D387" t="str">
            <v>pêra</v>
          </cell>
          <cell r="E387">
            <v>8.3199999999999996E-2</v>
          </cell>
        </row>
        <row r="388">
          <cell r="D388" t="str">
            <v>melancia</v>
          </cell>
          <cell r="E388">
            <v>7.1599999999999997E-2</v>
          </cell>
        </row>
        <row r="389">
          <cell r="D389" t="str">
            <v>melão</v>
          </cell>
          <cell r="E389">
            <v>3.5400000000000001E-2</v>
          </cell>
        </row>
        <row r="390">
          <cell r="D390" t="str">
            <v>abacate</v>
          </cell>
          <cell r="E390">
            <v>2.3400000000000001E-2</v>
          </cell>
        </row>
        <row r="391">
          <cell r="D391" t="str">
            <v>abacaxi</v>
          </cell>
          <cell r="E391">
            <v>4.9099999999999998E-2</v>
          </cell>
        </row>
        <row r="392">
          <cell r="D392" t="str">
            <v>maracujá</v>
          </cell>
          <cell r="E392">
            <v>3.9600000000000003E-2</v>
          </cell>
        </row>
        <row r="393">
          <cell r="D393" t="str">
            <v>kiwi</v>
          </cell>
          <cell r="E393">
            <v>1.3100000000000001E-2</v>
          </cell>
        </row>
        <row r="394">
          <cell r="D394" t="str">
            <v>fruta de época</v>
          </cell>
          <cell r="E394">
            <v>0.17299999999999999</v>
          </cell>
        </row>
        <row r="395">
          <cell r="C395" t="str">
            <v>3.2. Legumes</v>
          </cell>
          <cell r="E395">
            <v>0.71970000000000001</v>
          </cell>
        </row>
        <row r="396">
          <cell r="D396" t="str">
            <v>tomate</v>
          </cell>
          <cell r="E396">
            <v>0.22550000000000001</v>
          </cell>
        </row>
        <row r="397">
          <cell r="D397" t="str">
            <v>cenoura</v>
          </cell>
          <cell r="E397">
            <v>9.3700000000000006E-2</v>
          </cell>
        </row>
        <row r="398">
          <cell r="D398" t="str">
            <v>pimentão</v>
          </cell>
          <cell r="E398">
            <v>5.0900000000000001E-2</v>
          </cell>
        </row>
        <row r="399">
          <cell r="D399" t="str">
            <v>vagem</v>
          </cell>
          <cell r="E399">
            <v>3.8699999999999998E-2</v>
          </cell>
        </row>
        <row r="400">
          <cell r="D400" t="str">
            <v>chuchu</v>
          </cell>
          <cell r="E400">
            <v>4.5499999999999999E-2</v>
          </cell>
        </row>
        <row r="401">
          <cell r="D401" t="str">
            <v>beterraba</v>
          </cell>
          <cell r="E401">
            <v>3.3500000000000002E-2</v>
          </cell>
        </row>
        <row r="402">
          <cell r="D402" t="str">
            <v>abobrinha</v>
          </cell>
          <cell r="E402">
            <v>3.7199999999999997E-2</v>
          </cell>
        </row>
        <row r="403">
          <cell r="D403" t="str">
            <v>abóbora</v>
          </cell>
          <cell r="E403">
            <v>1.95E-2</v>
          </cell>
        </row>
        <row r="404">
          <cell r="D404" t="str">
            <v>quiabo</v>
          </cell>
          <cell r="E404">
            <v>2.1499999999999998E-2</v>
          </cell>
        </row>
        <row r="405">
          <cell r="D405" t="str">
            <v>pepino</v>
          </cell>
          <cell r="E405">
            <v>3.9100000000000003E-2</v>
          </cell>
        </row>
        <row r="406">
          <cell r="D406" t="str">
            <v>mandioquinha</v>
          </cell>
          <cell r="E406">
            <v>2.6499999999999999E-2</v>
          </cell>
        </row>
        <row r="407">
          <cell r="D407" t="str">
            <v>mandioca</v>
          </cell>
          <cell r="E407">
            <v>4.2099999999999999E-2</v>
          </cell>
        </row>
        <row r="408">
          <cell r="D408" t="str">
            <v>berinjela</v>
          </cell>
          <cell r="E408">
            <v>2.87E-2</v>
          </cell>
        </row>
        <row r="409">
          <cell r="D409" t="str">
            <v>jiló</v>
          </cell>
          <cell r="E409">
            <v>1.7299999999999999E-2</v>
          </cell>
        </row>
        <row r="410">
          <cell r="C410" t="str">
            <v xml:space="preserve">3.3. Tubérculos </v>
          </cell>
          <cell r="E410">
            <v>0.58350000000000002</v>
          </cell>
        </row>
        <row r="411">
          <cell r="D411" t="str">
            <v>batata</v>
          </cell>
          <cell r="E411">
            <v>0.29389999999999999</v>
          </cell>
        </row>
        <row r="412">
          <cell r="D412" t="str">
            <v>cebola</v>
          </cell>
          <cell r="E412">
            <v>0.14230000000000001</v>
          </cell>
        </row>
        <row r="413">
          <cell r="D413" t="str">
            <v>alho</v>
          </cell>
          <cell r="E413">
            <v>0.14729999999999999</v>
          </cell>
        </row>
        <row r="414">
          <cell r="C414" t="str">
            <v>3.4. Verduras</v>
          </cell>
          <cell r="E414">
            <v>0.5464</v>
          </cell>
        </row>
        <row r="415">
          <cell r="D415" t="str">
            <v>alface</v>
          </cell>
          <cell r="E415">
            <v>0.20580000000000001</v>
          </cell>
        </row>
        <row r="416">
          <cell r="D416" t="str">
            <v>escarola</v>
          </cell>
          <cell r="E416">
            <v>2.3599999999999999E-2</v>
          </cell>
        </row>
        <row r="417">
          <cell r="D417" t="str">
            <v>agrião</v>
          </cell>
          <cell r="E417">
            <v>2.5000000000000001E-2</v>
          </cell>
        </row>
        <row r="418">
          <cell r="D418" t="str">
            <v>almeirão</v>
          </cell>
          <cell r="E418">
            <v>1.06E-2</v>
          </cell>
        </row>
        <row r="419">
          <cell r="D419" t="str">
            <v>espinafre</v>
          </cell>
          <cell r="E419">
            <v>1.67E-2</v>
          </cell>
        </row>
        <row r="420">
          <cell r="D420" t="str">
            <v>couve</v>
          </cell>
          <cell r="E420">
            <v>5.4800000000000001E-2</v>
          </cell>
        </row>
        <row r="421">
          <cell r="D421" t="str">
            <v>repolho</v>
          </cell>
          <cell r="E421">
            <v>5.67E-2</v>
          </cell>
        </row>
        <row r="422">
          <cell r="D422" t="str">
            <v>couve-flor</v>
          </cell>
          <cell r="E422">
            <v>4.19E-2</v>
          </cell>
        </row>
        <row r="423">
          <cell r="D423" t="str">
            <v>brócolis</v>
          </cell>
          <cell r="E423">
            <v>3.7900000000000003E-2</v>
          </cell>
        </row>
        <row r="424">
          <cell r="D424" t="str">
            <v>salsa/cebolinha</v>
          </cell>
          <cell r="E424">
            <v>5.9299999999999999E-2</v>
          </cell>
        </row>
        <row r="425">
          <cell r="D425" t="str">
            <v>coentro</v>
          </cell>
          <cell r="E425">
            <v>1.41E-2</v>
          </cell>
        </row>
        <row r="426">
          <cell r="C426" t="str">
            <v>3.5. Ovos</v>
          </cell>
          <cell r="E426">
            <v>0.38969999999999999</v>
          </cell>
        </row>
        <row r="427">
          <cell r="D427" t="str">
            <v>ovos</v>
          </cell>
          <cell r="E427">
            <v>0.38969999999999999</v>
          </cell>
        </row>
        <row r="428">
          <cell r="B428" t="str">
            <v>4. Alimentação Fora do Domicílio</v>
          </cell>
          <cell r="E428">
            <v>2.7132999999999998</v>
          </cell>
        </row>
        <row r="429">
          <cell r="D429" t="str">
            <v>refeição</v>
          </cell>
          <cell r="E429">
            <v>1.7581</v>
          </cell>
        </row>
        <row r="430">
          <cell r="D430" t="str">
            <v>lanche</v>
          </cell>
          <cell r="E430">
            <v>0.55079999999999996</v>
          </cell>
        </row>
        <row r="431">
          <cell r="D431" t="str">
            <v>salgados</v>
          </cell>
          <cell r="E431">
            <v>0.27179999999999999</v>
          </cell>
        </row>
        <row r="432">
          <cell r="D432" t="str">
            <v>sobremesa</v>
          </cell>
          <cell r="E432">
            <v>0.1326</v>
          </cell>
        </row>
        <row r="433">
          <cell r="B433" t="str">
            <v xml:space="preserve">III. Transportes </v>
          </cell>
          <cell r="E433">
            <v>16.030899999999999</v>
          </cell>
        </row>
        <row r="434">
          <cell r="B434" t="str">
            <v>1. Veículo Próprio</v>
          </cell>
          <cell r="E434">
            <v>8.6914999999999996</v>
          </cell>
        </row>
        <row r="435">
          <cell r="C435" t="str">
            <v>1.1. Manutenção do Veículo</v>
          </cell>
          <cell r="E435">
            <v>5.5148999999999999</v>
          </cell>
        </row>
        <row r="436">
          <cell r="D436" t="str">
            <v>gasolina</v>
          </cell>
          <cell r="E436">
            <v>2.6541999999999999</v>
          </cell>
        </row>
        <row r="437">
          <cell r="D437" t="str">
            <v>álcool combustível</v>
          </cell>
          <cell r="E437">
            <v>0.54649999999999999</v>
          </cell>
        </row>
        <row r="438">
          <cell r="D438" t="str">
            <v>diesel</v>
          </cell>
          <cell r="E438">
            <v>2.9499999999999998E-2</v>
          </cell>
        </row>
        <row r="439">
          <cell r="D439" t="str">
            <v>reparo no veículo</v>
          </cell>
          <cell r="E439">
            <v>1.6113999999999999</v>
          </cell>
        </row>
        <row r="440">
          <cell r="D440" t="str">
            <v>produtos para veículo</v>
          </cell>
          <cell r="E440">
            <v>0.4461</v>
          </cell>
        </row>
        <row r="441">
          <cell r="D441" t="str">
            <v>óleo para veículo</v>
          </cell>
          <cell r="E441">
            <v>9.2499999999999999E-2</v>
          </cell>
        </row>
        <row r="442">
          <cell r="D442" t="str">
            <v>acessórios de veículo</v>
          </cell>
          <cell r="E442">
            <v>8.2900000000000001E-2</v>
          </cell>
        </row>
        <row r="443">
          <cell r="D443" t="str">
            <v>lavagem de veículo</v>
          </cell>
          <cell r="E443">
            <v>5.1799999999999999E-2</v>
          </cell>
        </row>
        <row r="444">
          <cell r="C444" t="str">
            <v>1.2. Aquisição de Veículo</v>
          </cell>
          <cell r="E444">
            <v>3.1766000000000001</v>
          </cell>
        </row>
        <row r="445">
          <cell r="D445" t="str">
            <v>automóvel usado</v>
          </cell>
          <cell r="E445">
            <v>2.2018</v>
          </cell>
        </row>
        <row r="446">
          <cell r="D446" t="str">
            <v>automóvel novo</v>
          </cell>
          <cell r="E446">
            <v>0.84230000000000005</v>
          </cell>
        </row>
        <row r="447">
          <cell r="D447" t="str">
            <v>motocicleta usada</v>
          </cell>
          <cell r="E447">
            <v>4.6800000000000001E-2</v>
          </cell>
        </row>
        <row r="448">
          <cell r="D448" t="str">
            <v>motocicleta nova</v>
          </cell>
          <cell r="E448">
            <v>8.5699999999999998E-2</v>
          </cell>
        </row>
        <row r="449">
          <cell r="B449" t="str">
            <v>2. Transportes Coletivos</v>
          </cell>
          <cell r="E449">
            <v>5.8623000000000003</v>
          </cell>
        </row>
        <row r="450">
          <cell r="D450" t="str">
            <v>ônibus</v>
          </cell>
          <cell r="E450">
            <v>4.4032</v>
          </cell>
        </row>
        <row r="451">
          <cell r="D451" t="str">
            <v>lotação</v>
          </cell>
          <cell r="E451">
            <v>0.1898</v>
          </cell>
        </row>
        <row r="452">
          <cell r="D452" t="str">
            <v>integração</v>
          </cell>
          <cell r="E452">
            <v>0.1857</v>
          </cell>
        </row>
        <row r="453">
          <cell r="D453" t="str">
            <v>metrô</v>
          </cell>
          <cell r="E453">
            <v>0.58860000000000001</v>
          </cell>
        </row>
        <row r="454">
          <cell r="D454" t="str">
            <v>táxi</v>
          </cell>
          <cell r="E454">
            <v>0.2019</v>
          </cell>
        </row>
        <row r="455">
          <cell r="D455" t="str">
            <v>trem</v>
          </cell>
          <cell r="E455">
            <v>6.8900000000000003E-2</v>
          </cell>
        </row>
        <row r="456">
          <cell r="D456" t="str">
            <v>transporte escolar</v>
          </cell>
          <cell r="E456">
            <v>0.22420000000000001</v>
          </cell>
        </row>
        <row r="457">
          <cell r="B457" t="str">
            <v>3. Outras Despesas com Transporte</v>
          </cell>
          <cell r="E457">
            <v>1.4771000000000001</v>
          </cell>
        </row>
        <row r="458">
          <cell r="D458" t="str">
            <v>estacionamento</v>
          </cell>
          <cell r="E458">
            <v>0.13159999999999999</v>
          </cell>
        </row>
        <row r="459">
          <cell r="D459" t="str">
            <v>licenciamento</v>
          </cell>
          <cell r="E459">
            <v>0.45329999999999998</v>
          </cell>
        </row>
        <row r="460">
          <cell r="D460" t="str">
            <v>pedágio</v>
          </cell>
          <cell r="E460">
            <v>6.8099999999999994E-2</v>
          </cell>
        </row>
        <row r="461">
          <cell r="D461" t="str">
            <v>seguro de veículo</v>
          </cell>
          <cell r="E461">
            <v>0.74</v>
          </cell>
        </row>
        <row r="462">
          <cell r="D462" t="str">
            <v>habilitação para dirigir</v>
          </cell>
          <cell r="E462">
            <v>3.85E-2</v>
          </cell>
        </row>
        <row r="463">
          <cell r="D463" t="str">
            <v>despachante</v>
          </cell>
          <cell r="E463">
            <v>4.5600000000000002E-2</v>
          </cell>
        </row>
        <row r="464">
          <cell r="B464" t="str">
            <v>IV. Despesas Pessoais</v>
          </cell>
          <cell r="E464">
            <v>12.298500000000001</v>
          </cell>
        </row>
        <row r="465">
          <cell r="B465" t="str">
            <v>1. Fumo e Bebidas</v>
          </cell>
          <cell r="E465">
            <v>4.3230000000000004</v>
          </cell>
        </row>
        <row r="466">
          <cell r="C466" t="str">
            <v>1.1. Fumo</v>
          </cell>
          <cell r="E466">
            <v>1.4547000000000001</v>
          </cell>
        </row>
        <row r="467">
          <cell r="D467" t="str">
            <v>cigarro</v>
          </cell>
          <cell r="E467">
            <v>1.4500999999999999</v>
          </cell>
        </row>
        <row r="468">
          <cell r="D468" t="str">
            <v>isqueiro</v>
          </cell>
          <cell r="E468">
            <v>4.5999999999999999E-3</v>
          </cell>
        </row>
        <row r="469">
          <cell r="C469" t="str">
            <v>1.2. Bebidas Não Alcoólicas</v>
          </cell>
          <cell r="E469">
            <v>1.7012</v>
          </cell>
        </row>
        <row r="470">
          <cell r="D470" t="str">
            <v>refrigerante</v>
          </cell>
          <cell r="E470">
            <v>1.1927000000000001</v>
          </cell>
        </row>
        <row r="471">
          <cell r="D471" t="str">
            <v>bebida isotônica</v>
          </cell>
          <cell r="E471">
            <v>2.0799999999999999E-2</v>
          </cell>
        </row>
        <row r="472">
          <cell r="D472" t="str">
            <v>suco de fruta</v>
          </cell>
          <cell r="E472">
            <v>0.15390000000000001</v>
          </cell>
        </row>
        <row r="473">
          <cell r="D473" t="str">
            <v>vitamina</v>
          </cell>
          <cell r="E473">
            <v>1.29E-2</v>
          </cell>
        </row>
        <row r="474">
          <cell r="D474" t="str">
            <v>água mineral</v>
          </cell>
          <cell r="E474">
            <v>8.3599999999999994E-2</v>
          </cell>
        </row>
        <row r="475">
          <cell r="D475" t="str">
            <v>cafezinho e leite</v>
          </cell>
          <cell r="E475">
            <v>0.1431</v>
          </cell>
        </row>
        <row r="476">
          <cell r="D476" t="str">
            <v>pó para refresco</v>
          </cell>
          <cell r="E476">
            <v>9.4200000000000006E-2</v>
          </cell>
        </row>
        <row r="477">
          <cell r="C477" t="str">
            <v>1.3. Bebidas Alcoólicas</v>
          </cell>
          <cell r="E477">
            <v>1.1671</v>
          </cell>
        </row>
        <row r="478">
          <cell r="D478" t="str">
            <v>cerveja</v>
          </cell>
          <cell r="E478">
            <v>0.95020000000000004</v>
          </cell>
        </row>
        <row r="479">
          <cell r="D479" t="str">
            <v>chope</v>
          </cell>
          <cell r="E479">
            <v>1.2500000000000001E-2</v>
          </cell>
        </row>
        <row r="480">
          <cell r="D480" t="str">
            <v>aguardente</v>
          </cell>
          <cell r="E480">
            <v>7.0599999999999996E-2</v>
          </cell>
        </row>
        <row r="481">
          <cell r="D481" t="str">
            <v>uísque</v>
          </cell>
          <cell r="E481">
            <v>2.29E-2</v>
          </cell>
        </row>
        <row r="482">
          <cell r="D482" t="str">
            <v>conhaque</v>
          </cell>
          <cell r="E482">
            <v>2.0500000000000001E-2</v>
          </cell>
        </row>
        <row r="483">
          <cell r="D483" t="str">
            <v>vinho</v>
          </cell>
          <cell r="E483">
            <v>4.2000000000000003E-2</v>
          </cell>
        </row>
        <row r="484">
          <cell r="D484" t="str">
            <v>champanhe</v>
          </cell>
          <cell r="E484">
            <v>2.52E-2</v>
          </cell>
        </row>
        <row r="485">
          <cell r="D485" t="str">
            <v>vodca</v>
          </cell>
          <cell r="E485">
            <v>4.5999999999999999E-3</v>
          </cell>
        </row>
        <row r="486">
          <cell r="D486" t="str">
            <v>aperitivo destilado</v>
          </cell>
          <cell r="E486">
            <v>5.0000000000000001E-3</v>
          </cell>
        </row>
        <row r="487">
          <cell r="D487" t="str">
            <v>vermute</v>
          </cell>
          <cell r="E487">
            <v>1.3599999999999999E-2</v>
          </cell>
        </row>
        <row r="488">
          <cell r="B488" t="str">
            <v>2. Recreação e Cultura</v>
          </cell>
          <cell r="E488">
            <v>3.6985999999999999</v>
          </cell>
        </row>
        <row r="489">
          <cell r="C489" t="str">
            <v>2.1. Recreação</v>
          </cell>
          <cell r="E489">
            <v>3.3249</v>
          </cell>
        </row>
        <row r="490">
          <cell r="D490" t="str">
            <v>passagem para fora da cidade</v>
          </cell>
          <cell r="E490">
            <v>0.53900000000000003</v>
          </cell>
        </row>
        <row r="491">
          <cell r="D491" t="str">
            <v>viagem (excursão)</v>
          </cell>
          <cell r="E491">
            <v>0.80320000000000003</v>
          </cell>
        </row>
        <row r="492">
          <cell r="D492" t="str">
            <v>motel</v>
          </cell>
          <cell r="E492">
            <v>1.67E-2</v>
          </cell>
        </row>
        <row r="493">
          <cell r="D493" t="str">
            <v>brinquedo</v>
          </cell>
          <cell r="E493">
            <v>0.46350000000000002</v>
          </cell>
        </row>
        <row r="494">
          <cell r="D494" t="str">
            <v>cd/fita para gravação</v>
          </cell>
          <cell r="E494">
            <v>0.29189999999999999</v>
          </cell>
        </row>
        <row r="495">
          <cell r="D495" t="str">
            <v>locação de fita</v>
          </cell>
          <cell r="E495">
            <v>0.14219999999999999</v>
          </cell>
        </row>
        <row r="496">
          <cell r="D496" t="str">
            <v>cinema</v>
          </cell>
          <cell r="E496">
            <v>5.57E-2</v>
          </cell>
        </row>
        <row r="497">
          <cell r="D497" t="str">
            <v>teatro/show</v>
          </cell>
          <cell r="E497">
            <v>5.57E-2</v>
          </cell>
        </row>
        <row r="498">
          <cell r="D498" t="str">
            <v>casa de dança</v>
          </cell>
          <cell r="E498">
            <v>4.7699999999999999E-2</v>
          </cell>
        </row>
        <row r="499">
          <cell r="D499" t="str">
            <v>parque de diversão</v>
          </cell>
          <cell r="E499">
            <v>6.0400000000000002E-2</v>
          </cell>
        </row>
        <row r="500">
          <cell r="D500" t="str">
            <v>pesque e pague</v>
          </cell>
          <cell r="E500">
            <v>1.26E-2</v>
          </cell>
        </row>
        <row r="501">
          <cell r="D501" t="str">
            <v>filme para máquina fotográfica</v>
          </cell>
          <cell r="E501">
            <v>3.5299999999999998E-2</v>
          </cell>
        </row>
        <row r="502">
          <cell r="D502" t="str">
            <v>revelação de negativo</v>
          </cell>
          <cell r="E502">
            <v>7.22E-2</v>
          </cell>
        </row>
        <row r="503">
          <cell r="D503" t="str">
            <v>clube</v>
          </cell>
          <cell r="E503">
            <v>0.14230000000000001</v>
          </cell>
        </row>
        <row r="504">
          <cell r="D504" t="str">
            <v>academia de ginástica</v>
          </cell>
          <cell r="E504">
            <v>3.1800000000000002E-2</v>
          </cell>
        </row>
        <row r="505">
          <cell r="D505" t="str">
            <v>futebol</v>
          </cell>
          <cell r="E505">
            <v>2.7E-2</v>
          </cell>
        </row>
        <row r="506">
          <cell r="D506" t="str">
            <v>atividade esportiva</v>
          </cell>
          <cell r="E506">
            <v>8.7499999999999994E-2</v>
          </cell>
        </row>
        <row r="507">
          <cell r="D507" t="str">
            <v>bilhar</v>
          </cell>
          <cell r="E507">
            <v>1.7600000000000001E-2</v>
          </cell>
        </row>
        <row r="508">
          <cell r="D508" t="str">
            <v>fliperama</v>
          </cell>
          <cell r="E508">
            <v>8.6E-3</v>
          </cell>
        </row>
        <row r="509">
          <cell r="D509" t="str">
            <v>boliche</v>
          </cell>
          <cell r="E509">
            <v>1.1900000000000001E-2</v>
          </cell>
        </row>
        <row r="510">
          <cell r="D510" t="str">
            <v>animal doméstico</v>
          </cell>
          <cell r="E510">
            <v>0.35349999999999998</v>
          </cell>
        </row>
        <row r="511">
          <cell r="D511" t="str">
            <v>artigos para festa</v>
          </cell>
          <cell r="E511">
            <v>1.9099999999999999E-2</v>
          </cell>
        </row>
        <row r="512">
          <cell r="D512" t="str">
            <v>pilha</v>
          </cell>
          <cell r="E512">
            <v>2.9499999999999998E-2</v>
          </cell>
        </row>
        <row r="513">
          <cell r="C513" t="str">
            <v>2.2. Cultura</v>
          </cell>
          <cell r="E513">
            <v>0.37369999999999998</v>
          </cell>
        </row>
        <row r="514">
          <cell r="D514" t="str">
            <v>jornal</v>
          </cell>
          <cell r="E514">
            <v>0.1547</v>
          </cell>
        </row>
        <row r="515">
          <cell r="D515" t="str">
            <v>revista</v>
          </cell>
          <cell r="E515">
            <v>0.16489999999999999</v>
          </cell>
        </row>
        <row r="516">
          <cell r="D516" t="str">
            <v>livro(não didático)</v>
          </cell>
          <cell r="E516">
            <v>5.4100000000000002E-2</v>
          </cell>
        </row>
        <row r="517">
          <cell r="B517" t="str">
            <v>3. Artigos de Higiene e Beleza</v>
          </cell>
          <cell r="E517">
            <v>2.74</v>
          </cell>
        </row>
        <row r="518">
          <cell r="C518" t="str">
            <v>3.1. Artigos de Higiene</v>
          </cell>
          <cell r="E518">
            <v>2.1528</v>
          </cell>
        </row>
        <row r="519">
          <cell r="D519" t="str">
            <v>sabonete</v>
          </cell>
          <cell r="E519">
            <v>0.21410000000000001</v>
          </cell>
        </row>
        <row r="520">
          <cell r="D520" t="str">
            <v>creme dental</v>
          </cell>
          <cell r="E520">
            <v>0.18440000000000001</v>
          </cell>
        </row>
        <row r="521">
          <cell r="D521" t="str">
            <v>escova dental</v>
          </cell>
          <cell r="E521">
            <v>3.7199999999999997E-2</v>
          </cell>
        </row>
        <row r="522">
          <cell r="D522" t="str">
            <v>cotonete</v>
          </cell>
          <cell r="E522">
            <v>1.4800000000000001E-2</v>
          </cell>
        </row>
        <row r="523">
          <cell r="D523" t="str">
            <v>desodorante</v>
          </cell>
          <cell r="E523">
            <v>0.14380000000000001</v>
          </cell>
        </row>
        <row r="524">
          <cell r="D524" t="str">
            <v>xampu</v>
          </cell>
          <cell r="E524">
            <v>0.25490000000000002</v>
          </cell>
        </row>
        <row r="525">
          <cell r="D525" t="str">
            <v>condicionador</v>
          </cell>
          <cell r="E525">
            <v>0.17979999999999999</v>
          </cell>
        </row>
        <row r="526">
          <cell r="D526" t="str">
            <v>aparelho de barbear</v>
          </cell>
          <cell r="E526">
            <v>6.4899999999999999E-2</v>
          </cell>
        </row>
        <row r="527">
          <cell r="D527" t="str">
            <v>cartucho para aparelho de barbear</v>
          </cell>
          <cell r="E527">
            <v>3.1099999999999999E-2</v>
          </cell>
        </row>
        <row r="528">
          <cell r="D528" t="str">
            <v>creme de barbear</v>
          </cell>
          <cell r="E528">
            <v>6.1000000000000004E-3</v>
          </cell>
        </row>
        <row r="529">
          <cell r="D529" t="str">
            <v>loção após barba</v>
          </cell>
          <cell r="E529">
            <v>6.4000000000000003E-3</v>
          </cell>
        </row>
        <row r="530">
          <cell r="D530" t="str">
            <v>papel higiênico</v>
          </cell>
          <cell r="E530">
            <v>0.27660000000000001</v>
          </cell>
        </row>
        <row r="531">
          <cell r="D531" t="str">
            <v>absorvente higiênico</v>
          </cell>
          <cell r="E531">
            <v>0.19800000000000001</v>
          </cell>
        </row>
        <row r="532">
          <cell r="D532" t="str">
            <v>fralda descartável</v>
          </cell>
          <cell r="E532">
            <v>0.40639999999999998</v>
          </cell>
        </row>
        <row r="533">
          <cell r="D533" t="str">
            <v>toalha de papel</v>
          </cell>
          <cell r="E533">
            <v>4.0500000000000001E-2</v>
          </cell>
        </row>
        <row r="534">
          <cell r="D534" t="str">
            <v>guardanapo de papel</v>
          </cell>
          <cell r="E534">
            <v>1.4999999999999999E-2</v>
          </cell>
        </row>
        <row r="535">
          <cell r="D535" t="str">
            <v>lenço de papel</v>
          </cell>
          <cell r="E535">
            <v>3.8999999999999998E-3</v>
          </cell>
        </row>
        <row r="536">
          <cell r="D536" t="str">
            <v>lenço umedecido</v>
          </cell>
          <cell r="E536">
            <v>1.4E-2</v>
          </cell>
        </row>
        <row r="537">
          <cell r="D537" t="str">
            <v>filtro de papel</v>
          </cell>
          <cell r="E537">
            <v>3.8600000000000002E-2</v>
          </cell>
        </row>
        <row r="538">
          <cell r="D538" t="str">
            <v>filme de pvc</v>
          </cell>
          <cell r="E538">
            <v>6.1000000000000004E-3</v>
          </cell>
        </row>
        <row r="539">
          <cell r="D539" t="str">
            <v>papel alumínio</v>
          </cell>
          <cell r="E539">
            <v>1.12E-2</v>
          </cell>
        </row>
        <row r="540">
          <cell r="D540" t="str">
            <v>palitos roliços de madeira</v>
          </cell>
          <cell r="E540">
            <v>5.0000000000000001E-3</v>
          </cell>
        </row>
        <row r="541">
          <cell r="C541" t="str">
            <v>3.2. Artigos de Beleza</v>
          </cell>
          <cell r="E541">
            <v>0.58720000000000006</v>
          </cell>
        </row>
        <row r="542">
          <cell r="D542" t="str">
            <v>perfume/colônia</v>
          </cell>
          <cell r="E542">
            <v>0.19639999999999999</v>
          </cell>
        </row>
        <row r="543">
          <cell r="D543" t="str">
            <v>creme de beleza</v>
          </cell>
          <cell r="E543">
            <v>9.5200000000000007E-2</v>
          </cell>
        </row>
        <row r="544">
          <cell r="D544" t="str">
            <v>creme para tratamento de pele</v>
          </cell>
          <cell r="E544">
            <v>2.5399999999999999E-2</v>
          </cell>
        </row>
        <row r="545">
          <cell r="D545" t="str">
            <v>loção para pele</v>
          </cell>
          <cell r="E545">
            <v>5.5199999999999999E-2</v>
          </cell>
        </row>
        <row r="546">
          <cell r="D546" t="str">
            <v>protetor solar/bronzeador</v>
          </cell>
          <cell r="E546">
            <v>2.0799999999999999E-2</v>
          </cell>
        </row>
        <row r="547">
          <cell r="D547" t="str">
            <v>esmalte</v>
          </cell>
          <cell r="E547">
            <v>2.5499999999999998E-2</v>
          </cell>
        </row>
        <row r="548">
          <cell r="D548" t="str">
            <v>removedor de esmalte</v>
          </cell>
          <cell r="E548">
            <v>8.6999999999999994E-3</v>
          </cell>
        </row>
        <row r="549">
          <cell r="D549" t="str">
            <v>batom</v>
          </cell>
          <cell r="E549">
            <v>3.4200000000000001E-2</v>
          </cell>
        </row>
        <row r="550">
          <cell r="D550" t="str">
            <v>tintura para cabelo</v>
          </cell>
          <cell r="E550">
            <v>9.0200000000000002E-2</v>
          </cell>
        </row>
        <row r="551">
          <cell r="D551" t="str">
            <v>fixador para cabelo</v>
          </cell>
          <cell r="E551">
            <v>1.8599999999999998E-2</v>
          </cell>
        </row>
        <row r="552">
          <cell r="D552" t="str">
            <v>talco</v>
          </cell>
          <cell r="E552">
            <v>1.7000000000000001E-2</v>
          </cell>
        </row>
        <row r="553">
          <cell r="B553" t="str">
            <v>4. Serviços Pessoais</v>
          </cell>
          <cell r="E553">
            <v>0.79900000000000004</v>
          </cell>
        </row>
        <row r="554">
          <cell r="D554" t="str">
            <v>cabeleireira/manicure</v>
          </cell>
          <cell r="E554">
            <v>0.49930000000000002</v>
          </cell>
        </row>
        <row r="555">
          <cell r="D555" t="str">
            <v>barbeiro</v>
          </cell>
          <cell r="E555">
            <v>0.1515</v>
          </cell>
        </row>
        <row r="556">
          <cell r="D556" t="str">
            <v>alfaiate/costureira</v>
          </cell>
          <cell r="E556">
            <v>6.3200000000000006E-2</v>
          </cell>
        </row>
        <row r="557">
          <cell r="D557" t="str">
            <v>sapateiro</v>
          </cell>
          <cell r="E557">
            <v>2.4799999999999999E-2</v>
          </cell>
        </row>
        <row r="558">
          <cell r="D558" t="str">
            <v>tintureiro</v>
          </cell>
          <cell r="E558">
            <v>3.3399999999999999E-2</v>
          </cell>
        </row>
        <row r="559">
          <cell r="D559" t="str">
            <v>fotógrafo</v>
          </cell>
          <cell r="E559">
            <v>2.6800000000000001E-2</v>
          </cell>
        </row>
        <row r="560">
          <cell r="B560" t="str">
            <v>5. Despesas Diversas</v>
          </cell>
          <cell r="E560">
            <v>0.7379</v>
          </cell>
        </row>
        <row r="561">
          <cell r="D561" t="str">
            <v>loterias e outros jogos</v>
          </cell>
          <cell r="E561">
            <v>0.40660000000000002</v>
          </cell>
        </row>
        <row r="562">
          <cell r="D562" t="str">
            <v>cartório</v>
          </cell>
          <cell r="E562">
            <v>4.2999999999999997E-2</v>
          </cell>
        </row>
        <row r="563">
          <cell r="D563" t="str">
            <v>seguro de vida</v>
          </cell>
          <cell r="E563">
            <v>0.127</v>
          </cell>
        </row>
        <row r="564">
          <cell r="D564" t="str">
            <v>seviço bancário</v>
          </cell>
          <cell r="E564">
            <v>5.3400000000000003E-2</v>
          </cell>
        </row>
        <row r="565">
          <cell r="D565" t="str">
            <v>manutenção de jazigo</v>
          </cell>
          <cell r="E565">
            <v>2.81E-2</v>
          </cell>
        </row>
        <row r="566">
          <cell r="D566" t="str">
            <v>cerimônia religiosa</v>
          </cell>
          <cell r="E566">
            <v>3.5000000000000001E-3</v>
          </cell>
        </row>
        <row r="567">
          <cell r="D567" t="str">
            <v>flores</v>
          </cell>
          <cell r="E567">
            <v>7.6300000000000007E-2</v>
          </cell>
        </row>
        <row r="568">
          <cell r="B568" t="str">
            <v>V. Saúde</v>
          </cell>
          <cell r="E568">
            <v>7.0755999999999997</v>
          </cell>
        </row>
        <row r="569">
          <cell r="B569" t="str">
            <v>1. Contrato de Assistência Médica</v>
          </cell>
          <cell r="E569">
            <v>3.0979999999999999</v>
          </cell>
        </row>
        <row r="570">
          <cell r="D570" t="str">
            <v>contrato de assistência médica</v>
          </cell>
          <cell r="E570">
            <v>3.0979999999999999</v>
          </cell>
        </row>
        <row r="571">
          <cell r="B571" t="str">
            <v>2. Serviços Médicos e Laboratoriais</v>
          </cell>
          <cell r="E571">
            <v>1.1729000000000001</v>
          </cell>
        </row>
        <row r="572">
          <cell r="D572" t="str">
            <v>médico</v>
          </cell>
          <cell r="E572">
            <v>0.3165</v>
          </cell>
        </row>
        <row r="573">
          <cell r="D573" t="str">
            <v>psicólogo</v>
          </cell>
          <cell r="E573">
            <v>2.6700000000000002E-2</v>
          </cell>
        </row>
        <row r="574">
          <cell r="D574" t="str">
            <v>dentista</v>
          </cell>
          <cell r="E574">
            <v>0.79169999999999996</v>
          </cell>
        </row>
        <row r="575">
          <cell r="D575" t="str">
            <v>laboratório de análises</v>
          </cell>
          <cell r="E575">
            <v>1.4800000000000001E-2</v>
          </cell>
        </row>
        <row r="576">
          <cell r="D576" t="str">
            <v>radioclínica</v>
          </cell>
          <cell r="E576">
            <v>2.3199999999999998E-2</v>
          </cell>
        </row>
        <row r="577">
          <cell r="B577" t="str">
            <v>3. Remédios e Produtos Farmacêuticos</v>
          </cell>
          <cell r="E577">
            <v>2.5261999999999998</v>
          </cell>
        </row>
        <row r="578">
          <cell r="C578" t="str">
            <v>3.1. Remédios</v>
          </cell>
          <cell r="E578">
            <v>2.4832999999999998</v>
          </cell>
        </row>
        <row r="579">
          <cell r="D579" t="str">
            <v>antiinfeccioso</v>
          </cell>
          <cell r="E579">
            <v>0.35310000000000002</v>
          </cell>
        </row>
        <row r="580">
          <cell r="D580" t="str">
            <v>analgésico/antigripal</v>
          </cell>
          <cell r="E580">
            <v>0.19320000000000001</v>
          </cell>
        </row>
        <row r="581">
          <cell r="D581" t="str">
            <v>antiinflamatório</v>
          </cell>
          <cell r="E581">
            <v>0.2359</v>
          </cell>
        </row>
        <row r="582">
          <cell r="D582" t="str">
            <v>sistema cardiovascular</v>
          </cell>
          <cell r="E582">
            <v>0.50570000000000004</v>
          </cell>
        </row>
        <row r="583">
          <cell r="D583" t="str">
            <v>vitaminas</v>
          </cell>
          <cell r="E583">
            <v>0.19919999999999999</v>
          </cell>
        </row>
        <row r="584">
          <cell r="D584" t="str">
            <v>vias respiratórias</v>
          </cell>
          <cell r="E584">
            <v>0.24379999999999999</v>
          </cell>
        </row>
        <row r="585">
          <cell r="D585" t="str">
            <v>aparelho digestivo/metabolismo</v>
          </cell>
          <cell r="E585">
            <v>0.3296</v>
          </cell>
        </row>
        <row r="586">
          <cell r="D586" t="str">
            <v>diabetes</v>
          </cell>
          <cell r="E586">
            <v>6.9800000000000001E-2</v>
          </cell>
        </row>
        <row r="587">
          <cell r="D587" t="str">
            <v>sistema nervoso central</v>
          </cell>
          <cell r="E587">
            <v>0.15359999999999999</v>
          </cell>
        </row>
        <row r="588">
          <cell r="D588" t="str">
            <v>oftálmico</v>
          </cell>
          <cell r="E588">
            <v>3.8300000000000001E-2</v>
          </cell>
        </row>
        <row r="589">
          <cell r="D589" t="str">
            <v>anticoncepcional</v>
          </cell>
          <cell r="E589">
            <v>3.2599999999999997E-2</v>
          </cell>
        </row>
        <row r="590">
          <cell r="D590" t="str">
            <v>outros remédios</v>
          </cell>
          <cell r="E590">
            <v>4.3999999999999997E-2</v>
          </cell>
        </row>
        <row r="591">
          <cell r="D591" t="str">
            <v>homeopático</v>
          </cell>
          <cell r="E591">
            <v>6.3899999999999998E-2</v>
          </cell>
        </row>
        <row r="592">
          <cell r="D592" t="str">
            <v>vacina</v>
          </cell>
          <cell r="E592">
            <v>2.06E-2</v>
          </cell>
        </row>
        <row r="593">
          <cell r="C593" t="str">
            <v>3.2. Produtos Farmacêuticos</v>
          </cell>
          <cell r="E593">
            <v>4.2900000000000001E-2</v>
          </cell>
        </row>
        <row r="594">
          <cell r="D594" t="str">
            <v>algodão hidrófilo</v>
          </cell>
          <cell r="E594">
            <v>7.9000000000000008E-3</v>
          </cell>
        </row>
        <row r="595">
          <cell r="D595" t="str">
            <v>curativo pronto</v>
          </cell>
          <cell r="E595">
            <v>5.4000000000000003E-3</v>
          </cell>
        </row>
        <row r="596">
          <cell r="D596" t="str">
            <v>preservativo</v>
          </cell>
          <cell r="E596">
            <v>1.8100000000000002E-2</v>
          </cell>
        </row>
        <row r="597">
          <cell r="D597" t="str">
            <v>seringa descartável</v>
          </cell>
          <cell r="E597">
            <v>1.15E-2</v>
          </cell>
        </row>
        <row r="598">
          <cell r="B598" t="str">
            <v>4. Aparelhos Corretivos</v>
          </cell>
          <cell r="E598">
            <v>0.27850000000000003</v>
          </cell>
        </row>
        <row r="599">
          <cell r="D599" t="str">
            <v>aparelho para surdez</v>
          </cell>
          <cell r="E599">
            <v>1.55E-2</v>
          </cell>
        </row>
        <row r="600">
          <cell r="D600" t="str">
            <v xml:space="preserve">armação de óculos </v>
          </cell>
          <cell r="E600">
            <v>0.1351</v>
          </cell>
        </row>
        <row r="601">
          <cell r="D601" t="str">
            <v>lentes de óculos</v>
          </cell>
          <cell r="E601">
            <v>0.10630000000000001</v>
          </cell>
        </row>
        <row r="602">
          <cell r="D602" t="str">
            <v>lentes de contato</v>
          </cell>
          <cell r="E602">
            <v>2.1600000000000001E-2</v>
          </cell>
        </row>
        <row r="603">
          <cell r="B603" t="str">
            <v>VI. Vestuário</v>
          </cell>
          <cell r="E603">
            <v>5.2892999999999999</v>
          </cell>
        </row>
        <row r="604">
          <cell r="B604" t="str">
            <v>1. Roupa de Mulher</v>
          </cell>
          <cell r="E604">
            <v>1.7738</v>
          </cell>
        </row>
        <row r="605">
          <cell r="D605" t="str">
            <v>vestido/conjunto</v>
          </cell>
          <cell r="E605">
            <v>0.29270000000000002</v>
          </cell>
        </row>
        <row r="606">
          <cell r="D606" t="str">
            <v>blazer de mulher</v>
          </cell>
          <cell r="E606">
            <v>5.0500000000000003E-2</v>
          </cell>
        </row>
        <row r="607">
          <cell r="D607" t="str">
            <v>macacão de mulher</v>
          </cell>
          <cell r="E607">
            <v>1.9400000000000001E-2</v>
          </cell>
        </row>
        <row r="608">
          <cell r="D608" t="str">
            <v>calça de mulher</v>
          </cell>
          <cell r="E608">
            <v>0.40810000000000002</v>
          </cell>
        </row>
        <row r="609">
          <cell r="D609" t="str">
            <v>blusa/camisa de mulher</v>
          </cell>
          <cell r="E609">
            <v>0.33079999999999998</v>
          </cell>
        </row>
        <row r="610">
          <cell r="D610" t="str">
            <v>camiseta de mulher</v>
          </cell>
          <cell r="E610">
            <v>0.13819999999999999</v>
          </cell>
        </row>
        <row r="611">
          <cell r="D611" t="str">
            <v>saia/bermuda</v>
          </cell>
          <cell r="E611">
            <v>0.1512</v>
          </cell>
        </row>
        <row r="612">
          <cell r="D612" t="str">
            <v>maiô/biquíni</v>
          </cell>
          <cell r="E612">
            <v>2.3599999999999999E-2</v>
          </cell>
        </row>
        <row r="613">
          <cell r="D613" t="str">
            <v>pijama de mulher</v>
          </cell>
          <cell r="E613">
            <v>1.8700000000000001E-2</v>
          </cell>
        </row>
        <row r="614">
          <cell r="D614" t="str">
            <v>camisola</v>
          </cell>
          <cell r="E614">
            <v>2.4899999999999999E-2</v>
          </cell>
        </row>
        <row r="615">
          <cell r="D615" t="str">
            <v>lingerie</v>
          </cell>
          <cell r="E615">
            <v>0.16689999999999999</v>
          </cell>
        </row>
        <row r="616">
          <cell r="D616" t="str">
            <v>meia de mulher</v>
          </cell>
          <cell r="E616">
            <v>6.0600000000000001E-2</v>
          </cell>
        </row>
        <row r="617">
          <cell r="D617" t="str">
            <v>malha/agasalho de mulher</v>
          </cell>
          <cell r="E617">
            <v>8.8200000000000001E-2</v>
          </cell>
        </row>
        <row r="618">
          <cell r="B618" t="str">
            <v>2. Roupa de Homem</v>
          </cell>
          <cell r="E618">
            <v>1.1158999999999999</v>
          </cell>
        </row>
        <row r="619">
          <cell r="D619" t="str">
            <v>calça/bermuda de homem</v>
          </cell>
          <cell r="E619">
            <v>0.44500000000000001</v>
          </cell>
        </row>
        <row r="620">
          <cell r="D620" t="str">
            <v>camisa de homem</v>
          </cell>
          <cell r="E620">
            <v>0.22209999999999999</v>
          </cell>
        </row>
        <row r="621">
          <cell r="D621" t="str">
            <v>camiseta de homem</v>
          </cell>
          <cell r="E621">
            <v>0.16839999999999999</v>
          </cell>
        </row>
        <row r="622">
          <cell r="D622" t="str">
            <v>sunga</v>
          </cell>
          <cell r="E622">
            <v>4.4999999999999997E-3</v>
          </cell>
        </row>
        <row r="623">
          <cell r="D623" t="str">
            <v>cueca</v>
          </cell>
          <cell r="E623">
            <v>2.9100000000000001E-2</v>
          </cell>
        </row>
        <row r="624">
          <cell r="D624" t="str">
            <v>meia de homem</v>
          </cell>
          <cell r="E624">
            <v>2.9100000000000001E-2</v>
          </cell>
        </row>
        <row r="625">
          <cell r="D625" t="str">
            <v>malha/agasalho de homem</v>
          </cell>
          <cell r="E625">
            <v>7.9100000000000004E-2</v>
          </cell>
        </row>
        <row r="626">
          <cell r="D626" t="str">
            <v>terno</v>
          </cell>
          <cell r="E626">
            <v>9.8500000000000004E-2</v>
          </cell>
        </row>
        <row r="627">
          <cell r="D627" t="str">
            <v>blazer de homem</v>
          </cell>
          <cell r="E627">
            <v>4.0099999999999997E-2</v>
          </cell>
        </row>
        <row r="628">
          <cell r="B628" t="str">
            <v>3. Roupa de Criança</v>
          </cell>
          <cell r="E628">
            <v>0.64800000000000002</v>
          </cell>
        </row>
        <row r="629">
          <cell r="D629" t="str">
            <v>vestido/conjunto de criança</v>
          </cell>
          <cell r="E629">
            <v>0.18240000000000001</v>
          </cell>
        </row>
        <row r="630">
          <cell r="D630" t="str">
            <v>blusa/camisa de criança</v>
          </cell>
          <cell r="E630">
            <v>3.5400000000000001E-2</v>
          </cell>
        </row>
        <row r="631">
          <cell r="D631" t="str">
            <v>camiseta de criança</v>
          </cell>
          <cell r="E631">
            <v>8.1900000000000001E-2</v>
          </cell>
        </row>
        <row r="632">
          <cell r="D632" t="str">
            <v>calça/bermuda de criança</v>
          </cell>
          <cell r="E632">
            <v>0.1321</v>
          </cell>
        </row>
        <row r="633">
          <cell r="D633" t="str">
            <v>calcinha de criança</v>
          </cell>
          <cell r="E633">
            <v>1.47E-2</v>
          </cell>
        </row>
        <row r="634">
          <cell r="D634" t="str">
            <v>cueca de criança</v>
          </cell>
          <cell r="E634">
            <v>5.4999999999999997E-3</v>
          </cell>
        </row>
        <row r="635">
          <cell r="D635" t="str">
            <v>meia de criança</v>
          </cell>
          <cell r="E635">
            <v>1.9099999999999999E-2</v>
          </cell>
        </row>
        <row r="636">
          <cell r="D636" t="str">
            <v>agasalho de criança/uniforme escolar</v>
          </cell>
          <cell r="E636">
            <v>0.12920000000000001</v>
          </cell>
        </row>
        <row r="637">
          <cell r="D637" t="str">
            <v>macacão de bebê</v>
          </cell>
          <cell r="E637">
            <v>4.7699999999999999E-2</v>
          </cell>
        </row>
        <row r="638">
          <cell r="B638" t="str">
            <v>4. Calçados e Acessórios de Vestuário</v>
          </cell>
          <cell r="E638">
            <v>1.4421999999999999</v>
          </cell>
        </row>
        <row r="639">
          <cell r="D639" t="str">
            <v>calçado de homem</v>
          </cell>
          <cell r="E639">
            <v>0.28499999999999998</v>
          </cell>
        </row>
        <row r="640">
          <cell r="D640" t="str">
            <v>calçado de mulher</v>
          </cell>
          <cell r="E640">
            <v>0.52159999999999995</v>
          </cell>
        </row>
        <row r="641">
          <cell r="D641" t="str">
            <v>calçado de criança</v>
          </cell>
          <cell r="E641">
            <v>6.6500000000000004E-2</v>
          </cell>
        </row>
        <row r="642">
          <cell r="D642" t="str">
            <v>tênis</v>
          </cell>
          <cell r="E642">
            <v>0.41039999999999999</v>
          </cell>
        </row>
        <row r="643">
          <cell r="D643" t="str">
            <v>acessórios de vestuário</v>
          </cell>
          <cell r="E643">
            <v>0.15870000000000001</v>
          </cell>
        </row>
        <row r="644">
          <cell r="B644" t="str">
            <v>5. Tecido, Lã e Aviamento</v>
          </cell>
          <cell r="E644">
            <v>9.5299999999999996E-2</v>
          </cell>
        </row>
        <row r="645">
          <cell r="D645" t="str">
            <v>tecido</v>
          </cell>
          <cell r="E645">
            <v>5.5500000000000001E-2</v>
          </cell>
        </row>
        <row r="646">
          <cell r="D646" t="str">
            <v>lã</v>
          </cell>
          <cell r="E646">
            <v>1.01E-2</v>
          </cell>
        </row>
        <row r="647">
          <cell r="D647" t="str">
            <v>aviamento</v>
          </cell>
          <cell r="E647">
            <v>2.9700000000000001E-2</v>
          </cell>
        </row>
        <row r="648">
          <cell r="B648" t="str">
            <v>6. Relógio, Jóia e Bijuteria</v>
          </cell>
          <cell r="E648">
            <v>0.21410000000000001</v>
          </cell>
        </row>
        <row r="649">
          <cell r="D649" t="str">
            <v>relógio</v>
          </cell>
          <cell r="E649">
            <v>5.5599999999999997E-2</v>
          </cell>
        </row>
        <row r="650">
          <cell r="D650" t="str">
            <v>jóia</v>
          </cell>
          <cell r="E650">
            <v>7.8200000000000006E-2</v>
          </cell>
        </row>
        <row r="651">
          <cell r="D651" t="str">
            <v>bijuteria</v>
          </cell>
          <cell r="E651">
            <v>8.0299999999999996E-2</v>
          </cell>
        </row>
        <row r="652">
          <cell r="B652" t="str">
            <v>VII. Educação</v>
          </cell>
          <cell r="E652">
            <v>3.7827000000000002</v>
          </cell>
        </row>
        <row r="653">
          <cell r="B653" t="str">
            <v>1. Ensino Escolar</v>
          </cell>
          <cell r="E653">
            <v>3.2955999999999999</v>
          </cell>
        </row>
        <row r="654">
          <cell r="C654" t="str">
            <v>1.1. Cursos Regulares</v>
          </cell>
          <cell r="E654">
            <v>2.7395999999999998</v>
          </cell>
        </row>
        <row r="655">
          <cell r="D655" t="str">
            <v>ensino pré-escolar</v>
          </cell>
          <cell r="E655">
            <v>0.2331</v>
          </cell>
        </row>
        <row r="656">
          <cell r="D656" t="str">
            <v>ensino fundamental</v>
          </cell>
          <cell r="E656">
            <v>0.91920000000000002</v>
          </cell>
        </row>
        <row r="657">
          <cell r="D657" t="str">
            <v>ensino médio</v>
          </cell>
          <cell r="E657">
            <v>0.311</v>
          </cell>
        </row>
        <row r="658">
          <cell r="D658" t="str">
            <v>ensino superior</v>
          </cell>
          <cell r="E658">
            <v>1.2763</v>
          </cell>
        </row>
        <row r="659">
          <cell r="C659" t="str">
            <v>1.2. Outros Cursos</v>
          </cell>
          <cell r="E659">
            <v>0.55600000000000005</v>
          </cell>
        </row>
        <row r="660">
          <cell r="D660" t="str">
            <v>maternal</v>
          </cell>
          <cell r="E660">
            <v>8.4500000000000006E-2</v>
          </cell>
        </row>
        <row r="661">
          <cell r="D661" t="str">
            <v>curso pré-vestibular</v>
          </cell>
          <cell r="E661">
            <v>0.155</v>
          </cell>
        </row>
        <row r="662">
          <cell r="D662" t="str">
            <v>curso de idioma</v>
          </cell>
          <cell r="E662">
            <v>0.18360000000000001</v>
          </cell>
        </row>
        <row r="663">
          <cell r="D663" t="str">
            <v>curso de informática</v>
          </cell>
          <cell r="E663">
            <v>0.13289999999999999</v>
          </cell>
        </row>
        <row r="664">
          <cell r="B664" t="str">
            <v>2. Material Escolar</v>
          </cell>
          <cell r="E664">
            <v>0.3402</v>
          </cell>
        </row>
        <row r="665">
          <cell r="D665" t="str">
            <v>caderno</v>
          </cell>
          <cell r="E665">
            <v>7.1599999999999997E-2</v>
          </cell>
        </row>
        <row r="666">
          <cell r="D666" t="str">
            <v>papel</v>
          </cell>
          <cell r="E666">
            <v>5.0799999999999998E-2</v>
          </cell>
        </row>
        <row r="667">
          <cell r="D667" t="str">
            <v>pasta</v>
          </cell>
          <cell r="E667">
            <v>1.06E-2</v>
          </cell>
        </row>
        <row r="668">
          <cell r="D668" t="str">
            <v>fichário</v>
          </cell>
          <cell r="E668">
            <v>1.38E-2</v>
          </cell>
        </row>
        <row r="669">
          <cell r="D669" t="str">
            <v>agenda</v>
          </cell>
          <cell r="E669">
            <v>1.32E-2</v>
          </cell>
        </row>
        <row r="670">
          <cell r="D670" t="str">
            <v>disquete</v>
          </cell>
          <cell r="E670">
            <v>4.1999999999999997E-3</v>
          </cell>
        </row>
        <row r="671">
          <cell r="D671" t="str">
            <v>cartucho para impressora</v>
          </cell>
          <cell r="E671">
            <v>2.8E-3</v>
          </cell>
        </row>
        <row r="672">
          <cell r="D672" t="str">
            <v>caneta</v>
          </cell>
          <cell r="E672">
            <v>2.63E-2</v>
          </cell>
        </row>
        <row r="673">
          <cell r="D673" t="str">
            <v>lápis</v>
          </cell>
          <cell r="E673">
            <v>2.6200000000000001E-2</v>
          </cell>
        </row>
        <row r="674">
          <cell r="D674" t="str">
            <v>lapiseira</v>
          </cell>
          <cell r="E674">
            <v>9.7999999999999997E-3</v>
          </cell>
        </row>
        <row r="675">
          <cell r="D675" t="str">
            <v>grafite</v>
          </cell>
          <cell r="E675">
            <v>2E-3</v>
          </cell>
        </row>
        <row r="676">
          <cell r="D676" t="str">
            <v>régua</v>
          </cell>
          <cell r="E676">
            <v>2E-3</v>
          </cell>
        </row>
        <row r="677">
          <cell r="D677" t="str">
            <v>apontador</v>
          </cell>
          <cell r="E677">
            <v>3.0000000000000001E-3</v>
          </cell>
        </row>
        <row r="678">
          <cell r="D678" t="str">
            <v>borracha</v>
          </cell>
          <cell r="E678">
            <v>3.3999999999999998E-3</v>
          </cell>
        </row>
        <row r="679">
          <cell r="D679" t="str">
            <v>cola</v>
          </cell>
          <cell r="E679">
            <v>1.32E-2</v>
          </cell>
        </row>
        <row r="680">
          <cell r="D680" t="str">
            <v>tesoura</v>
          </cell>
          <cell r="E680">
            <v>3.2000000000000002E-3</v>
          </cell>
        </row>
        <row r="681">
          <cell r="D681" t="str">
            <v>xérox(fins escolares)</v>
          </cell>
          <cell r="E681">
            <v>2.5600000000000001E-2</v>
          </cell>
        </row>
        <row r="682">
          <cell r="D682" t="str">
            <v>estojo</v>
          </cell>
          <cell r="E682">
            <v>1.2800000000000001E-2</v>
          </cell>
        </row>
        <row r="683">
          <cell r="D683" t="str">
            <v>mochila</v>
          </cell>
          <cell r="E683">
            <v>4.5699999999999998E-2</v>
          </cell>
        </row>
        <row r="684">
          <cell r="B684" t="str">
            <v>3. Livros Didáticos</v>
          </cell>
          <cell r="E684">
            <v>0.1469</v>
          </cell>
        </row>
        <row r="685">
          <cell r="D685" t="str">
            <v>livro didático(ensino fundamental)</v>
          </cell>
          <cell r="E685">
            <v>6.5199999999999994E-2</v>
          </cell>
        </row>
        <row r="686">
          <cell r="D686" t="str">
            <v>livro didático(ensino médio)</v>
          </cell>
          <cell r="E686">
            <v>2.9899999999999999E-2</v>
          </cell>
        </row>
        <row r="687">
          <cell r="D687" t="str">
            <v>livro didático(ensino superior)</v>
          </cell>
          <cell r="E687">
            <v>5.1799999999999999E-2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ados Consolidados"/>
      <sheetName val="Demonstrativos Consolidado"/>
      <sheetName val="Demonstrativos Auxiliar"/>
      <sheetName val="Premissas"/>
      <sheetName val="Receita"/>
      <sheetName val="Demonstrativos"/>
      <sheetName val="MACRO Consolidação"/>
      <sheetName val="Dados"/>
      <sheetName val="U&amp;F BNDES"/>
      <sheetName val="DESEMBOLSOS FIANÇA e PONTE"/>
      <sheetName val="U&amp;F Mensal"/>
      <sheetName val="U&amp;F Anual"/>
      <sheetName val="Indexes"/>
      <sheetName val="Custos"/>
      <sheetName val="Ativos"/>
      <sheetName val="Financiamento"/>
      <sheetName val="Impostos"/>
      <sheetName val="Dividendos"/>
      <sheetName val="TIR"/>
      <sheetName val="ICSD"/>
      <sheetName val="ICSD Char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Assumptions"/>
      <sheetName val="Debt"/>
      <sheetName val="Valuation"/>
      <sheetName val="Financials"/>
      <sheetName val="Tables"/>
      <sheetName val="Real Options"/>
      <sheetName val="O&amp;M TBLE"/>
      <sheetName val="IFRS Adjustments"/>
      <sheetName val="IFRS Financials"/>
      <sheetName val="Indicators"/>
      <sheetName val="Assumptions SCC"/>
      <sheetName val="Appendix"/>
      <sheetName val="Results"/>
      <sheetName val="Supporting data"/>
    </sheetNames>
    <sheetDataSet>
      <sheetData sheetId="0"/>
      <sheetData sheetId="1" refreshError="1">
        <row r="14">
          <cell r="C14">
            <v>39082</v>
          </cell>
        </row>
        <row r="15">
          <cell r="C15">
            <v>39447</v>
          </cell>
        </row>
        <row r="26">
          <cell r="D26">
            <v>39447</v>
          </cell>
          <cell r="E26">
            <v>39813</v>
          </cell>
          <cell r="F26">
            <v>40178</v>
          </cell>
          <cell r="G26">
            <v>40543</v>
          </cell>
          <cell r="H26">
            <v>40908</v>
          </cell>
          <cell r="I26">
            <v>41274</v>
          </cell>
          <cell r="J26">
            <v>41639</v>
          </cell>
          <cell r="K26">
            <v>42004</v>
          </cell>
          <cell r="L26">
            <v>42369</v>
          </cell>
          <cell r="M26">
            <v>42735</v>
          </cell>
          <cell r="N26">
            <v>43100</v>
          </cell>
          <cell r="O26">
            <v>43465</v>
          </cell>
          <cell r="P26">
            <v>43830</v>
          </cell>
          <cell r="Q26">
            <v>44196</v>
          </cell>
          <cell r="R26">
            <v>44561</v>
          </cell>
          <cell r="S26">
            <v>44926</v>
          </cell>
          <cell r="T26">
            <v>45291</v>
          </cell>
          <cell r="U26">
            <v>45657</v>
          </cell>
          <cell r="V26">
            <v>46022</v>
          </cell>
          <cell r="W26">
            <v>46387</v>
          </cell>
          <cell r="X26">
            <v>46752</v>
          </cell>
          <cell r="Y26">
            <v>47118</v>
          </cell>
          <cell r="Z26">
            <v>47483</v>
          </cell>
          <cell r="AA26">
            <v>47848</v>
          </cell>
          <cell r="AB26">
            <v>48213</v>
          </cell>
          <cell r="AC26">
            <v>48579</v>
          </cell>
          <cell r="AD26">
            <v>48944</v>
          </cell>
          <cell r="AE26">
            <v>49309</v>
          </cell>
          <cell r="AF26">
            <v>49674</v>
          </cell>
          <cell r="AG26">
            <v>50040</v>
          </cell>
          <cell r="AH26">
            <v>50405</v>
          </cell>
          <cell r="AI26">
            <v>50770</v>
          </cell>
          <cell r="AJ26">
            <v>51135</v>
          </cell>
          <cell r="AK26">
            <v>51501</v>
          </cell>
          <cell r="AL26">
            <v>51866</v>
          </cell>
        </row>
        <row r="27">
          <cell r="D27">
            <v>2.0499999999999998</v>
          </cell>
          <cell r="E27">
            <v>2.1</v>
          </cell>
          <cell r="F27">
            <v>2.14</v>
          </cell>
          <cell r="G27">
            <v>2.1800000000000002</v>
          </cell>
          <cell r="H27">
            <v>2.2400000000000002</v>
          </cell>
          <cell r="I27">
            <v>2.2949019607843137</v>
          </cell>
          <cell r="J27">
            <v>2.3534568685177701</v>
          </cell>
          <cell r="K27">
            <v>2.4135058170766142</v>
          </cell>
          <cell r="L27">
            <v>2.4750869272277352</v>
          </cell>
          <cell r="M27">
            <v>2.538239292397432</v>
          </cell>
          <cell r="N27">
            <v>2.6030030034890252</v>
          </cell>
          <cell r="O27">
            <v>2.669419174333691</v>
          </cell>
          <cell r="P27">
            <v>2.7375299677906844</v>
          </cell>
          <cell r="Q27">
            <v>2.8073786225135087</v>
          </cell>
          <cell r="R27">
            <v>2.8790094803990351</v>
          </cell>
          <cell r="S27">
            <v>2.9524680147369891</v>
          </cell>
          <cell r="T27">
            <v>3.0278008590776779</v>
          </cell>
          <cell r="U27">
            <v>3.1050558368362839</v>
          </cell>
          <cell r="V27">
            <v>3.1842819916525187</v>
          </cell>
          <cell r="W27">
            <v>3.265529618524909</v>
          </cell>
          <cell r="X27">
            <v>3.3488502957394801</v>
          </cell>
          <cell r="Y27">
            <v>3.4342969176131075</v>
          </cell>
          <cell r="Z27">
            <v>3.521923728072323</v>
          </cell>
          <cell r="AA27">
            <v>3.6117863550888885</v>
          </cell>
          <cell r="AB27">
            <v>3.7039418459940023</v>
          </cell>
          <cell r="AC27">
            <v>3.798448703693555</v>
          </cell>
          <cell r="AD27">
            <v>3.895366923807424</v>
          </cell>
          <cell r="AE27">
            <v>3.994758032756387</v>
          </cell>
          <cell r="AF27">
            <v>4.0966851268208284</v>
          </cell>
          <cell r="AG27">
            <v>4.2012129121960413</v>
          </cell>
          <cell r="AH27">
            <v>4.308407746069542</v>
          </cell>
          <cell r="AI27">
            <v>4.4183376787464885</v>
          </cell>
          <cell r="AJ27">
            <v>4.5310724968499319</v>
          </cell>
          <cell r="AK27">
            <v>4.6466837676233359</v>
          </cell>
          <cell r="AL27">
            <v>4.7652448843634803</v>
          </cell>
        </row>
        <row r="28">
          <cell r="D28">
            <v>1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1</v>
          </cell>
          <cell r="AL28">
            <v>1</v>
          </cell>
        </row>
        <row r="29">
          <cell r="D29">
            <v>1.42</v>
          </cell>
          <cell r="E29">
            <v>1.43</v>
          </cell>
          <cell r="F29">
            <v>1.44</v>
          </cell>
          <cell r="G29">
            <v>1.45</v>
          </cell>
          <cell r="H29">
            <v>1.46</v>
          </cell>
          <cell r="I29">
            <v>1.47</v>
          </cell>
          <cell r="J29">
            <v>1.48</v>
          </cell>
          <cell r="K29">
            <v>1.49</v>
          </cell>
          <cell r="L29">
            <v>1.5</v>
          </cell>
          <cell r="M29">
            <v>1.51</v>
          </cell>
          <cell r="N29">
            <v>1.51</v>
          </cell>
          <cell r="O29">
            <v>1.51</v>
          </cell>
          <cell r="P29">
            <v>1.51</v>
          </cell>
          <cell r="Q29">
            <v>1.51</v>
          </cell>
          <cell r="R29">
            <v>1.51</v>
          </cell>
          <cell r="S29">
            <v>1.51</v>
          </cell>
          <cell r="T29">
            <v>1.51</v>
          </cell>
          <cell r="U29">
            <v>1.51</v>
          </cell>
          <cell r="V29">
            <v>1.51</v>
          </cell>
          <cell r="W29">
            <v>1.51</v>
          </cell>
          <cell r="X29">
            <v>1.51</v>
          </cell>
          <cell r="Y29">
            <v>1.51</v>
          </cell>
          <cell r="Z29">
            <v>1.51</v>
          </cell>
          <cell r="AA29">
            <v>1.51</v>
          </cell>
          <cell r="AB29">
            <v>1.51</v>
          </cell>
          <cell r="AC29">
            <v>1.51</v>
          </cell>
          <cell r="AD29">
            <v>1.51</v>
          </cell>
          <cell r="AE29">
            <v>1.51</v>
          </cell>
          <cell r="AF29">
            <v>1.51</v>
          </cell>
          <cell r="AG29">
            <v>1.51</v>
          </cell>
          <cell r="AH29">
            <v>1.51</v>
          </cell>
          <cell r="AI29">
            <v>1.51</v>
          </cell>
          <cell r="AJ29">
            <v>1.51</v>
          </cell>
          <cell r="AK29">
            <v>1.51</v>
          </cell>
          <cell r="AL29">
            <v>1.51</v>
          </cell>
        </row>
        <row r="30">
          <cell r="D30">
            <v>2.9109999999999996</v>
          </cell>
          <cell r="E30">
            <v>3.0030000000000001</v>
          </cell>
          <cell r="F30">
            <v>3.0815999999999999</v>
          </cell>
          <cell r="G30">
            <v>3.161</v>
          </cell>
          <cell r="H30">
            <v>3.2704000000000004</v>
          </cell>
          <cell r="I30">
            <v>3.3735058823529411</v>
          </cell>
          <cell r="J30">
            <v>3.4831161654062996</v>
          </cell>
          <cell r="K30">
            <v>3.596123667444155</v>
          </cell>
          <cell r="L30">
            <v>3.7126303908416025</v>
          </cell>
          <cell r="M30">
            <v>3.8327413315201224</v>
          </cell>
          <cell r="N30">
            <v>3.930534535268428</v>
          </cell>
          <cell r="O30">
            <v>4.0308229532438737</v>
          </cell>
          <cell r="P30">
            <v>4.1336702513639336</v>
          </cell>
          <cell r="Q30">
            <v>4.2391417199953985</v>
          </cell>
          <cell r="R30">
            <v>4.3473043154025435</v>
          </cell>
          <cell r="S30">
            <v>4.4582267022528539</v>
          </cell>
          <cell r="T30">
            <v>4.5719792972072941</v>
          </cell>
          <cell r="U30">
            <v>4.6886343136227886</v>
          </cell>
          <cell r="V30">
            <v>4.8082658073953031</v>
          </cell>
          <cell r="W30">
            <v>4.9309497239726126</v>
          </cell>
          <cell r="X30">
            <v>5.0567639465666154</v>
          </cell>
          <cell r="Y30">
            <v>5.1857883455957925</v>
          </cell>
          <cell r="Z30">
            <v>5.3181048293892079</v>
          </cell>
          <cell r="AA30">
            <v>5.4537973961842212</v>
          </cell>
          <cell r="AB30">
            <v>5.5929521874509431</v>
          </cell>
          <cell r="AC30">
            <v>5.7356575425772682</v>
          </cell>
          <cell r="AD30">
            <v>5.8820040549492099</v>
          </cell>
          <cell r="AE30">
            <v>6.032084629462144</v>
          </cell>
          <cell r="AF30">
            <v>6.1859945414994506</v>
          </cell>
          <cell r="AG30">
            <v>6.3438314974160228</v>
          </cell>
          <cell r="AH30">
            <v>6.5056956965650086</v>
          </cell>
          <cell r="AI30">
            <v>6.6716898949071979</v>
          </cell>
          <cell r="AJ30">
            <v>6.841919470243397</v>
          </cell>
          <cell r="AK30">
            <v>7.0164924891112372</v>
          </cell>
          <cell r="AL30">
            <v>7.1955197753888553</v>
          </cell>
        </row>
        <row r="31">
          <cell r="D31">
            <v>2.0939999999999999</v>
          </cell>
          <cell r="E31">
            <v>2.0750000000000002</v>
          </cell>
          <cell r="F31">
            <v>2.12</v>
          </cell>
          <cell r="G31">
            <v>2.16</v>
          </cell>
          <cell r="H31">
            <v>2.21</v>
          </cell>
          <cell r="I31">
            <v>2.267450980392157</v>
          </cell>
          <cell r="J31">
            <v>2.3241794146510419</v>
          </cell>
          <cell r="K31">
            <v>2.3834813427971921</v>
          </cell>
          <cell r="L31">
            <v>2.4442963721521744</v>
          </cell>
          <cell r="M31">
            <v>2.5066631098125836</v>
          </cell>
          <cell r="N31">
            <v>2.5706211479432284</v>
          </cell>
          <cell r="O31">
            <v>2.6362110889113581</v>
          </cell>
          <cell r="P31">
            <v>2.7034745710621877</v>
          </cell>
          <cell r="Q31">
            <v>2.7724542951520963</v>
          </cell>
          <cell r="R31">
            <v>2.8431940514562717</v>
          </cell>
          <cell r="S31">
            <v>2.9157387475680121</v>
          </cell>
          <cell r="T31">
            <v>2.9901344369073337</v>
          </cell>
          <cell r="U31">
            <v>3.0664283479569807</v>
          </cell>
          <cell r="V31">
            <v>3.1446689142444013</v>
          </cell>
          <cell r="W31">
            <v>3.2249058050887136</v>
          </cell>
          <cell r="X31">
            <v>3.3071899571321945</v>
          </cell>
          <cell r="Y31">
            <v>3.3915736066762938</v>
          </cell>
          <cell r="Z31">
            <v>3.4781103228427153</v>
          </cell>
          <cell r="AA31">
            <v>3.566855041580606</v>
          </cell>
          <cell r="AB31">
            <v>3.6578641005414454</v>
          </cell>
          <cell r="AC31">
            <v>3.7511952748437789</v>
          </cell>
          <cell r="AD31">
            <v>3.8469078137504895</v>
          </cell>
          <cell r="AE31">
            <v>3.9450624782819057</v>
          </cell>
          <cell r="AF31">
            <v>4.0457215797886077</v>
          </cell>
          <cell r="AG31">
            <v>4.1489490195084349</v>
          </cell>
          <cell r="AH31">
            <v>4.2548103291327912</v>
          </cell>
          <cell r="AI31">
            <v>4.3633727124080153</v>
          </cell>
          <cell r="AJ31">
            <v>4.4747050877982097</v>
          </cell>
          <cell r="AK31">
            <v>4.5888781322366334</v>
          </cell>
          <cell r="AL31">
            <v>4.7059643259934081</v>
          </cell>
        </row>
        <row r="32">
          <cell r="D32">
            <v>1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</row>
        <row r="33">
          <cell r="D33">
            <v>1.3695509822263798</v>
          </cell>
          <cell r="E33">
            <v>1.4249999999999998</v>
          </cell>
          <cell r="F33">
            <v>1.4350000000000001</v>
          </cell>
          <cell r="G33">
            <v>1.4449999999999998</v>
          </cell>
          <cell r="H33">
            <v>1.4550000000000001</v>
          </cell>
          <cell r="I33">
            <v>1.4649999999999999</v>
          </cell>
          <cell r="J33">
            <v>1.4750000000000001</v>
          </cell>
          <cell r="K33">
            <v>1.4849999999999999</v>
          </cell>
          <cell r="L33">
            <v>1.4950000000000001</v>
          </cell>
          <cell r="M33">
            <v>1.5049999999999999</v>
          </cell>
          <cell r="N33">
            <v>1.51</v>
          </cell>
          <cell r="O33">
            <v>1.51</v>
          </cell>
          <cell r="P33">
            <v>1.51</v>
          </cell>
          <cell r="Q33">
            <v>1.51</v>
          </cell>
          <cell r="R33">
            <v>1.51</v>
          </cell>
          <cell r="S33">
            <v>1.51</v>
          </cell>
          <cell r="T33">
            <v>1.51</v>
          </cell>
          <cell r="U33">
            <v>1.51</v>
          </cell>
          <cell r="V33">
            <v>1.51</v>
          </cell>
          <cell r="W33">
            <v>1.51</v>
          </cell>
          <cell r="X33">
            <v>1.51</v>
          </cell>
          <cell r="Y33">
            <v>1.51</v>
          </cell>
          <cell r="Z33">
            <v>1.51</v>
          </cell>
          <cell r="AA33">
            <v>1.51</v>
          </cell>
          <cell r="AB33">
            <v>1.51</v>
          </cell>
          <cell r="AC33">
            <v>1.51</v>
          </cell>
          <cell r="AD33">
            <v>1.51</v>
          </cell>
          <cell r="AE33">
            <v>1.51</v>
          </cell>
          <cell r="AF33">
            <v>1.51</v>
          </cell>
          <cell r="AG33">
            <v>1.51</v>
          </cell>
          <cell r="AH33">
            <v>1.51</v>
          </cell>
          <cell r="AI33">
            <v>1.51</v>
          </cell>
          <cell r="AJ33">
            <v>1.51</v>
          </cell>
          <cell r="AK33">
            <v>1.51</v>
          </cell>
          <cell r="AL33">
            <v>1.51</v>
          </cell>
        </row>
        <row r="34">
          <cell r="D34">
            <v>2.8656199999999998</v>
          </cell>
          <cell r="E34">
            <v>2.9569999999999999</v>
          </cell>
          <cell r="F34">
            <v>3.0423</v>
          </cell>
          <cell r="G34">
            <v>3.1212999999999997</v>
          </cell>
          <cell r="H34">
            <v>3.2157</v>
          </cell>
          <cell r="I34">
            <v>3.3219529411764706</v>
          </cell>
          <cell r="J34">
            <v>3.4283110238796204</v>
          </cell>
          <cell r="K34">
            <v>3.5396199164252273</v>
          </cell>
          <cell r="L34">
            <v>3.6543770291428785</v>
          </cell>
          <cell r="M34">
            <v>3.7726858611808627</v>
          </cell>
          <cell r="N34">
            <v>3.8816379333942752</v>
          </cell>
          <cell r="O34">
            <v>3.9806787442561511</v>
          </cell>
          <cell r="P34">
            <v>4.0822466023039041</v>
          </cell>
          <cell r="Q34">
            <v>4.1864059856796665</v>
          </cell>
          <cell r="R34">
            <v>4.2932230176989705</v>
          </cell>
          <cell r="S34">
            <v>4.4027655088276987</v>
          </cell>
          <cell r="T34">
            <v>4.5151029997300736</v>
          </cell>
          <cell r="U34">
            <v>4.6303068054150414</v>
          </cell>
          <cell r="V34">
            <v>4.7484500605090458</v>
          </cell>
          <cell r="W34">
            <v>4.8696077656839574</v>
          </cell>
          <cell r="X34">
            <v>4.9938568352696144</v>
          </cell>
          <cell r="Y34">
            <v>5.121276146081204</v>
          </cell>
          <cell r="Z34">
            <v>5.2519465874925002</v>
          </cell>
          <cell r="AA34">
            <v>5.3859511127867146</v>
          </cell>
          <cell r="AB34">
            <v>5.5233747918175826</v>
          </cell>
          <cell r="AC34">
            <v>5.6643048650141061</v>
          </cell>
          <cell r="AD34">
            <v>5.808830798763239</v>
          </cell>
          <cell r="AE34">
            <v>5.9570443422056769</v>
          </cell>
          <cell r="AF34">
            <v>6.1090395854807973</v>
          </cell>
          <cell r="AG34">
            <v>6.2649130194577367</v>
          </cell>
          <cell r="AH34">
            <v>6.4247635969905161</v>
          </cell>
          <cell r="AI34">
            <v>6.5886927957361028</v>
          </cell>
          <cell r="AJ34">
            <v>6.7568046825752974</v>
          </cell>
          <cell r="AK34">
            <v>6.9292059796773167</v>
          </cell>
          <cell r="AL34">
            <v>7.1060061322500463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Assumptions"/>
      <sheetName val="Indexes"/>
      <sheetName val="Construction Budget"/>
      <sheetName val="Investments"/>
      <sheetName val="Revenues"/>
      <sheetName val="O&amp;M"/>
      <sheetName val="Sources"/>
      <sheetName val="Financing"/>
      <sheetName val="Uses &amp; Depreciation"/>
      <sheetName val="Sources and Uses"/>
      <sheetName val="New Loans"/>
      <sheetName val="Taxes"/>
      <sheetName val="Dividends"/>
      <sheetName val="Income Statement"/>
      <sheetName val="Cash Flow"/>
      <sheetName val="Balance Sheet"/>
      <sheetName val="TIR&amp;NPV"/>
      <sheetName val="Circularity"/>
    </sheetNames>
    <sheetDataSet>
      <sheetData sheetId="0"/>
      <sheetData sheetId="1" refreshError="1">
        <row r="30">
          <cell r="B30">
            <v>38899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T94=100"/>
      <sheetName val="FATX11"/>
      <sheetName val="VENDASFISICAS"/>
      <sheetName val="GRÁFICOS"/>
      <sheetName val="Ponderações"/>
      <sheetName val="_VENDASX11"/>
      <sheetName val="var. t_ t-1"/>
      <sheetName val="var. t_ t-12"/>
      <sheetName val="Fixed Assets"/>
      <sheetName val="Ve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Revenues, COGS &amp; SG&amp;A"/>
      <sheetName val="Fixed Assets &amp; CAPEX"/>
      <sheetName val="Working Capital"/>
      <sheetName val="Contingencies"/>
      <sheetName val="Investments"/>
      <sheetName val="ST Inv. &amp; Debt"/>
      <sheetName val="Goodwill, Taxes &amp; Div."/>
      <sheetName val="Balance Sheet"/>
      <sheetName val="Income Statement"/>
      <sheetName val="Cash Flow"/>
      <sheetName val="Macroeconomics Quarterly"/>
      <sheetName val="Curves"/>
      <sheetName val="Feriados"/>
      <sheetName val="An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>
            <v>35796</v>
          </cell>
        </row>
        <row r="3">
          <cell r="A3">
            <v>35849</v>
          </cell>
        </row>
        <row r="4">
          <cell r="A4">
            <v>35850</v>
          </cell>
        </row>
        <row r="5">
          <cell r="A5">
            <v>35894</v>
          </cell>
        </row>
        <row r="6">
          <cell r="A6">
            <v>35895</v>
          </cell>
        </row>
        <row r="7">
          <cell r="A7">
            <v>35906</v>
          </cell>
        </row>
        <row r="8">
          <cell r="A8">
            <v>35916</v>
          </cell>
        </row>
        <row r="9">
          <cell r="A9">
            <v>35957</v>
          </cell>
        </row>
        <row r="10">
          <cell r="A10">
            <v>36045</v>
          </cell>
        </row>
        <row r="11">
          <cell r="A11">
            <v>36080</v>
          </cell>
        </row>
        <row r="12">
          <cell r="A12">
            <v>36101</v>
          </cell>
        </row>
        <row r="13">
          <cell r="A13">
            <v>36114</v>
          </cell>
        </row>
        <row r="14">
          <cell r="A14">
            <v>36154</v>
          </cell>
        </row>
        <row r="15">
          <cell r="A15">
            <v>36161</v>
          </cell>
        </row>
        <row r="16">
          <cell r="A16">
            <v>36206</v>
          </cell>
        </row>
        <row r="17">
          <cell r="A17">
            <v>36207</v>
          </cell>
        </row>
        <row r="18">
          <cell r="A18">
            <v>36251</v>
          </cell>
        </row>
        <row r="19">
          <cell r="A19">
            <v>36252</v>
          </cell>
        </row>
        <row r="20">
          <cell r="A20">
            <v>36271</v>
          </cell>
        </row>
        <row r="21">
          <cell r="A21">
            <v>36281</v>
          </cell>
        </row>
        <row r="22">
          <cell r="A22">
            <v>36314</v>
          </cell>
        </row>
        <row r="23">
          <cell r="A23">
            <v>36410</v>
          </cell>
        </row>
        <row r="24">
          <cell r="A24">
            <v>36445</v>
          </cell>
        </row>
        <row r="25">
          <cell r="A25">
            <v>36466</v>
          </cell>
        </row>
        <row r="26">
          <cell r="A26">
            <v>36479</v>
          </cell>
        </row>
        <row r="27">
          <cell r="A27">
            <v>36519</v>
          </cell>
        </row>
        <row r="28">
          <cell r="A28">
            <v>36526</v>
          </cell>
        </row>
        <row r="29">
          <cell r="A29">
            <v>36591</v>
          </cell>
        </row>
        <row r="30">
          <cell r="A30">
            <v>36592</v>
          </cell>
        </row>
        <row r="31">
          <cell r="A31">
            <v>36637</v>
          </cell>
        </row>
        <row r="32">
          <cell r="A32">
            <v>36647</v>
          </cell>
        </row>
        <row r="33">
          <cell r="A33">
            <v>36699</v>
          </cell>
        </row>
        <row r="34">
          <cell r="A34">
            <v>36776</v>
          </cell>
        </row>
        <row r="35">
          <cell r="A35">
            <v>36811</v>
          </cell>
        </row>
        <row r="36">
          <cell r="A36">
            <v>36832</v>
          </cell>
        </row>
        <row r="37">
          <cell r="A37">
            <v>36845</v>
          </cell>
        </row>
        <row r="38">
          <cell r="A38">
            <v>36885</v>
          </cell>
        </row>
        <row r="39">
          <cell r="A39">
            <v>36892</v>
          </cell>
        </row>
        <row r="40">
          <cell r="A40">
            <v>36948</v>
          </cell>
        </row>
        <row r="41">
          <cell r="A41">
            <v>36949</v>
          </cell>
        </row>
        <row r="42">
          <cell r="A42">
            <v>36994</v>
          </cell>
        </row>
        <row r="43">
          <cell r="A43">
            <v>37002</v>
          </cell>
        </row>
        <row r="44">
          <cell r="A44">
            <v>37012</v>
          </cell>
        </row>
        <row r="45">
          <cell r="A45">
            <v>37056</v>
          </cell>
        </row>
        <row r="46">
          <cell r="A46">
            <v>37141</v>
          </cell>
        </row>
        <row r="47">
          <cell r="A47">
            <v>37176</v>
          </cell>
        </row>
        <row r="48">
          <cell r="A48">
            <v>37197</v>
          </cell>
        </row>
        <row r="49">
          <cell r="A49">
            <v>37210</v>
          </cell>
        </row>
        <row r="50">
          <cell r="A50">
            <v>37250</v>
          </cell>
        </row>
        <row r="51">
          <cell r="A51">
            <v>37257</v>
          </cell>
        </row>
        <row r="52">
          <cell r="A52">
            <v>37298</v>
          </cell>
        </row>
        <row r="53">
          <cell r="A53">
            <v>37299</v>
          </cell>
        </row>
        <row r="54">
          <cell r="A54">
            <v>37344</v>
          </cell>
        </row>
        <row r="55">
          <cell r="A55">
            <v>37367</v>
          </cell>
        </row>
        <row r="56">
          <cell r="A56">
            <v>37377</v>
          </cell>
        </row>
        <row r="57">
          <cell r="A57">
            <v>37406</v>
          </cell>
        </row>
        <row r="58">
          <cell r="A58">
            <v>37506</v>
          </cell>
        </row>
        <row r="59">
          <cell r="A59">
            <v>37541</v>
          </cell>
        </row>
        <row r="60">
          <cell r="A60">
            <v>37562</v>
          </cell>
        </row>
        <row r="61">
          <cell r="A61">
            <v>37575</v>
          </cell>
        </row>
        <row r="62">
          <cell r="A62">
            <v>37615</v>
          </cell>
        </row>
        <row r="63">
          <cell r="A63">
            <v>37622</v>
          </cell>
        </row>
        <row r="64">
          <cell r="A64">
            <v>37683</v>
          </cell>
        </row>
        <row r="65">
          <cell r="A65">
            <v>37684</v>
          </cell>
        </row>
        <row r="66">
          <cell r="A66">
            <v>37729</v>
          </cell>
        </row>
        <row r="67">
          <cell r="A67">
            <v>37732</v>
          </cell>
        </row>
        <row r="68">
          <cell r="A68">
            <v>37742</v>
          </cell>
        </row>
        <row r="69">
          <cell r="A69">
            <v>37791</v>
          </cell>
        </row>
        <row r="70">
          <cell r="A70">
            <v>37871</v>
          </cell>
        </row>
        <row r="71">
          <cell r="A71">
            <v>37906</v>
          </cell>
        </row>
        <row r="72">
          <cell r="A72">
            <v>37927</v>
          </cell>
        </row>
        <row r="73">
          <cell r="A73">
            <v>37940</v>
          </cell>
        </row>
        <row r="74">
          <cell r="A74">
            <v>37980</v>
          </cell>
        </row>
        <row r="75">
          <cell r="A75">
            <v>37987</v>
          </cell>
        </row>
        <row r="76">
          <cell r="A76">
            <v>38040</v>
          </cell>
        </row>
        <row r="77">
          <cell r="A77">
            <v>38041</v>
          </cell>
        </row>
        <row r="78">
          <cell r="A78">
            <v>38086</v>
          </cell>
        </row>
        <row r="79">
          <cell r="A79">
            <v>38098</v>
          </cell>
        </row>
        <row r="80">
          <cell r="A80">
            <v>38108</v>
          </cell>
        </row>
        <row r="81">
          <cell r="A81">
            <v>38148</v>
          </cell>
        </row>
        <row r="82">
          <cell r="A82">
            <v>38237</v>
          </cell>
        </row>
        <row r="83">
          <cell r="A83">
            <v>38272</v>
          </cell>
        </row>
        <row r="84">
          <cell r="A84">
            <v>38293</v>
          </cell>
        </row>
        <row r="85">
          <cell r="A85">
            <v>38306</v>
          </cell>
        </row>
        <row r="86">
          <cell r="A86">
            <v>38346</v>
          </cell>
        </row>
        <row r="87">
          <cell r="A87">
            <v>38353</v>
          </cell>
        </row>
        <row r="88">
          <cell r="A88">
            <v>38390</v>
          </cell>
        </row>
        <row r="89">
          <cell r="A89">
            <v>38391</v>
          </cell>
        </row>
        <row r="90">
          <cell r="A90">
            <v>38436</v>
          </cell>
        </row>
        <row r="91">
          <cell r="A91">
            <v>38463</v>
          </cell>
        </row>
        <row r="92">
          <cell r="A92">
            <v>38473</v>
          </cell>
        </row>
        <row r="93">
          <cell r="A93">
            <v>38498</v>
          </cell>
        </row>
        <row r="94">
          <cell r="A94">
            <v>38602</v>
          </cell>
        </row>
        <row r="95">
          <cell r="A95">
            <v>38637</v>
          </cell>
        </row>
        <row r="96">
          <cell r="A96">
            <v>38658</v>
          </cell>
        </row>
        <row r="97">
          <cell r="A97">
            <v>38671</v>
          </cell>
        </row>
        <row r="98">
          <cell r="A98">
            <v>38711</v>
          </cell>
        </row>
        <row r="99">
          <cell r="A99">
            <v>38718</v>
          </cell>
        </row>
        <row r="100">
          <cell r="A100">
            <v>38775</v>
          </cell>
        </row>
        <row r="101">
          <cell r="A101">
            <v>38776</v>
          </cell>
        </row>
        <row r="102">
          <cell r="A102">
            <v>38821</v>
          </cell>
        </row>
        <row r="103">
          <cell r="A103">
            <v>38828</v>
          </cell>
        </row>
        <row r="104">
          <cell r="A104">
            <v>38838</v>
          </cell>
        </row>
        <row r="105">
          <cell r="A105">
            <v>38883</v>
          </cell>
        </row>
        <row r="106">
          <cell r="A106">
            <v>38967</v>
          </cell>
        </row>
        <row r="107">
          <cell r="A107">
            <v>39002</v>
          </cell>
        </row>
        <row r="108">
          <cell r="A108">
            <v>39023</v>
          </cell>
        </row>
        <row r="109">
          <cell r="A109">
            <v>39036</v>
          </cell>
        </row>
        <row r="110">
          <cell r="A110">
            <v>39076</v>
          </cell>
        </row>
        <row r="111">
          <cell r="A111">
            <v>39083</v>
          </cell>
        </row>
        <row r="112">
          <cell r="A112">
            <v>39132</v>
          </cell>
        </row>
        <row r="113">
          <cell r="A113">
            <v>39133</v>
          </cell>
        </row>
        <row r="114">
          <cell r="A114">
            <v>39178</v>
          </cell>
        </row>
        <row r="115">
          <cell r="A115">
            <v>39193</v>
          </cell>
        </row>
        <row r="116">
          <cell r="A116">
            <v>39203</v>
          </cell>
        </row>
        <row r="117">
          <cell r="A117">
            <v>39240</v>
          </cell>
        </row>
        <row r="118">
          <cell r="A118">
            <v>39332</v>
          </cell>
        </row>
        <row r="119">
          <cell r="A119">
            <v>39367</v>
          </cell>
        </row>
        <row r="120">
          <cell r="A120">
            <v>39388</v>
          </cell>
        </row>
        <row r="121">
          <cell r="A121">
            <v>39401</v>
          </cell>
        </row>
        <row r="122">
          <cell r="A122">
            <v>39441</v>
          </cell>
        </row>
        <row r="123">
          <cell r="A123">
            <v>39448</v>
          </cell>
        </row>
        <row r="124">
          <cell r="A124">
            <v>39482</v>
          </cell>
        </row>
        <row r="125">
          <cell r="A125">
            <v>39483</v>
          </cell>
        </row>
        <row r="126">
          <cell r="A126">
            <v>39528</v>
          </cell>
        </row>
        <row r="127">
          <cell r="A127">
            <v>39559</v>
          </cell>
        </row>
        <row r="128">
          <cell r="A128">
            <v>39569</v>
          </cell>
        </row>
        <row r="129">
          <cell r="A129">
            <v>39590</v>
          </cell>
        </row>
        <row r="130">
          <cell r="A130">
            <v>39698</v>
          </cell>
        </row>
        <row r="131">
          <cell r="A131">
            <v>39733</v>
          </cell>
        </row>
        <row r="132">
          <cell r="A132">
            <v>39754</v>
          </cell>
        </row>
        <row r="133">
          <cell r="A133">
            <v>39767</v>
          </cell>
        </row>
        <row r="134">
          <cell r="A134">
            <v>39807</v>
          </cell>
        </row>
        <row r="135">
          <cell r="A135">
            <v>39814</v>
          </cell>
        </row>
        <row r="136">
          <cell r="A136">
            <v>39867</v>
          </cell>
        </row>
        <row r="137">
          <cell r="A137">
            <v>39868</v>
          </cell>
        </row>
        <row r="138">
          <cell r="A138">
            <v>39913</v>
          </cell>
        </row>
        <row r="139">
          <cell r="A139">
            <v>39924</v>
          </cell>
        </row>
        <row r="140">
          <cell r="A140">
            <v>39934</v>
          </cell>
        </row>
        <row r="141">
          <cell r="A141">
            <v>39975</v>
          </cell>
        </row>
        <row r="142">
          <cell r="A142">
            <v>40063</v>
          </cell>
        </row>
        <row r="143">
          <cell r="A143">
            <v>40098</v>
          </cell>
        </row>
        <row r="144">
          <cell r="A144">
            <v>40119</v>
          </cell>
        </row>
        <row r="145">
          <cell r="A145">
            <v>40132</v>
          </cell>
        </row>
        <row r="146">
          <cell r="A146">
            <v>40172</v>
          </cell>
        </row>
        <row r="147">
          <cell r="A147">
            <v>40179</v>
          </cell>
        </row>
        <row r="148">
          <cell r="A148">
            <v>40224</v>
          </cell>
        </row>
        <row r="149">
          <cell r="A149">
            <v>40225</v>
          </cell>
        </row>
        <row r="150">
          <cell r="A150">
            <v>40270</v>
          </cell>
        </row>
        <row r="151">
          <cell r="A151">
            <v>40289</v>
          </cell>
        </row>
        <row r="152">
          <cell r="A152">
            <v>40299</v>
          </cell>
        </row>
        <row r="153">
          <cell r="A153">
            <v>40332</v>
          </cell>
        </row>
        <row r="154">
          <cell r="A154">
            <v>40428</v>
          </cell>
        </row>
        <row r="155">
          <cell r="A155">
            <v>40463</v>
          </cell>
        </row>
        <row r="156">
          <cell r="A156">
            <v>40484</v>
          </cell>
        </row>
        <row r="157">
          <cell r="A157">
            <v>40497</v>
          </cell>
        </row>
        <row r="158">
          <cell r="A158">
            <v>40537</v>
          </cell>
        </row>
        <row r="159">
          <cell r="A159">
            <v>40544</v>
          </cell>
        </row>
        <row r="160">
          <cell r="A160">
            <v>40609</v>
          </cell>
        </row>
        <row r="161">
          <cell r="A161">
            <v>40610</v>
          </cell>
        </row>
        <row r="162">
          <cell r="A162">
            <v>40654</v>
          </cell>
        </row>
        <row r="163">
          <cell r="A163">
            <v>40655</v>
          </cell>
        </row>
        <row r="164">
          <cell r="A164">
            <v>40664</v>
          </cell>
        </row>
        <row r="165">
          <cell r="A165">
            <v>40717</v>
          </cell>
        </row>
        <row r="166">
          <cell r="A166">
            <v>40793</v>
          </cell>
        </row>
        <row r="167">
          <cell r="A167">
            <v>40828</v>
          </cell>
        </row>
        <row r="168">
          <cell r="A168">
            <v>40849</v>
          </cell>
        </row>
        <row r="169">
          <cell r="A169">
            <v>40862</v>
          </cell>
        </row>
        <row r="170">
          <cell r="A170">
            <v>40902</v>
          </cell>
        </row>
        <row r="171">
          <cell r="A171">
            <v>40909</v>
          </cell>
        </row>
        <row r="172">
          <cell r="A172">
            <v>40959</v>
          </cell>
        </row>
        <row r="173">
          <cell r="A173">
            <v>40960</v>
          </cell>
        </row>
        <row r="174">
          <cell r="A174">
            <v>41005</v>
          </cell>
        </row>
        <row r="175">
          <cell r="A175">
            <v>41020</v>
          </cell>
        </row>
        <row r="176">
          <cell r="A176">
            <v>41030</v>
          </cell>
        </row>
        <row r="177">
          <cell r="A177">
            <v>41067</v>
          </cell>
        </row>
        <row r="178">
          <cell r="A178">
            <v>41159</v>
          </cell>
        </row>
        <row r="179">
          <cell r="A179">
            <v>41194</v>
          </cell>
        </row>
        <row r="180">
          <cell r="A180">
            <v>41215</v>
          </cell>
        </row>
        <row r="181">
          <cell r="A181">
            <v>41228</v>
          </cell>
        </row>
        <row r="182">
          <cell r="A182">
            <v>41268</v>
          </cell>
        </row>
        <row r="183">
          <cell r="A183">
            <v>41275</v>
          </cell>
        </row>
        <row r="184">
          <cell r="A184">
            <v>41316</v>
          </cell>
        </row>
        <row r="185">
          <cell r="A185">
            <v>41317</v>
          </cell>
        </row>
        <row r="186">
          <cell r="A186">
            <v>41362</v>
          </cell>
        </row>
        <row r="187">
          <cell r="A187">
            <v>41385</v>
          </cell>
        </row>
        <row r="188">
          <cell r="A188">
            <v>41395</v>
          </cell>
        </row>
        <row r="189">
          <cell r="A189">
            <v>41424</v>
          </cell>
        </row>
        <row r="190">
          <cell r="A190">
            <v>41524</v>
          </cell>
        </row>
        <row r="191">
          <cell r="A191">
            <v>41559</v>
          </cell>
        </row>
        <row r="192">
          <cell r="A192">
            <v>41580</v>
          </cell>
        </row>
        <row r="193">
          <cell r="A193">
            <v>41593</v>
          </cell>
        </row>
        <row r="194">
          <cell r="A194">
            <v>41633</v>
          </cell>
        </row>
        <row r="195">
          <cell r="A195">
            <v>41640</v>
          </cell>
        </row>
        <row r="196">
          <cell r="A196">
            <v>41701</v>
          </cell>
        </row>
        <row r="197">
          <cell r="A197">
            <v>41702</v>
          </cell>
        </row>
        <row r="198">
          <cell r="A198">
            <v>41747</v>
          </cell>
        </row>
        <row r="199">
          <cell r="A199">
            <v>41750</v>
          </cell>
        </row>
        <row r="200">
          <cell r="A200">
            <v>41760</v>
          </cell>
        </row>
        <row r="201">
          <cell r="A201">
            <v>41809</v>
          </cell>
        </row>
        <row r="202">
          <cell r="A202">
            <v>41889</v>
          </cell>
        </row>
        <row r="203">
          <cell r="A203">
            <v>41924</v>
          </cell>
        </row>
        <row r="204">
          <cell r="A204">
            <v>41945</v>
          </cell>
        </row>
        <row r="205">
          <cell r="A205">
            <v>41958</v>
          </cell>
        </row>
        <row r="206">
          <cell r="A206">
            <v>41998</v>
          </cell>
        </row>
        <row r="207">
          <cell r="A207">
            <v>42005</v>
          </cell>
        </row>
        <row r="208">
          <cell r="A208">
            <v>42051</v>
          </cell>
        </row>
        <row r="209">
          <cell r="A209">
            <v>42052</v>
          </cell>
        </row>
        <row r="210">
          <cell r="A210">
            <v>42097</v>
          </cell>
        </row>
        <row r="211">
          <cell r="A211">
            <v>42115</v>
          </cell>
        </row>
        <row r="212">
          <cell r="A212">
            <v>42125</v>
          </cell>
        </row>
        <row r="213">
          <cell r="A213">
            <v>42159</v>
          </cell>
        </row>
        <row r="214">
          <cell r="A214">
            <v>42254</v>
          </cell>
        </row>
        <row r="215">
          <cell r="A215">
            <v>42289</v>
          </cell>
        </row>
        <row r="216">
          <cell r="A216">
            <v>42310</v>
          </cell>
        </row>
        <row r="217">
          <cell r="A217">
            <v>42323</v>
          </cell>
        </row>
        <row r="218">
          <cell r="A218">
            <v>42363</v>
          </cell>
        </row>
        <row r="219">
          <cell r="A219">
            <v>42370</v>
          </cell>
        </row>
        <row r="220">
          <cell r="A220">
            <v>42408</v>
          </cell>
        </row>
        <row r="221">
          <cell r="A221">
            <v>42409</v>
          </cell>
        </row>
        <row r="222">
          <cell r="A222">
            <v>42454</v>
          </cell>
        </row>
        <row r="223">
          <cell r="A223">
            <v>42481</v>
          </cell>
        </row>
        <row r="224">
          <cell r="A224">
            <v>42491</v>
          </cell>
        </row>
        <row r="225">
          <cell r="A225">
            <v>42516</v>
          </cell>
        </row>
        <row r="226">
          <cell r="A226">
            <v>42620</v>
          </cell>
        </row>
        <row r="227">
          <cell r="A227">
            <v>42655</v>
          </cell>
        </row>
        <row r="228">
          <cell r="A228">
            <v>42676</v>
          </cell>
        </row>
        <row r="229">
          <cell r="A229">
            <v>42689</v>
          </cell>
        </row>
        <row r="230">
          <cell r="A230">
            <v>42729</v>
          </cell>
        </row>
        <row r="231">
          <cell r="A231">
            <v>42736</v>
          </cell>
        </row>
        <row r="232">
          <cell r="A232">
            <v>42793</v>
          </cell>
        </row>
        <row r="233">
          <cell r="A233">
            <v>42794</v>
          </cell>
        </row>
        <row r="234">
          <cell r="A234">
            <v>42839</v>
          </cell>
        </row>
        <row r="235">
          <cell r="A235">
            <v>42846</v>
          </cell>
        </row>
        <row r="236">
          <cell r="A236">
            <v>42856</v>
          </cell>
        </row>
        <row r="237">
          <cell r="A237">
            <v>42901</v>
          </cell>
        </row>
        <row r="238">
          <cell r="A238">
            <v>42985</v>
          </cell>
        </row>
        <row r="239">
          <cell r="A239">
            <v>43020</v>
          </cell>
        </row>
        <row r="240">
          <cell r="A240">
            <v>43041</v>
          </cell>
        </row>
        <row r="241">
          <cell r="A241">
            <v>43054</v>
          </cell>
        </row>
        <row r="242">
          <cell r="A242">
            <v>43094</v>
          </cell>
        </row>
        <row r="243">
          <cell r="A243">
            <v>43101</v>
          </cell>
        </row>
        <row r="244">
          <cell r="A244">
            <v>43143</v>
          </cell>
        </row>
        <row r="245">
          <cell r="A245">
            <v>43144</v>
          </cell>
        </row>
        <row r="246">
          <cell r="A246">
            <v>43189</v>
          </cell>
        </row>
        <row r="247">
          <cell r="A247">
            <v>43211</v>
          </cell>
        </row>
        <row r="248">
          <cell r="A248">
            <v>43221</v>
          </cell>
        </row>
        <row r="249">
          <cell r="A249">
            <v>43251</v>
          </cell>
        </row>
        <row r="250">
          <cell r="A250">
            <v>43350</v>
          </cell>
        </row>
        <row r="251">
          <cell r="A251">
            <v>43385</v>
          </cell>
        </row>
        <row r="252">
          <cell r="A252">
            <v>43406</v>
          </cell>
        </row>
        <row r="253">
          <cell r="A253">
            <v>43419</v>
          </cell>
        </row>
        <row r="254">
          <cell r="A254">
            <v>43459</v>
          </cell>
        </row>
        <row r="255">
          <cell r="A255">
            <v>43466</v>
          </cell>
        </row>
        <row r="256">
          <cell r="A256">
            <v>43528</v>
          </cell>
        </row>
        <row r="257">
          <cell r="A257">
            <v>43529</v>
          </cell>
        </row>
        <row r="258">
          <cell r="A258">
            <v>43574</v>
          </cell>
        </row>
        <row r="259">
          <cell r="A259">
            <v>43576</v>
          </cell>
        </row>
        <row r="260">
          <cell r="A260">
            <v>43586</v>
          </cell>
        </row>
        <row r="261">
          <cell r="A261">
            <v>43636</v>
          </cell>
        </row>
        <row r="262">
          <cell r="A262">
            <v>43715</v>
          </cell>
        </row>
        <row r="263">
          <cell r="A263">
            <v>43750</v>
          </cell>
        </row>
        <row r="264">
          <cell r="A264">
            <v>43771</v>
          </cell>
        </row>
        <row r="265">
          <cell r="A265">
            <v>43784</v>
          </cell>
        </row>
        <row r="266">
          <cell r="A266">
            <v>43824</v>
          </cell>
        </row>
        <row r="267">
          <cell r="A267">
            <v>43831</v>
          </cell>
        </row>
        <row r="268">
          <cell r="A268">
            <v>43885</v>
          </cell>
        </row>
        <row r="269">
          <cell r="A269">
            <v>43886</v>
          </cell>
        </row>
        <row r="270">
          <cell r="A270">
            <v>43931</v>
          </cell>
        </row>
        <row r="271">
          <cell r="A271">
            <v>43942</v>
          </cell>
        </row>
        <row r="272">
          <cell r="A272">
            <v>43952</v>
          </cell>
        </row>
        <row r="273">
          <cell r="A273">
            <v>43993</v>
          </cell>
        </row>
        <row r="274">
          <cell r="A274">
            <v>44081</v>
          </cell>
        </row>
        <row r="275">
          <cell r="A275">
            <v>44116</v>
          </cell>
        </row>
        <row r="276">
          <cell r="A276">
            <v>44137</v>
          </cell>
        </row>
        <row r="277">
          <cell r="A277">
            <v>44150</v>
          </cell>
        </row>
        <row r="278">
          <cell r="A278">
            <v>44190</v>
          </cell>
        </row>
        <row r="279">
          <cell r="A279">
            <v>44197</v>
          </cell>
        </row>
        <row r="280">
          <cell r="A280">
            <v>44242</v>
          </cell>
        </row>
        <row r="281">
          <cell r="A281">
            <v>44243</v>
          </cell>
        </row>
        <row r="282">
          <cell r="A282">
            <v>44288</v>
          </cell>
        </row>
        <row r="283">
          <cell r="A283">
            <v>44307</v>
          </cell>
        </row>
        <row r="284">
          <cell r="A284">
            <v>44317</v>
          </cell>
        </row>
        <row r="285">
          <cell r="A285">
            <v>44350</v>
          </cell>
        </row>
        <row r="286">
          <cell r="A286">
            <v>44446</v>
          </cell>
        </row>
        <row r="287">
          <cell r="A287">
            <v>44481</v>
          </cell>
        </row>
        <row r="288">
          <cell r="A288">
            <v>44502</v>
          </cell>
        </row>
        <row r="289">
          <cell r="A289">
            <v>44515</v>
          </cell>
        </row>
        <row r="290">
          <cell r="A290">
            <v>44555</v>
          </cell>
        </row>
        <row r="291">
          <cell r="A291">
            <v>44562</v>
          </cell>
        </row>
        <row r="292">
          <cell r="A292">
            <v>44620</v>
          </cell>
        </row>
        <row r="293">
          <cell r="A293">
            <v>44621</v>
          </cell>
        </row>
        <row r="294">
          <cell r="A294">
            <v>44666</v>
          </cell>
        </row>
        <row r="295">
          <cell r="A295">
            <v>44672</v>
          </cell>
        </row>
        <row r="296">
          <cell r="A296">
            <v>44682</v>
          </cell>
        </row>
        <row r="297">
          <cell r="A297">
            <v>44728</v>
          </cell>
        </row>
        <row r="298">
          <cell r="A298">
            <v>44811</v>
          </cell>
        </row>
        <row r="299">
          <cell r="A299">
            <v>44846</v>
          </cell>
        </row>
        <row r="300">
          <cell r="A300">
            <v>44867</v>
          </cell>
        </row>
        <row r="301">
          <cell r="A301">
            <v>44880</v>
          </cell>
        </row>
        <row r="302">
          <cell r="A302">
            <v>44920</v>
          </cell>
        </row>
        <row r="303">
          <cell r="A303">
            <v>44927</v>
          </cell>
        </row>
        <row r="304">
          <cell r="A304">
            <v>44977</v>
          </cell>
        </row>
        <row r="305">
          <cell r="A305">
            <v>44978</v>
          </cell>
        </row>
        <row r="306">
          <cell r="A306">
            <v>45023</v>
          </cell>
        </row>
        <row r="307">
          <cell r="A307">
            <v>45037</v>
          </cell>
        </row>
        <row r="308">
          <cell r="A308">
            <v>45047</v>
          </cell>
        </row>
        <row r="309">
          <cell r="A309">
            <v>45085</v>
          </cell>
        </row>
        <row r="310">
          <cell r="A310">
            <v>45176</v>
          </cell>
        </row>
        <row r="311">
          <cell r="A311">
            <v>45211</v>
          </cell>
        </row>
        <row r="312">
          <cell r="A312">
            <v>45232</v>
          </cell>
        </row>
        <row r="313">
          <cell r="A313">
            <v>45245</v>
          </cell>
        </row>
        <row r="314">
          <cell r="A314">
            <v>45285</v>
          </cell>
        </row>
        <row r="315">
          <cell r="A315">
            <v>45292</v>
          </cell>
        </row>
        <row r="316">
          <cell r="A316">
            <v>45334</v>
          </cell>
        </row>
        <row r="317">
          <cell r="A317">
            <v>45335</v>
          </cell>
        </row>
        <row r="318">
          <cell r="A318">
            <v>45380</v>
          </cell>
        </row>
        <row r="319">
          <cell r="A319">
            <v>45403</v>
          </cell>
        </row>
        <row r="320">
          <cell r="A320">
            <v>45413</v>
          </cell>
        </row>
        <row r="321">
          <cell r="A321">
            <v>45442</v>
          </cell>
        </row>
        <row r="322">
          <cell r="A322">
            <v>45542</v>
          </cell>
        </row>
        <row r="323">
          <cell r="A323">
            <v>45577</v>
          </cell>
        </row>
        <row r="324">
          <cell r="A324">
            <v>45598</v>
          </cell>
        </row>
        <row r="325">
          <cell r="A325">
            <v>45611</v>
          </cell>
        </row>
        <row r="326">
          <cell r="A326">
            <v>45651</v>
          </cell>
        </row>
        <row r="327">
          <cell r="A327">
            <v>45658</v>
          </cell>
        </row>
        <row r="328">
          <cell r="A328">
            <v>45719</v>
          </cell>
        </row>
        <row r="329">
          <cell r="A329">
            <v>45720</v>
          </cell>
        </row>
        <row r="330">
          <cell r="A330">
            <v>45765</v>
          </cell>
        </row>
        <row r="331">
          <cell r="A331">
            <v>45768</v>
          </cell>
        </row>
        <row r="332">
          <cell r="A332">
            <v>45778</v>
          </cell>
        </row>
        <row r="333">
          <cell r="A333">
            <v>45827</v>
          </cell>
        </row>
        <row r="334">
          <cell r="A334">
            <v>45907</v>
          </cell>
        </row>
        <row r="335">
          <cell r="A335">
            <v>45942</v>
          </cell>
        </row>
        <row r="336">
          <cell r="A336">
            <v>45963</v>
          </cell>
        </row>
        <row r="337">
          <cell r="A337">
            <v>45976</v>
          </cell>
        </row>
        <row r="338">
          <cell r="A338">
            <v>46016</v>
          </cell>
        </row>
        <row r="339">
          <cell r="A339">
            <v>46023</v>
          </cell>
        </row>
        <row r="340">
          <cell r="A340">
            <v>46069</v>
          </cell>
        </row>
        <row r="341">
          <cell r="A341">
            <v>46070</v>
          </cell>
        </row>
        <row r="342">
          <cell r="A342">
            <v>46115</v>
          </cell>
        </row>
        <row r="343">
          <cell r="A343">
            <v>46133</v>
          </cell>
        </row>
        <row r="344">
          <cell r="A344">
            <v>46143</v>
          </cell>
        </row>
        <row r="345">
          <cell r="A345">
            <v>46177</v>
          </cell>
        </row>
        <row r="346">
          <cell r="A346">
            <v>46272</v>
          </cell>
        </row>
        <row r="347">
          <cell r="A347">
            <v>46307</v>
          </cell>
        </row>
        <row r="348">
          <cell r="A348">
            <v>46328</v>
          </cell>
        </row>
        <row r="349">
          <cell r="A349">
            <v>46341</v>
          </cell>
        </row>
        <row r="350">
          <cell r="A350">
            <v>46381</v>
          </cell>
        </row>
        <row r="351">
          <cell r="A351">
            <v>46388</v>
          </cell>
        </row>
        <row r="352">
          <cell r="A352">
            <v>46426</v>
          </cell>
        </row>
        <row r="353">
          <cell r="A353">
            <v>46427</v>
          </cell>
        </row>
        <row r="354">
          <cell r="A354">
            <v>46472</v>
          </cell>
        </row>
        <row r="355">
          <cell r="A355">
            <v>46498</v>
          </cell>
        </row>
        <row r="356">
          <cell r="A356">
            <v>46508</v>
          </cell>
        </row>
        <row r="357">
          <cell r="A357">
            <v>46534</v>
          </cell>
        </row>
        <row r="358">
          <cell r="A358">
            <v>46637</v>
          </cell>
        </row>
        <row r="359">
          <cell r="A359">
            <v>46672</v>
          </cell>
        </row>
        <row r="360">
          <cell r="A360">
            <v>46693</v>
          </cell>
        </row>
        <row r="361">
          <cell r="A361">
            <v>46706</v>
          </cell>
        </row>
        <row r="362">
          <cell r="A362">
            <v>46746</v>
          </cell>
        </row>
        <row r="363">
          <cell r="A363">
            <v>46753</v>
          </cell>
        </row>
        <row r="364">
          <cell r="A364">
            <v>46811</v>
          </cell>
        </row>
        <row r="365">
          <cell r="A365">
            <v>46812</v>
          </cell>
        </row>
        <row r="366">
          <cell r="A366">
            <v>46857</v>
          </cell>
        </row>
        <row r="367">
          <cell r="A367">
            <v>46864</v>
          </cell>
        </row>
        <row r="368">
          <cell r="A368">
            <v>46874</v>
          </cell>
        </row>
        <row r="369">
          <cell r="A369">
            <v>46919</v>
          </cell>
        </row>
        <row r="370">
          <cell r="A370">
            <v>47003</v>
          </cell>
        </row>
        <row r="371">
          <cell r="A371">
            <v>47038</v>
          </cell>
        </row>
        <row r="372">
          <cell r="A372">
            <v>47059</v>
          </cell>
        </row>
        <row r="373">
          <cell r="A373">
            <v>47072</v>
          </cell>
        </row>
        <row r="374">
          <cell r="A374">
            <v>47112</v>
          </cell>
        </row>
        <row r="375">
          <cell r="A375">
            <v>47119</v>
          </cell>
        </row>
        <row r="376">
          <cell r="A376">
            <v>47161</v>
          </cell>
        </row>
        <row r="377">
          <cell r="A377">
            <v>47162</v>
          </cell>
        </row>
        <row r="378">
          <cell r="A378">
            <v>47207</v>
          </cell>
        </row>
        <row r="379">
          <cell r="A379">
            <v>47229</v>
          </cell>
        </row>
        <row r="380">
          <cell r="A380">
            <v>47239</v>
          </cell>
        </row>
        <row r="381">
          <cell r="A381">
            <v>47269</v>
          </cell>
        </row>
        <row r="382">
          <cell r="A382">
            <v>47368</v>
          </cell>
        </row>
        <row r="383">
          <cell r="A383">
            <v>47403</v>
          </cell>
        </row>
        <row r="384">
          <cell r="A384">
            <v>47424</v>
          </cell>
        </row>
        <row r="385">
          <cell r="A385">
            <v>47437</v>
          </cell>
        </row>
        <row r="386">
          <cell r="A386">
            <v>47477</v>
          </cell>
        </row>
        <row r="387">
          <cell r="A387">
            <v>47484</v>
          </cell>
        </row>
        <row r="388">
          <cell r="A388">
            <v>47546</v>
          </cell>
        </row>
        <row r="389">
          <cell r="A389">
            <v>47547</v>
          </cell>
        </row>
        <row r="390">
          <cell r="A390">
            <v>47592</v>
          </cell>
        </row>
        <row r="391">
          <cell r="A391">
            <v>47594</v>
          </cell>
        </row>
        <row r="392">
          <cell r="A392">
            <v>47604</v>
          </cell>
        </row>
        <row r="393">
          <cell r="A393">
            <v>47654</v>
          </cell>
        </row>
        <row r="394">
          <cell r="A394">
            <v>47733</v>
          </cell>
        </row>
        <row r="395">
          <cell r="A395">
            <v>47768</v>
          </cell>
        </row>
        <row r="396">
          <cell r="A396">
            <v>47789</v>
          </cell>
        </row>
        <row r="397">
          <cell r="A397">
            <v>47802</v>
          </cell>
        </row>
        <row r="398">
          <cell r="A398">
            <v>47842</v>
          </cell>
        </row>
        <row r="399">
          <cell r="A399">
            <v>47849</v>
          </cell>
        </row>
        <row r="400">
          <cell r="A400">
            <v>47903</v>
          </cell>
        </row>
        <row r="401">
          <cell r="A401">
            <v>47904</v>
          </cell>
        </row>
        <row r="402">
          <cell r="A402">
            <v>47949</v>
          </cell>
        </row>
        <row r="403">
          <cell r="A403">
            <v>47959</v>
          </cell>
        </row>
        <row r="404">
          <cell r="A404">
            <v>47969</v>
          </cell>
        </row>
        <row r="405">
          <cell r="A405">
            <v>48011</v>
          </cell>
        </row>
        <row r="406">
          <cell r="A406">
            <v>48098</v>
          </cell>
        </row>
        <row r="407">
          <cell r="A407">
            <v>48133</v>
          </cell>
        </row>
        <row r="408">
          <cell r="A408">
            <v>48154</v>
          </cell>
        </row>
        <row r="409">
          <cell r="A409">
            <v>48167</v>
          </cell>
        </row>
        <row r="410">
          <cell r="A410">
            <v>48207</v>
          </cell>
        </row>
        <row r="411">
          <cell r="A411">
            <v>48214</v>
          </cell>
        </row>
        <row r="412">
          <cell r="A412">
            <v>48253</v>
          </cell>
        </row>
        <row r="413">
          <cell r="A413">
            <v>48254</v>
          </cell>
        </row>
        <row r="414">
          <cell r="A414">
            <v>48299</v>
          </cell>
        </row>
        <row r="415">
          <cell r="A415">
            <v>48325</v>
          </cell>
        </row>
        <row r="416">
          <cell r="A416">
            <v>48361</v>
          </cell>
        </row>
        <row r="417">
          <cell r="A417">
            <v>48464</v>
          </cell>
        </row>
        <row r="418">
          <cell r="A418">
            <v>48499</v>
          </cell>
        </row>
        <row r="419">
          <cell r="A419">
            <v>48520</v>
          </cell>
        </row>
        <row r="420">
          <cell r="A420">
            <v>48533</v>
          </cell>
        </row>
        <row r="421">
          <cell r="A421">
            <v>48638</v>
          </cell>
        </row>
        <row r="422">
          <cell r="A422">
            <v>48639</v>
          </cell>
        </row>
        <row r="423">
          <cell r="A423">
            <v>48684</v>
          </cell>
        </row>
        <row r="424">
          <cell r="A424">
            <v>48690</v>
          </cell>
        </row>
        <row r="425">
          <cell r="A425">
            <v>48746</v>
          </cell>
        </row>
        <row r="426">
          <cell r="A426">
            <v>48829</v>
          </cell>
        </row>
        <row r="427">
          <cell r="A427">
            <v>48864</v>
          </cell>
        </row>
        <row r="428">
          <cell r="A428">
            <v>48885</v>
          </cell>
        </row>
        <row r="429">
          <cell r="A429">
            <v>48898</v>
          </cell>
        </row>
        <row r="430">
          <cell r="A430">
            <v>48995</v>
          </cell>
        </row>
        <row r="431">
          <cell r="A431">
            <v>48996</v>
          </cell>
        </row>
        <row r="432">
          <cell r="A432">
            <v>49041</v>
          </cell>
        </row>
        <row r="433">
          <cell r="A433">
            <v>49055</v>
          </cell>
        </row>
        <row r="434">
          <cell r="A434">
            <v>49065</v>
          </cell>
        </row>
        <row r="435">
          <cell r="A435">
            <v>49103</v>
          </cell>
        </row>
        <row r="436">
          <cell r="A436">
            <v>49194</v>
          </cell>
        </row>
        <row r="437">
          <cell r="A437">
            <v>49229</v>
          </cell>
        </row>
        <row r="438">
          <cell r="A438">
            <v>49250</v>
          </cell>
        </row>
        <row r="439">
          <cell r="A439">
            <v>49263</v>
          </cell>
        </row>
        <row r="440">
          <cell r="A440">
            <v>49303</v>
          </cell>
        </row>
        <row r="441">
          <cell r="A441">
            <v>49310</v>
          </cell>
        </row>
        <row r="442">
          <cell r="A442">
            <v>49345</v>
          </cell>
        </row>
        <row r="443">
          <cell r="A443">
            <v>49346</v>
          </cell>
        </row>
        <row r="444">
          <cell r="A444">
            <v>49391</v>
          </cell>
        </row>
        <row r="445">
          <cell r="A445">
            <v>49430</v>
          </cell>
        </row>
        <row r="446">
          <cell r="A446">
            <v>49453</v>
          </cell>
        </row>
        <row r="447">
          <cell r="A447">
            <v>49559</v>
          </cell>
        </row>
        <row r="448">
          <cell r="A448">
            <v>49594</v>
          </cell>
        </row>
        <row r="449">
          <cell r="A449">
            <v>49615</v>
          </cell>
        </row>
        <row r="450">
          <cell r="A450">
            <v>49628</v>
          </cell>
        </row>
        <row r="451">
          <cell r="A451">
            <v>49668</v>
          </cell>
        </row>
        <row r="452">
          <cell r="A452">
            <v>49675</v>
          </cell>
        </row>
        <row r="453">
          <cell r="A453">
            <v>49730</v>
          </cell>
        </row>
        <row r="454">
          <cell r="A454">
            <v>49731</v>
          </cell>
        </row>
        <row r="455">
          <cell r="A455">
            <v>49776</v>
          </cell>
        </row>
        <row r="456">
          <cell r="A456">
            <v>49786</v>
          </cell>
        </row>
        <row r="457">
          <cell r="A457">
            <v>49796</v>
          </cell>
        </row>
        <row r="458">
          <cell r="A458">
            <v>49838</v>
          </cell>
        </row>
        <row r="459">
          <cell r="A459">
            <v>50034</v>
          </cell>
        </row>
        <row r="460">
          <cell r="A460">
            <v>50041</v>
          </cell>
        </row>
        <row r="461">
          <cell r="A461">
            <v>50087</v>
          </cell>
        </row>
        <row r="462">
          <cell r="A462">
            <v>50088</v>
          </cell>
        </row>
        <row r="463">
          <cell r="A463">
            <v>50133</v>
          </cell>
        </row>
        <row r="464">
          <cell r="A464">
            <v>50151</v>
          </cell>
        </row>
        <row r="465">
          <cell r="A465">
            <v>50161</v>
          </cell>
        </row>
        <row r="466">
          <cell r="A466">
            <v>50195</v>
          </cell>
        </row>
        <row r="467">
          <cell r="A467">
            <v>50290</v>
          </cell>
        </row>
        <row r="468">
          <cell r="A468">
            <v>50325</v>
          </cell>
        </row>
        <row r="469">
          <cell r="A469">
            <v>50346</v>
          </cell>
        </row>
        <row r="470">
          <cell r="A470">
            <v>50399</v>
          </cell>
        </row>
        <row r="471">
          <cell r="A471">
            <v>50406</v>
          </cell>
        </row>
        <row r="472">
          <cell r="A472">
            <v>50472</v>
          </cell>
        </row>
        <row r="473">
          <cell r="A473">
            <v>50473</v>
          </cell>
        </row>
        <row r="474">
          <cell r="A474">
            <v>50516</v>
          </cell>
        </row>
        <row r="475">
          <cell r="A475">
            <v>50518</v>
          </cell>
        </row>
        <row r="476">
          <cell r="A476">
            <v>50580</v>
          </cell>
        </row>
        <row r="477">
          <cell r="A477">
            <v>50655</v>
          </cell>
        </row>
        <row r="478">
          <cell r="A478">
            <v>50690</v>
          </cell>
        </row>
        <row r="479">
          <cell r="A479">
            <v>50711</v>
          </cell>
        </row>
        <row r="480">
          <cell r="A480">
            <v>50724</v>
          </cell>
        </row>
        <row r="481">
          <cell r="A481">
            <v>50822</v>
          </cell>
        </row>
        <row r="482">
          <cell r="A482">
            <v>50823</v>
          </cell>
        </row>
        <row r="483">
          <cell r="A483">
            <v>50868</v>
          </cell>
        </row>
        <row r="484">
          <cell r="A484">
            <v>50881</v>
          </cell>
        </row>
        <row r="485">
          <cell r="A485">
            <v>50930</v>
          </cell>
        </row>
        <row r="486">
          <cell r="A486">
            <v>51020</v>
          </cell>
        </row>
        <row r="487">
          <cell r="A487">
            <v>51055</v>
          </cell>
        </row>
        <row r="488">
          <cell r="A488">
            <v>51076</v>
          </cell>
        </row>
        <row r="489">
          <cell r="A489">
            <v>51089</v>
          </cell>
        </row>
        <row r="490">
          <cell r="A490">
            <v>51179</v>
          </cell>
        </row>
        <row r="491">
          <cell r="A491">
            <v>51180</v>
          </cell>
        </row>
        <row r="492">
          <cell r="A492">
            <v>51225</v>
          </cell>
        </row>
        <row r="493">
          <cell r="A493">
            <v>51257</v>
          </cell>
        </row>
        <row r="494">
          <cell r="A494">
            <v>51287</v>
          </cell>
        </row>
        <row r="495">
          <cell r="A495">
            <v>51386</v>
          </cell>
        </row>
        <row r="496">
          <cell r="A496">
            <v>51421</v>
          </cell>
        </row>
        <row r="497">
          <cell r="A497">
            <v>51442</v>
          </cell>
        </row>
        <row r="498">
          <cell r="A498">
            <v>51455</v>
          </cell>
        </row>
        <row r="499">
          <cell r="A499">
            <v>51495</v>
          </cell>
        </row>
        <row r="500">
          <cell r="A500">
            <v>51502</v>
          </cell>
        </row>
        <row r="501">
          <cell r="A501">
            <v>51564</v>
          </cell>
        </row>
        <row r="502">
          <cell r="A502">
            <v>51565</v>
          </cell>
        </row>
        <row r="503">
          <cell r="A503">
            <v>51610</v>
          </cell>
        </row>
        <row r="504">
          <cell r="A504">
            <v>51622</v>
          </cell>
        </row>
        <row r="505">
          <cell r="A505">
            <v>51672</v>
          </cell>
        </row>
        <row r="506">
          <cell r="A506">
            <v>51820</v>
          </cell>
        </row>
        <row r="507">
          <cell r="A507">
            <v>51860</v>
          </cell>
        </row>
        <row r="508">
          <cell r="A508">
            <v>51867</v>
          </cell>
        </row>
        <row r="509">
          <cell r="A509">
            <v>51914</v>
          </cell>
        </row>
        <row r="510">
          <cell r="A510">
            <v>51915</v>
          </cell>
        </row>
        <row r="511">
          <cell r="A511">
            <v>51960</v>
          </cell>
        </row>
        <row r="512">
          <cell r="A512">
            <v>51977</v>
          </cell>
        </row>
        <row r="513">
          <cell r="A513">
            <v>51987</v>
          </cell>
        </row>
        <row r="514">
          <cell r="A514">
            <v>52022</v>
          </cell>
        </row>
        <row r="515">
          <cell r="A515">
            <v>52225</v>
          </cell>
        </row>
        <row r="516">
          <cell r="A516">
            <v>52232</v>
          </cell>
        </row>
        <row r="517">
          <cell r="A517">
            <v>52271</v>
          </cell>
        </row>
        <row r="518">
          <cell r="A518">
            <v>52272</v>
          </cell>
        </row>
        <row r="519">
          <cell r="A519">
            <v>52317</v>
          </cell>
        </row>
        <row r="520">
          <cell r="A520">
            <v>52342</v>
          </cell>
        </row>
        <row r="521">
          <cell r="A521">
            <v>52352</v>
          </cell>
        </row>
        <row r="522">
          <cell r="A522">
            <v>52379</v>
          </cell>
        </row>
        <row r="523">
          <cell r="A523">
            <v>52481</v>
          </cell>
        </row>
        <row r="524">
          <cell r="A524">
            <v>52516</v>
          </cell>
        </row>
        <row r="525">
          <cell r="A525">
            <v>52537</v>
          </cell>
        </row>
        <row r="526">
          <cell r="A526">
            <v>52590</v>
          </cell>
        </row>
        <row r="527">
          <cell r="A527">
            <v>52597</v>
          </cell>
        </row>
        <row r="528">
          <cell r="A528">
            <v>52656</v>
          </cell>
        </row>
        <row r="529">
          <cell r="A529">
            <v>52657</v>
          </cell>
        </row>
        <row r="530">
          <cell r="A530">
            <v>52702</v>
          </cell>
        </row>
        <row r="531">
          <cell r="A531">
            <v>52708</v>
          </cell>
        </row>
        <row r="532">
          <cell r="A532">
            <v>52764</v>
          </cell>
        </row>
        <row r="533">
          <cell r="A533">
            <v>52847</v>
          </cell>
        </row>
        <row r="534">
          <cell r="A534">
            <v>52882</v>
          </cell>
        </row>
        <row r="535">
          <cell r="A535">
            <v>52903</v>
          </cell>
        </row>
        <row r="536">
          <cell r="A536">
            <v>52916</v>
          </cell>
        </row>
        <row r="537">
          <cell r="A537">
            <v>53013</v>
          </cell>
        </row>
        <row r="538">
          <cell r="A538">
            <v>53014</v>
          </cell>
        </row>
        <row r="539">
          <cell r="A539">
            <v>53059</v>
          </cell>
        </row>
        <row r="540">
          <cell r="A540">
            <v>53073</v>
          </cell>
        </row>
        <row r="541">
          <cell r="A541">
            <v>53083</v>
          </cell>
        </row>
        <row r="542">
          <cell r="A542">
            <v>53121</v>
          </cell>
        </row>
        <row r="543">
          <cell r="A543">
            <v>53212</v>
          </cell>
        </row>
        <row r="544">
          <cell r="A544">
            <v>53247</v>
          </cell>
        </row>
        <row r="545">
          <cell r="A545">
            <v>53268</v>
          </cell>
        </row>
        <row r="546">
          <cell r="A546">
            <v>53281</v>
          </cell>
        </row>
        <row r="547">
          <cell r="A547">
            <v>53321</v>
          </cell>
        </row>
        <row r="548">
          <cell r="A548">
            <v>53328</v>
          </cell>
        </row>
        <row r="549">
          <cell r="A549">
            <v>53363</v>
          </cell>
        </row>
        <row r="550">
          <cell r="A550">
            <v>53364</v>
          </cell>
        </row>
        <row r="551">
          <cell r="A551">
            <v>53409</v>
          </cell>
        </row>
        <row r="552">
          <cell r="A552">
            <v>53448</v>
          </cell>
        </row>
        <row r="553">
          <cell r="A553">
            <v>53471</v>
          </cell>
        </row>
        <row r="554">
          <cell r="A554">
            <v>53577</v>
          </cell>
        </row>
        <row r="555">
          <cell r="A555">
            <v>53612</v>
          </cell>
        </row>
        <row r="556">
          <cell r="A556">
            <v>53633</v>
          </cell>
        </row>
        <row r="557">
          <cell r="A557">
            <v>53646</v>
          </cell>
        </row>
        <row r="558">
          <cell r="A558">
            <v>53686</v>
          </cell>
        </row>
        <row r="559">
          <cell r="A559">
            <v>53693</v>
          </cell>
        </row>
        <row r="560">
          <cell r="A560">
            <v>53748</v>
          </cell>
        </row>
        <row r="561">
          <cell r="A561">
            <v>53749</v>
          </cell>
        </row>
        <row r="562">
          <cell r="A562">
            <v>53794</v>
          </cell>
        </row>
        <row r="563">
          <cell r="A563">
            <v>53813</v>
          </cell>
        </row>
        <row r="564">
          <cell r="A564">
            <v>53856</v>
          </cell>
        </row>
        <row r="565">
          <cell r="A565">
            <v>54011</v>
          </cell>
        </row>
        <row r="566">
          <cell r="A566">
            <v>54051</v>
          </cell>
        </row>
        <row r="567">
          <cell r="A567">
            <v>54058</v>
          </cell>
        </row>
        <row r="568">
          <cell r="A568">
            <v>54105</v>
          </cell>
        </row>
        <row r="569">
          <cell r="A569">
            <v>54106</v>
          </cell>
        </row>
        <row r="570">
          <cell r="A570">
            <v>54151</v>
          </cell>
        </row>
        <row r="571">
          <cell r="A571">
            <v>54169</v>
          </cell>
        </row>
        <row r="572">
          <cell r="A572">
            <v>54179</v>
          </cell>
        </row>
        <row r="573">
          <cell r="A573">
            <v>54213</v>
          </cell>
        </row>
        <row r="574">
          <cell r="A574">
            <v>54308</v>
          </cell>
        </row>
        <row r="575">
          <cell r="A575">
            <v>54343</v>
          </cell>
        </row>
        <row r="576">
          <cell r="A576">
            <v>54364</v>
          </cell>
        </row>
        <row r="577">
          <cell r="A577">
            <v>54417</v>
          </cell>
        </row>
        <row r="578">
          <cell r="A578">
            <v>54424</v>
          </cell>
        </row>
        <row r="579">
          <cell r="A579">
            <v>54483</v>
          </cell>
        </row>
        <row r="580">
          <cell r="A580">
            <v>54484</v>
          </cell>
        </row>
        <row r="581">
          <cell r="A581">
            <v>54529</v>
          </cell>
        </row>
        <row r="582">
          <cell r="A582">
            <v>54534</v>
          </cell>
        </row>
        <row r="583">
          <cell r="A583">
            <v>54591</v>
          </cell>
        </row>
        <row r="584">
          <cell r="A584">
            <v>54673</v>
          </cell>
        </row>
        <row r="585">
          <cell r="A585">
            <v>54708</v>
          </cell>
        </row>
        <row r="586">
          <cell r="A586">
            <v>54729</v>
          </cell>
        </row>
        <row r="587">
          <cell r="A587">
            <v>54742</v>
          </cell>
        </row>
        <row r="588">
          <cell r="A588">
            <v>54840</v>
          </cell>
        </row>
        <row r="589">
          <cell r="A589">
            <v>54841</v>
          </cell>
        </row>
        <row r="590">
          <cell r="A590">
            <v>54886</v>
          </cell>
        </row>
        <row r="591">
          <cell r="A591">
            <v>54899</v>
          </cell>
        </row>
        <row r="592">
          <cell r="A592">
            <v>54948</v>
          </cell>
        </row>
        <row r="593">
          <cell r="A593">
            <v>55038</v>
          </cell>
        </row>
        <row r="594">
          <cell r="A594">
            <v>55073</v>
          </cell>
        </row>
        <row r="595">
          <cell r="A595">
            <v>55094</v>
          </cell>
        </row>
        <row r="596">
          <cell r="A596">
            <v>55107</v>
          </cell>
        </row>
        <row r="597">
          <cell r="A597">
            <v>55197</v>
          </cell>
        </row>
        <row r="598">
          <cell r="A598">
            <v>55198</v>
          </cell>
        </row>
        <row r="599">
          <cell r="A599">
            <v>55243</v>
          </cell>
        </row>
        <row r="600">
          <cell r="A600">
            <v>55264</v>
          </cell>
        </row>
        <row r="601">
          <cell r="A601">
            <v>55274</v>
          </cell>
        </row>
        <row r="602">
          <cell r="A602">
            <v>55305</v>
          </cell>
        </row>
        <row r="603">
          <cell r="A603">
            <v>55403</v>
          </cell>
        </row>
        <row r="604">
          <cell r="A604">
            <v>55438</v>
          </cell>
        </row>
        <row r="605">
          <cell r="A605">
            <v>55459</v>
          </cell>
        </row>
        <row r="606">
          <cell r="A606">
            <v>55472</v>
          </cell>
        </row>
        <row r="607">
          <cell r="A607">
            <v>55512</v>
          </cell>
        </row>
        <row r="608">
          <cell r="A608">
            <v>55519</v>
          </cell>
        </row>
        <row r="609">
          <cell r="A609">
            <v>55582</v>
          </cell>
        </row>
        <row r="610">
          <cell r="A610">
            <v>55583</v>
          </cell>
        </row>
        <row r="611">
          <cell r="A611">
            <v>55628</v>
          </cell>
        </row>
        <row r="612">
          <cell r="A612">
            <v>55640</v>
          </cell>
        </row>
        <row r="613">
          <cell r="A613">
            <v>55690</v>
          </cell>
        </row>
        <row r="614">
          <cell r="A614">
            <v>55838</v>
          </cell>
        </row>
        <row r="615">
          <cell r="A615">
            <v>55878</v>
          </cell>
        </row>
        <row r="616">
          <cell r="A616">
            <v>55885</v>
          </cell>
        </row>
        <row r="617">
          <cell r="A617">
            <v>55932</v>
          </cell>
        </row>
        <row r="618">
          <cell r="A618">
            <v>55933</v>
          </cell>
        </row>
        <row r="619">
          <cell r="A619">
            <v>55978</v>
          </cell>
        </row>
        <row r="620">
          <cell r="A620">
            <v>55995</v>
          </cell>
        </row>
        <row r="621">
          <cell r="A621">
            <v>56005</v>
          </cell>
        </row>
        <row r="622">
          <cell r="A622">
            <v>56040</v>
          </cell>
        </row>
        <row r="623">
          <cell r="A623">
            <v>56243</v>
          </cell>
        </row>
        <row r="624">
          <cell r="A624">
            <v>56250</v>
          </cell>
        </row>
        <row r="625">
          <cell r="A625">
            <v>56289</v>
          </cell>
        </row>
        <row r="626">
          <cell r="A626">
            <v>56290</v>
          </cell>
        </row>
        <row r="627">
          <cell r="A627">
            <v>56335</v>
          </cell>
        </row>
        <row r="628">
          <cell r="A628">
            <v>56360</v>
          </cell>
        </row>
        <row r="629">
          <cell r="A629">
            <v>56370</v>
          </cell>
        </row>
        <row r="630">
          <cell r="A630">
            <v>56397</v>
          </cell>
        </row>
        <row r="631">
          <cell r="A631">
            <v>56499</v>
          </cell>
        </row>
        <row r="632">
          <cell r="A632">
            <v>56534</v>
          </cell>
        </row>
        <row r="633">
          <cell r="A633">
            <v>56555</v>
          </cell>
        </row>
        <row r="634">
          <cell r="A634">
            <v>56608</v>
          </cell>
        </row>
        <row r="635">
          <cell r="A635">
            <v>56615</v>
          </cell>
        </row>
        <row r="636">
          <cell r="A636">
            <v>56674</v>
          </cell>
        </row>
        <row r="637">
          <cell r="A637">
            <v>56675</v>
          </cell>
        </row>
        <row r="638">
          <cell r="A638">
            <v>56720</v>
          </cell>
        </row>
        <row r="639">
          <cell r="A639">
            <v>56725</v>
          </cell>
        </row>
        <row r="640">
          <cell r="A640">
            <v>56782</v>
          </cell>
        </row>
        <row r="641">
          <cell r="A641">
            <v>56864</v>
          </cell>
        </row>
        <row r="642">
          <cell r="A642">
            <v>56899</v>
          </cell>
        </row>
        <row r="643">
          <cell r="A643">
            <v>56920</v>
          </cell>
        </row>
        <row r="644">
          <cell r="A644">
            <v>56933</v>
          </cell>
        </row>
        <row r="645">
          <cell r="A645">
            <v>57024</v>
          </cell>
        </row>
        <row r="646">
          <cell r="A646">
            <v>57025</v>
          </cell>
        </row>
        <row r="647">
          <cell r="A647">
            <v>57070</v>
          </cell>
        </row>
        <row r="648">
          <cell r="A648">
            <v>57091</v>
          </cell>
        </row>
        <row r="649">
          <cell r="A649">
            <v>57101</v>
          </cell>
        </row>
        <row r="650">
          <cell r="A650">
            <v>57132</v>
          </cell>
        </row>
        <row r="651">
          <cell r="A651">
            <v>57230</v>
          </cell>
        </row>
        <row r="652">
          <cell r="A652">
            <v>57265</v>
          </cell>
        </row>
        <row r="653">
          <cell r="A653">
            <v>57286</v>
          </cell>
        </row>
        <row r="654">
          <cell r="A654">
            <v>57299</v>
          </cell>
        </row>
        <row r="655">
          <cell r="A655">
            <v>57339</v>
          </cell>
        </row>
        <row r="656">
          <cell r="A656">
            <v>57346</v>
          </cell>
        </row>
        <row r="657">
          <cell r="A657">
            <v>57409</v>
          </cell>
        </row>
        <row r="658">
          <cell r="A658">
            <v>57410</v>
          </cell>
        </row>
        <row r="659">
          <cell r="A659">
            <v>57455</v>
          </cell>
        </row>
        <row r="660">
          <cell r="A660">
            <v>57466</v>
          </cell>
        </row>
        <row r="661">
          <cell r="A661">
            <v>57517</v>
          </cell>
        </row>
        <row r="662">
          <cell r="A662">
            <v>57595</v>
          </cell>
        </row>
        <row r="663">
          <cell r="A663">
            <v>57630</v>
          </cell>
        </row>
        <row r="664">
          <cell r="A664">
            <v>57651</v>
          </cell>
        </row>
        <row r="665">
          <cell r="A665">
            <v>57664</v>
          </cell>
        </row>
        <row r="666">
          <cell r="A666">
            <v>57704</v>
          </cell>
        </row>
        <row r="667">
          <cell r="A667">
            <v>57711</v>
          </cell>
        </row>
        <row r="668">
          <cell r="A668">
            <v>57766</v>
          </cell>
        </row>
        <row r="669">
          <cell r="A669">
            <v>57767</v>
          </cell>
        </row>
        <row r="670">
          <cell r="A670">
            <v>57812</v>
          </cell>
        </row>
        <row r="671">
          <cell r="A671">
            <v>57831</v>
          </cell>
        </row>
        <row r="672">
          <cell r="A672">
            <v>57874</v>
          </cell>
        </row>
        <row r="673">
          <cell r="A673">
            <v>58029</v>
          </cell>
        </row>
        <row r="674">
          <cell r="A674">
            <v>58069</v>
          </cell>
        </row>
        <row r="675">
          <cell r="A675">
            <v>58076</v>
          </cell>
        </row>
        <row r="676">
          <cell r="A676">
            <v>58116</v>
          </cell>
        </row>
        <row r="677">
          <cell r="A677">
            <v>58117</v>
          </cell>
        </row>
        <row r="678">
          <cell r="A678">
            <v>58162</v>
          </cell>
        </row>
        <row r="679">
          <cell r="A679">
            <v>58186</v>
          </cell>
        </row>
        <row r="680">
          <cell r="A680">
            <v>58196</v>
          </cell>
        </row>
        <row r="681">
          <cell r="A681">
            <v>58224</v>
          </cell>
        </row>
        <row r="682">
          <cell r="A682">
            <v>58434</v>
          </cell>
        </row>
        <row r="683">
          <cell r="A683">
            <v>58441</v>
          </cell>
        </row>
        <row r="684">
          <cell r="A684">
            <v>58501</v>
          </cell>
        </row>
        <row r="685">
          <cell r="A685">
            <v>58502</v>
          </cell>
        </row>
        <row r="686">
          <cell r="A686">
            <v>58547</v>
          </cell>
        </row>
        <row r="687">
          <cell r="A687">
            <v>58552</v>
          </cell>
        </row>
        <row r="688">
          <cell r="A688">
            <v>58609</v>
          </cell>
        </row>
        <row r="689">
          <cell r="A689">
            <v>58691</v>
          </cell>
        </row>
        <row r="690">
          <cell r="A690">
            <v>58726</v>
          </cell>
        </row>
        <row r="691">
          <cell r="A691">
            <v>58747</v>
          </cell>
        </row>
        <row r="692">
          <cell r="A692">
            <v>58760</v>
          </cell>
        </row>
        <row r="693">
          <cell r="A693">
            <v>58858</v>
          </cell>
        </row>
        <row r="694">
          <cell r="A694">
            <v>58859</v>
          </cell>
        </row>
        <row r="695">
          <cell r="A695">
            <v>58904</v>
          </cell>
        </row>
        <row r="696">
          <cell r="A696">
            <v>58917</v>
          </cell>
        </row>
        <row r="697">
          <cell r="A697">
            <v>58966</v>
          </cell>
        </row>
        <row r="698">
          <cell r="A698">
            <v>59056</v>
          </cell>
        </row>
        <row r="699">
          <cell r="A699">
            <v>59091</v>
          </cell>
        </row>
        <row r="700">
          <cell r="A700">
            <v>59112</v>
          </cell>
        </row>
        <row r="701">
          <cell r="A701">
            <v>59125</v>
          </cell>
        </row>
        <row r="702">
          <cell r="A702">
            <v>59208</v>
          </cell>
        </row>
        <row r="703">
          <cell r="A703">
            <v>59209</v>
          </cell>
        </row>
        <row r="704">
          <cell r="A704">
            <v>59254</v>
          </cell>
        </row>
        <row r="705">
          <cell r="A705">
            <v>59282</v>
          </cell>
        </row>
        <row r="706">
          <cell r="A706">
            <v>59292</v>
          </cell>
        </row>
        <row r="707">
          <cell r="A707">
            <v>59316</v>
          </cell>
        </row>
        <row r="708">
          <cell r="A708">
            <v>59421</v>
          </cell>
        </row>
        <row r="709">
          <cell r="A709">
            <v>59456</v>
          </cell>
        </row>
        <row r="710">
          <cell r="A710">
            <v>59477</v>
          </cell>
        </row>
        <row r="711">
          <cell r="A711">
            <v>59490</v>
          </cell>
        </row>
        <row r="712">
          <cell r="A712">
            <v>59530</v>
          </cell>
        </row>
        <row r="713">
          <cell r="A713">
            <v>59537</v>
          </cell>
        </row>
        <row r="714">
          <cell r="A714">
            <v>59593</v>
          </cell>
        </row>
        <row r="715">
          <cell r="A715">
            <v>59594</v>
          </cell>
        </row>
        <row r="716">
          <cell r="A716">
            <v>59639</v>
          </cell>
        </row>
        <row r="717">
          <cell r="A717">
            <v>59657</v>
          </cell>
        </row>
        <row r="718">
          <cell r="A718">
            <v>59701</v>
          </cell>
        </row>
        <row r="719">
          <cell r="A719">
            <v>59786</v>
          </cell>
        </row>
        <row r="720">
          <cell r="A720">
            <v>59821</v>
          </cell>
        </row>
        <row r="721">
          <cell r="A721">
            <v>59842</v>
          </cell>
        </row>
        <row r="722">
          <cell r="A722">
            <v>59855</v>
          </cell>
        </row>
        <row r="723">
          <cell r="A723">
            <v>59895</v>
          </cell>
        </row>
        <row r="724">
          <cell r="A724">
            <v>59902</v>
          </cell>
        </row>
        <row r="725">
          <cell r="A725">
            <v>59950</v>
          </cell>
        </row>
        <row r="726">
          <cell r="A726">
            <v>59951</v>
          </cell>
        </row>
        <row r="727">
          <cell r="A727">
            <v>59996</v>
          </cell>
        </row>
        <row r="728">
          <cell r="A728">
            <v>60013</v>
          </cell>
        </row>
        <row r="729">
          <cell r="A729">
            <v>60023</v>
          </cell>
        </row>
        <row r="730">
          <cell r="A730">
            <v>60058</v>
          </cell>
        </row>
        <row r="731">
          <cell r="A731">
            <v>60261</v>
          </cell>
        </row>
        <row r="732">
          <cell r="A732">
            <v>60268</v>
          </cell>
        </row>
        <row r="733">
          <cell r="A733">
            <v>60307</v>
          </cell>
        </row>
        <row r="734">
          <cell r="A734">
            <v>60308</v>
          </cell>
        </row>
        <row r="735">
          <cell r="A735">
            <v>60353</v>
          </cell>
        </row>
        <row r="736">
          <cell r="A736">
            <v>60378</v>
          </cell>
        </row>
        <row r="737">
          <cell r="A737">
            <v>60388</v>
          </cell>
        </row>
        <row r="738">
          <cell r="A738">
            <v>60415</v>
          </cell>
        </row>
        <row r="739">
          <cell r="A739">
            <v>60517</v>
          </cell>
        </row>
        <row r="740">
          <cell r="A740">
            <v>60552</v>
          </cell>
        </row>
        <row r="741">
          <cell r="A741">
            <v>60573</v>
          </cell>
        </row>
        <row r="742">
          <cell r="A742">
            <v>60626</v>
          </cell>
        </row>
        <row r="743">
          <cell r="A743">
            <v>60633</v>
          </cell>
        </row>
        <row r="744">
          <cell r="A744">
            <v>60685</v>
          </cell>
        </row>
        <row r="745">
          <cell r="A745">
            <v>60686</v>
          </cell>
        </row>
        <row r="746">
          <cell r="A746">
            <v>60731</v>
          </cell>
        </row>
        <row r="747">
          <cell r="A747">
            <v>60743</v>
          </cell>
        </row>
        <row r="748">
          <cell r="A748">
            <v>60793</v>
          </cell>
        </row>
        <row r="749">
          <cell r="A749">
            <v>60882</v>
          </cell>
        </row>
        <row r="750">
          <cell r="A750">
            <v>60917</v>
          </cell>
        </row>
        <row r="751">
          <cell r="A751">
            <v>60938</v>
          </cell>
        </row>
        <row r="752">
          <cell r="A752">
            <v>60951</v>
          </cell>
        </row>
        <row r="753">
          <cell r="A753">
            <v>61042</v>
          </cell>
        </row>
        <row r="754">
          <cell r="A754">
            <v>61043</v>
          </cell>
        </row>
        <row r="755">
          <cell r="A755">
            <v>61088</v>
          </cell>
        </row>
        <row r="756">
          <cell r="A756">
            <v>61108</v>
          </cell>
        </row>
        <row r="757">
          <cell r="A757">
            <v>61150</v>
          </cell>
        </row>
        <row r="758">
          <cell r="A758">
            <v>61247</v>
          </cell>
        </row>
        <row r="759">
          <cell r="A759">
            <v>61282</v>
          </cell>
        </row>
        <row r="760">
          <cell r="A760">
            <v>61303</v>
          </cell>
        </row>
        <row r="761">
          <cell r="A761">
            <v>61316</v>
          </cell>
        </row>
        <row r="762">
          <cell r="A762">
            <v>61427</v>
          </cell>
        </row>
        <row r="763">
          <cell r="A763">
            <v>61428</v>
          </cell>
        </row>
        <row r="764">
          <cell r="A764">
            <v>61473</v>
          </cell>
        </row>
        <row r="765">
          <cell r="A765">
            <v>61484</v>
          </cell>
        </row>
        <row r="766">
          <cell r="A766">
            <v>61535</v>
          </cell>
        </row>
        <row r="767">
          <cell r="A767">
            <v>61613</v>
          </cell>
        </row>
        <row r="768">
          <cell r="A768">
            <v>61648</v>
          </cell>
        </row>
        <row r="769">
          <cell r="A769">
            <v>61669</v>
          </cell>
        </row>
        <row r="770">
          <cell r="A770">
            <v>61682</v>
          </cell>
        </row>
        <row r="771">
          <cell r="A771">
            <v>61722</v>
          </cell>
        </row>
        <row r="772">
          <cell r="A772">
            <v>61729</v>
          </cell>
        </row>
        <row r="773">
          <cell r="A773">
            <v>61784</v>
          </cell>
        </row>
        <row r="774">
          <cell r="A774">
            <v>61785</v>
          </cell>
        </row>
        <row r="775">
          <cell r="A775">
            <v>61830</v>
          </cell>
        </row>
        <row r="776">
          <cell r="A776">
            <v>61849</v>
          </cell>
        </row>
        <row r="777">
          <cell r="A777">
            <v>61892</v>
          </cell>
        </row>
        <row r="778">
          <cell r="A778">
            <v>62047</v>
          </cell>
        </row>
        <row r="779">
          <cell r="A779">
            <v>62087</v>
          </cell>
        </row>
        <row r="780">
          <cell r="A780">
            <v>62094</v>
          </cell>
        </row>
        <row r="781">
          <cell r="A781">
            <v>62134</v>
          </cell>
        </row>
        <row r="782">
          <cell r="A782">
            <v>62135</v>
          </cell>
        </row>
        <row r="783">
          <cell r="A783">
            <v>62180</v>
          </cell>
        </row>
        <row r="784">
          <cell r="A784">
            <v>62204</v>
          </cell>
        </row>
        <row r="785">
          <cell r="A785">
            <v>62214</v>
          </cell>
        </row>
        <row r="786">
          <cell r="A786">
            <v>62242</v>
          </cell>
        </row>
        <row r="787">
          <cell r="A787">
            <v>62452</v>
          </cell>
        </row>
        <row r="788">
          <cell r="A788">
            <v>62459</v>
          </cell>
        </row>
        <row r="789">
          <cell r="A789">
            <v>62519</v>
          </cell>
        </row>
        <row r="790">
          <cell r="A790">
            <v>62520</v>
          </cell>
        </row>
        <row r="791">
          <cell r="A791">
            <v>62565</v>
          </cell>
        </row>
        <row r="792">
          <cell r="A792">
            <v>62569</v>
          </cell>
        </row>
        <row r="793">
          <cell r="A793">
            <v>62579</v>
          </cell>
        </row>
        <row r="794">
          <cell r="A794">
            <v>62627</v>
          </cell>
        </row>
        <row r="795">
          <cell r="A795">
            <v>62708</v>
          </cell>
        </row>
        <row r="796">
          <cell r="A796">
            <v>62743</v>
          </cell>
        </row>
        <row r="797">
          <cell r="A797">
            <v>62764</v>
          </cell>
        </row>
        <row r="798">
          <cell r="A798">
            <v>62817</v>
          </cell>
        </row>
        <row r="799">
          <cell r="A799">
            <v>62824</v>
          </cell>
        </row>
        <row r="800">
          <cell r="A800">
            <v>62876</v>
          </cell>
        </row>
        <row r="801">
          <cell r="A801">
            <v>62877</v>
          </cell>
        </row>
        <row r="802">
          <cell r="A802">
            <v>62922</v>
          </cell>
        </row>
        <row r="803">
          <cell r="A803">
            <v>62935</v>
          </cell>
        </row>
        <row r="804">
          <cell r="A804">
            <v>62984</v>
          </cell>
        </row>
        <row r="805">
          <cell r="A805">
            <v>63074</v>
          </cell>
        </row>
        <row r="806">
          <cell r="A806">
            <v>63109</v>
          </cell>
        </row>
        <row r="807">
          <cell r="A807">
            <v>63130</v>
          </cell>
        </row>
        <row r="808">
          <cell r="A808">
            <v>63143</v>
          </cell>
        </row>
        <row r="809">
          <cell r="A809">
            <v>63226</v>
          </cell>
        </row>
        <row r="810">
          <cell r="A810">
            <v>63227</v>
          </cell>
        </row>
        <row r="811">
          <cell r="A811">
            <v>63272</v>
          </cell>
        </row>
        <row r="812">
          <cell r="A812">
            <v>63300</v>
          </cell>
        </row>
        <row r="813">
          <cell r="A813">
            <v>63310</v>
          </cell>
        </row>
        <row r="814">
          <cell r="A814">
            <v>63334</v>
          </cell>
        </row>
        <row r="815">
          <cell r="A815">
            <v>63439</v>
          </cell>
        </row>
        <row r="816">
          <cell r="A816">
            <v>63474</v>
          </cell>
        </row>
        <row r="817">
          <cell r="A817">
            <v>63495</v>
          </cell>
        </row>
        <row r="818">
          <cell r="A818">
            <v>63508</v>
          </cell>
        </row>
        <row r="819">
          <cell r="A819">
            <v>63548</v>
          </cell>
        </row>
        <row r="820">
          <cell r="A820">
            <v>63555</v>
          </cell>
        </row>
        <row r="821">
          <cell r="A821">
            <v>63611</v>
          </cell>
        </row>
        <row r="822">
          <cell r="A822">
            <v>63612</v>
          </cell>
        </row>
        <row r="823">
          <cell r="A823">
            <v>63657</v>
          </cell>
        </row>
        <row r="824">
          <cell r="A824">
            <v>63675</v>
          </cell>
        </row>
        <row r="825">
          <cell r="A825">
            <v>63719</v>
          </cell>
        </row>
        <row r="826">
          <cell r="A826">
            <v>63804</v>
          </cell>
        </row>
        <row r="827">
          <cell r="A827">
            <v>63839</v>
          </cell>
        </row>
        <row r="828">
          <cell r="A828">
            <v>63860</v>
          </cell>
        </row>
        <row r="829">
          <cell r="A829">
            <v>63873</v>
          </cell>
        </row>
        <row r="830">
          <cell r="A830">
            <v>63913</v>
          </cell>
        </row>
        <row r="831">
          <cell r="A831">
            <v>63920</v>
          </cell>
        </row>
        <row r="832">
          <cell r="A832">
            <v>63968</v>
          </cell>
        </row>
        <row r="833">
          <cell r="A833">
            <v>63969</v>
          </cell>
        </row>
        <row r="834">
          <cell r="A834">
            <v>64014</v>
          </cell>
        </row>
        <row r="835">
          <cell r="A835">
            <v>64040</v>
          </cell>
        </row>
        <row r="836">
          <cell r="A836">
            <v>64076</v>
          </cell>
        </row>
        <row r="837">
          <cell r="A837">
            <v>64238</v>
          </cell>
        </row>
        <row r="838">
          <cell r="A838">
            <v>64278</v>
          </cell>
        </row>
        <row r="839">
          <cell r="A839">
            <v>64285</v>
          </cell>
        </row>
        <row r="840">
          <cell r="A840">
            <v>64346</v>
          </cell>
        </row>
        <row r="841">
          <cell r="A841">
            <v>64347</v>
          </cell>
        </row>
        <row r="842">
          <cell r="A842">
            <v>64392</v>
          </cell>
        </row>
        <row r="843">
          <cell r="A843">
            <v>64396</v>
          </cell>
        </row>
        <row r="844">
          <cell r="A844">
            <v>64406</v>
          </cell>
        </row>
        <row r="845">
          <cell r="A845">
            <v>64454</v>
          </cell>
        </row>
        <row r="846">
          <cell r="A846">
            <v>64535</v>
          </cell>
        </row>
        <row r="847">
          <cell r="A847">
            <v>64570</v>
          </cell>
        </row>
        <row r="848">
          <cell r="A848">
            <v>64591</v>
          </cell>
        </row>
        <row r="849">
          <cell r="A849">
            <v>64644</v>
          </cell>
        </row>
        <row r="850">
          <cell r="A850">
            <v>64651</v>
          </cell>
        </row>
        <row r="851">
          <cell r="A851">
            <v>64703</v>
          </cell>
        </row>
        <row r="852">
          <cell r="A852">
            <v>64704</v>
          </cell>
        </row>
        <row r="853">
          <cell r="A853">
            <v>64749</v>
          </cell>
        </row>
        <row r="854">
          <cell r="A854">
            <v>64761</v>
          </cell>
        </row>
        <row r="855">
          <cell r="A855">
            <v>64811</v>
          </cell>
        </row>
        <row r="856">
          <cell r="A856">
            <v>64900</v>
          </cell>
        </row>
        <row r="857">
          <cell r="A857">
            <v>64935</v>
          </cell>
        </row>
        <row r="858">
          <cell r="A858">
            <v>64956</v>
          </cell>
        </row>
        <row r="859">
          <cell r="A859">
            <v>64969</v>
          </cell>
        </row>
        <row r="860">
          <cell r="A860">
            <v>65060</v>
          </cell>
        </row>
        <row r="861">
          <cell r="A861">
            <v>65061</v>
          </cell>
        </row>
        <row r="862">
          <cell r="A862">
            <v>65106</v>
          </cell>
        </row>
        <row r="863">
          <cell r="A863">
            <v>65126</v>
          </cell>
        </row>
        <row r="864">
          <cell r="A864">
            <v>65168</v>
          </cell>
        </row>
        <row r="865">
          <cell r="A865">
            <v>65265</v>
          </cell>
        </row>
        <row r="866">
          <cell r="A866">
            <v>65300</v>
          </cell>
        </row>
        <row r="867">
          <cell r="A867">
            <v>65321</v>
          </cell>
        </row>
        <row r="868">
          <cell r="A868">
            <v>65334</v>
          </cell>
        </row>
      </sheetData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 (R$)"/>
      <sheetName val="Scenarios"/>
      <sheetName val="Market"/>
      <sheetName val="MOU"/>
      <sheetName val="Traffic"/>
      <sheetName val="User-based Revenues"/>
      <sheetName val="Interconnection Revenues"/>
      <sheetName val="Interconnection Costs"/>
      <sheetName val="Handsets"/>
      <sheetName val="Variable Costs"/>
      <sheetName val="Fixed Costs"/>
      <sheetName val="EBITDA"/>
      <sheetName val="CAPEX, WK &amp; Taxes"/>
      <sheetName val="P&amp;L Cash Flow"/>
      <sheetName val="Balance Sheet"/>
      <sheetName val="Free Cash Flow"/>
      <sheetName val="Valuation"/>
      <sheetName val="Sensitivities"/>
      <sheetName val="tables"/>
      <sheetName val="Capital Structure &amp; Dividends"/>
      <sheetName val="Macroeconomics"/>
      <sheetName val="COMMENTS"/>
      <sheetName val="Taxes"/>
      <sheetName val="Existing Debt"/>
      <sheetName val="New Debt"/>
      <sheetName val="Margins"/>
      <sheetName val="S&amp;P Ratios"/>
      <sheetName val="S&amp;P Rating Analysis"/>
      <sheetName val="S&amp;P Data, 2004"/>
      <sheetName val="Contingencies"/>
      <sheetName val="Summary"/>
      <sheetName val="Fixed Assets"/>
      <sheetName val="CHECK"/>
      <sheetName val="Módul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 (R$)"/>
      <sheetName val="Scenarios"/>
      <sheetName val="Market"/>
      <sheetName val="MOU"/>
      <sheetName val="Traffic"/>
      <sheetName val="User-based Revenues"/>
      <sheetName val="Interconnection Revenues"/>
      <sheetName val="Interconnection Costs"/>
      <sheetName val="Handsets"/>
      <sheetName val="Variable Costs"/>
      <sheetName val="Fixed Costs"/>
      <sheetName val="EBITDA"/>
      <sheetName val="CAPEX, WK &amp; Taxes"/>
      <sheetName val="P&amp;L Cash Flow"/>
      <sheetName val="Balance Sheet"/>
      <sheetName val="Free Cash Flow"/>
      <sheetName val="Valuation"/>
      <sheetName val="Sensitivities"/>
      <sheetName val="tables"/>
      <sheetName val="Capital Structure &amp; Dividends"/>
      <sheetName val="Macroeconomics"/>
      <sheetName val="COMMENTS"/>
      <sheetName val="Taxes"/>
      <sheetName val="Existing Debt"/>
      <sheetName val="New Debt"/>
      <sheetName val="Margins"/>
      <sheetName val="S&amp;P Ratios"/>
      <sheetName val="S&amp;P Rating Analysis"/>
      <sheetName val="S&amp;P Data, 2004"/>
      <sheetName val="Contingencies"/>
      <sheetName val="Summary"/>
      <sheetName val="Fixed Assets"/>
      <sheetName val="CHECK"/>
      <sheetName val="Módul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 (R$)"/>
      <sheetName val="Scenarios"/>
      <sheetName val="Market"/>
      <sheetName val="MOU"/>
      <sheetName val="Traffic"/>
      <sheetName val="User-based Revenues"/>
      <sheetName val="Interconnection Revenues"/>
      <sheetName val="Interconnection Costs"/>
      <sheetName val="Handsets"/>
      <sheetName val="Variable Costs"/>
      <sheetName val="Fixed Costs"/>
      <sheetName val="EBITDA"/>
      <sheetName val="CAPEX, WK &amp; Taxes"/>
      <sheetName val="P&amp;L Cash Flow"/>
      <sheetName val="Balance Sheet"/>
      <sheetName val="Free Cash Flow"/>
      <sheetName val="Valuation"/>
      <sheetName val="Sensitivities"/>
      <sheetName val="tables"/>
      <sheetName val="Capital Structure &amp; Dividends"/>
      <sheetName val="Macroeconomics"/>
      <sheetName val="COMMENTS"/>
      <sheetName val="Taxes"/>
      <sheetName val="Existing Debt"/>
      <sheetName val="New Debt"/>
      <sheetName val="Margins"/>
      <sheetName val="S&amp;P Ratios"/>
      <sheetName val="S&amp;P Rating Analysis"/>
      <sheetName val="S&amp;P Data, 2004"/>
      <sheetName val="Contingencies"/>
      <sheetName val="Summary"/>
      <sheetName val="Fixed Assets"/>
      <sheetName val="CHECK"/>
      <sheetName val="Módul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rol Panel"/>
      <sheetName val="Macroeconomics"/>
      <sheetName val="Summary"/>
      <sheetName val="WACC"/>
      <sheetName val="Valuation"/>
      <sheetName val="Value sensitivities"/>
      <sheetName val="Revenues"/>
      <sheetName val="Cost of Sales"/>
      <sheetName val="SG&amp;A"/>
      <sheetName val="Balance Sheet"/>
      <sheetName val="P&amp;L Cash Flow"/>
      <sheetName val="CAPEX, WK &amp; Taxes"/>
      <sheetName val="Capital Structure &amp; Dividends"/>
      <sheetName val="Free Cash Flow"/>
      <sheetName val="Margins"/>
      <sheetName val="Contingencies"/>
      <sheetName val="Fixed Assets"/>
      <sheetName val="Existing Debt"/>
      <sheetName val="New Debt"/>
      <sheetName val="S&amp;P Ratios"/>
      <sheetName val="S&amp;P Rating Analysis"/>
      <sheetName val="S&amp;P Data, 2004"/>
      <sheetName val="Taxes"/>
      <sheetName val="Charts"/>
      <sheetName val="WACC Chart"/>
      <sheetName val="Football Field"/>
      <sheetName val="Módulo1"/>
      <sheetName val="Peers and Debt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gt;&gt; Merger Model"/>
      <sheetName val="Ready Reckoner"/>
      <sheetName val="Assumptions"/>
      <sheetName val="MergerCo"/>
      <sheetName val="Pro Forma Financials"/>
      <sheetName val="Tender - Key Financial Impacts"/>
      <sheetName val="Sensitivities"/>
      <sheetName val="Sensitivities -2- "/>
      <sheetName val="PF P&amp;L"/>
      <sheetName val="Relative Contribution"/>
      <sheetName val="Structure A"/>
      <sheetName val="&gt;&gt;Reverse Takeover"/>
      <sheetName val="Reverse Assumptions"/>
      <sheetName val="Synergies &amp; Mine upside"/>
      <sheetName val="Reverse - Key Financial Impacts"/>
      <sheetName val="Share of the Cake"/>
      <sheetName val="Reverse MergerCo"/>
      <sheetName val="Reverse Pro Forma Financials"/>
      <sheetName val="Reverse Sensitivities"/>
      <sheetName val="Structure B"/>
      <sheetName val="&gt;&gt; Acquiror Financials"/>
      <sheetName val="Acquiror Capitalisation"/>
      <sheetName val="Acquiror P&amp;L"/>
      <sheetName val="Acquiror BS&amp;CF"/>
      <sheetName val="&gt;&gt; Target Financials"/>
      <sheetName val="Target Capitalisation"/>
      <sheetName val="Target P&amp;L"/>
      <sheetName val="Target BS&amp;CF"/>
      <sheetName val="Target Options Schemes"/>
      <sheetName val="Target DCF"/>
      <sheetName val="Target Consensus Forecasts"/>
      <sheetName val="&gt;&gt;"/>
      <sheetName val="FX"/>
      <sheetName val="Comparables Net Debt"/>
      <sheetName val="Datastream"/>
      <sheetName val="To do"/>
      <sheetName val="apo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6">
          <cell r="C6" t="str">
            <v>U2</v>
          </cell>
          <cell r="E6" t="str">
            <v>Oasis</v>
          </cell>
        </row>
        <row r="10">
          <cell r="C10">
            <v>1.7546938059308652</v>
          </cell>
          <cell r="E10">
            <v>0.47196526335661698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rol Panel"/>
      <sheetName val="Macroeconomics"/>
      <sheetName val="Buildup"/>
      <sheetName val="P&amp;L Cash Flow"/>
      <sheetName val="Balance Sheet"/>
      <sheetName val="Valuation &amp; WACC"/>
      <sheetName val="Valuation Results"/>
      <sheetName val="CAPEX, WK &amp; Taxes"/>
      <sheetName val="Fixed Assets"/>
      <sheetName val="Financing"/>
      <sheetName val="S&amp;P Rating Analysis"/>
      <sheetName val="Contingencies"/>
      <sheetName val="Outputs &gt;&gt;"/>
      <sheetName val="Error Check"/>
      <sheetName val="Summary (2)"/>
      <sheetName val="Summary"/>
      <sheetName val="Margins"/>
      <sheetName val="WACC Chart"/>
      <sheetName val="Charts"/>
      <sheetName val="Football Field"/>
      <sheetName val="Macros"/>
      <sheetName val="Gr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rol Panel"/>
      <sheetName val="Macroeconomics"/>
      <sheetName val="Summary"/>
      <sheetName val="WACC"/>
      <sheetName val="Valuation"/>
      <sheetName val="Value sensitivities"/>
      <sheetName val="Revenues"/>
      <sheetName val="Cost of Sales"/>
      <sheetName val="SG&amp;A"/>
      <sheetName val="Balance Sheet"/>
      <sheetName val="P&amp;L Cash Flow"/>
      <sheetName val="CAPEX, WK &amp; Taxes"/>
      <sheetName val="Capital Structure &amp; Dividends"/>
      <sheetName val="Free Cash Flow"/>
      <sheetName val="Margins"/>
      <sheetName val="Contingencies"/>
      <sheetName val="Fixed Assets"/>
      <sheetName val="Existing Debt"/>
      <sheetName val="New Debt"/>
      <sheetName val="S&amp;P Ratios"/>
      <sheetName val="S&amp;P Rating Analysis"/>
      <sheetName val="S&amp;P Data, 2004"/>
      <sheetName val="Taxes"/>
      <sheetName val="Charts"/>
      <sheetName val="WACC Chart"/>
      <sheetName val="Football Field"/>
      <sheetName val="Módul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rol Panel"/>
      <sheetName val="Macroeconomics"/>
      <sheetName val="Summary"/>
      <sheetName val="WACC"/>
      <sheetName val="Valuation"/>
      <sheetName val="Value sensitivities"/>
      <sheetName val="Revenues"/>
      <sheetName val="Cost of Sales"/>
      <sheetName val="SG&amp;A"/>
      <sheetName val="Balance Sheet"/>
      <sheetName val="P&amp;L Cash Flow"/>
      <sheetName val="CAPEX, WK &amp; Taxes"/>
      <sheetName val="Capital Structure &amp; Dividends"/>
      <sheetName val="Free Cash Flow"/>
      <sheetName val="Margins"/>
      <sheetName val="Contingencies"/>
      <sheetName val="Fixed Assets"/>
      <sheetName val="Existing Debt"/>
      <sheetName val="New Debt"/>
      <sheetName val="S&amp;P Ratios"/>
      <sheetName val="S&amp;P Rating Analysis"/>
      <sheetName val="S&amp;P Data, 2004"/>
      <sheetName val="Taxes"/>
      <sheetName val="Charts"/>
      <sheetName val="WACC Chart"/>
      <sheetName val="Football Field"/>
      <sheetName val="Módul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rol Panel"/>
      <sheetName val="Macroeconomics"/>
      <sheetName val="Summary"/>
      <sheetName val="Revenues"/>
      <sheetName val="SG&amp;A"/>
      <sheetName val="Balance Sheet"/>
      <sheetName val="P&amp;L Cash Flow"/>
      <sheetName val="Free Cash Flow"/>
      <sheetName val="Valuation"/>
      <sheetName val="DDM"/>
      <sheetName val="CAPEX, WK &amp; Taxes"/>
      <sheetName val="Sensitivities"/>
      <sheetName val="Capital Structure &amp; Dividends"/>
      <sheetName val="Fixed Assets"/>
      <sheetName val="Margins"/>
      <sheetName val="Contingencies"/>
      <sheetName val="Existing Debt"/>
      <sheetName val="New Debt"/>
      <sheetName val="S&amp;P Ratios"/>
      <sheetName val="S&amp;P Rating Analysis"/>
      <sheetName val="S&amp;P Data, 2004"/>
      <sheetName val="Value Buildup"/>
      <sheetName val="Football Field"/>
      <sheetName val="Charts"/>
      <sheetName val="Presentation Tables"/>
      <sheetName val="Presentation - Macroeconomics"/>
      <sheetName val="Multiples"/>
      <sheetName val="WACC"/>
      <sheetName val="Macros"/>
      <sheetName val="IGP-M"/>
      <sheetName val="Taxes"/>
      <sheetName val="Control"/>
      <sheetName val="Módulo1"/>
      <sheetName val="DRE - NC"/>
      <sheetName val="Balanço - NC"/>
    </sheetNames>
    <sheetDataSet>
      <sheetData sheetId="0"/>
      <sheetData sheetId="1" refreshError="1">
        <row r="1">
          <cell r="I1">
            <v>1.9000000000000008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6:F11"/>
  <sheetViews>
    <sheetView showGridLines="0" zoomScale="85" zoomScaleNormal="85" workbookViewId="0">
      <selection activeCell="B13" sqref="B12:B13"/>
    </sheetView>
  </sheetViews>
  <sheetFormatPr defaultRowHeight="13.2"/>
  <cols>
    <col min="2" max="2" width="38.44140625" customWidth="1"/>
    <col min="3" max="6" width="31.5546875" customWidth="1"/>
  </cols>
  <sheetData>
    <row r="6" spans="2:6" ht="13.8" thickBot="1"/>
    <row r="7" spans="2:6" ht="14.4" thickBot="1">
      <c r="B7" s="391" t="s">
        <v>380</v>
      </c>
      <c r="C7" s="391" t="s">
        <v>381</v>
      </c>
      <c r="D7" s="392" t="s">
        <v>382</v>
      </c>
      <c r="E7" s="392" t="s">
        <v>383</v>
      </c>
      <c r="F7" s="392" t="s">
        <v>384</v>
      </c>
    </row>
    <row r="8" spans="2:6" ht="13.8" thickBot="1">
      <c r="B8" s="613" t="s">
        <v>385</v>
      </c>
      <c r="C8" s="614"/>
      <c r="D8" s="614"/>
      <c r="E8" s="614"/>
      <c r="F8" s="614"/>
    </row>
    <row r="9" spans="2:6" ht="77.25" customHeight="1" thickBot="1">
      <c r="B9" s="393" t="str">
        <f>Output!B3</f>
        <v>Base Case</v>
      </c>
      <c r="C9" s="412"/>
      <c r="D9" s="412"/>
      <c r="E9" s="412"/>
      <c r="F9" s="412"/>
    </row>
    <row r="10" spans="2:6" ht="77.25" customHeight="1" thickBot="1">
      <c r="B10" s="393" t="str">
        <f>Output!B4</f>
        <v>Cliente Case</v>
      </c>
      <c r="C10" s="412"/>
      <c r="D10" s="412"/>
      <c r="E10" s="412"/>
      <c r="F10" s="412"/>
    </row>
    <row r="11" spans="2:6" ht="77.25" hidden="1" customHeight="1" thickBot="1">
      <c r="B11" s="393" t="str">
        <f>Output!B5 &amp; "  (Ainda a definir)"</f>
        <v>Stress Case  (Ainda a definir)</v>
      </c>
      <c r="C11" s="412"/>
      <c r="D11" s="412"/>
      <c r="E11" s="412"/>
      <c r="F11" s="412"/>
    </row>
  </sheetData>
  <mergeCells count="1">
    <mergeCell ref="B8:F8"/>
  </mergeCells>
  <phoneticPr fontId="114" type="noConversion"/>
  <pageMargins left="0.75" right="0.75" top="1" bottom="1" header="0.5" footer="0.5"/>
  <pageSetup paperSize="9" scale="8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C6"/>
  <sheetViews>
    <sheetView showGridLines="0" workbookViewId="0">
      <selection activeCell="C5" sqref="C5"/>
    </sheetView>
  </sheetViews>
  <sheetFormatPr defaultRowHeight="13.2"/>
  <cols>
    <col min="3" max="3" width="101.109375" customWidth="1"/>
  </cols>
  <sheetData>
    <row r="4" spans="3:3" ht="32.4">
      <c r="C4" s="446" t="s">
        <v>458</v>
      </c>
    </row>
    <row r="6" spans="3:3">
      <c r="C6" s="345" t="s">
        <v>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E217"/>
  <sheetViews>
    <sheetView showGridLines="0" tabSelected="1" zoomScaleNormal="85" zoomScaleSheetLayoutView="85" workbookViewId="0">
      <selection activeCell="B10" sqref="B10"/>
    </sheetView>
  </sheetViews>
  <sheetFormatPr defaultColWidth="9.109375" defaultRowHeight="13.2" outlineLevelRow="1"/>
  <cols>
    <col min="1" max="1" width="2.33203125" style="167" customWidth="1"/>
    <col min="2" max="2" width="62.44140625" style="167" customWidth="1"/>
    <col min="3" max="6" width="12" style="167" hidden="1" customWidth="1"/>
    <col min="7" max="7" width="11.88671875" style="167" customWidth="1"/>
    <col min="8" max="9" width="12" style="167" customWidth="1"/>
    <col min="10" max="10" width="13.33203125" style="167" bestFit="1" customWidth="1"/>
    <col min="11" max="15" width="12" style="167" customWidth="1"/>
    <col min="16" max="28" width="12" style="167" hidden="1" customWidth="1"/>
    <col min="29" max="29" width="11.33203125" style="167" bestFit="1" customWidth="1"/>
    <col min="30" max="30" width="29.33203125" style="167" customWidth="1"/>
    <col min="31" max="37" width="11.5546875" style="167" bestFit="1" customWidth="1"/>
    <col min="38" max="40" width="9.109375" style="167"/>
    <col min="41" max="41" width="16.6640625" style="167" customWidth="1"/>
    <col min="42" max="42" width="40.33203125" style="167" customWidth="1"/>
    <col min="43" max="44" width="7.44140625" style="167" customWidth="1"/>
    <col min="45" max="50" width="12" style="167" customWidth="1"/>
    <col min="51" max="52" width="12" style="167" hidden="1" customWidth="1"/>
    <col min="53" max="54" width="7.44140625" style="167" hidden="1" customWidth="1"/>
    <col min="55" max="55" width="6" style="167" customWidth="1"/>
    <col min="56" max="56" width="11.44140625" style="167" customWidth="1"/>
    <col min="57" max="57" width="11.88671875" style="167" bestFit="1" customWidth="1"/>
    <col min="58" max="16384" width="9.109375" style="167"/>
  </cols>
  <sheetData>
    <row r="1" spans="1:56">
      <c r="A1" s="166"/>
    </row>
    <row r="2" spans="1:56">
      <c r="A2" s="166"/>
      <c r="B2" s="407" t="s">
        <v>139</v>
      </c>
      <c r="C2" s="408"/>
      <c r="D2" s="408"/>
      <c r="E2" s="408"/>
      <c r="F2" s="408"/>
      <c r="G2" s="389">
        <v>1</v>
      </c>
      <c r="I2" s="615" t="s">
        <v>377</v>
      </c>
      <c r="J2" s="616"/>
      <c r="K2" s="616"/>
      <c r="L2" s="617"/>
    </row>
    <row r="3" spans="1:56">
      <c r="A3" s="166"/>
      <c r="B3" s="382" t="s">
        <v>373</v>
      </c>
      <c r="G3" s="169">
        <v>1</v>
      </c>
      <c r="I3" s="618" t="s">
        <v>374</v>
      </c>
      <c r="J3" s="618"/>
      <c r="K3" s="618"/>
      <c r="L3" s="406">
        <f>'Revenues, COGS &amp; SG&amp;A'!C3</f>
        <v>1</v>
      </c>
    </row>
    <row r="4" spans="1:56">
      <c r="A4" s="166"/>
      <c r="B4" s="382" t="s">
        <v>454</v>
      </c>
      <c r="D4" s="171"/>
      <c r="G4" s="169">
        <v>2</v>
      </c>
      <c r="I4" s="618" t="s">
        <v>375</v>
      </c>
      <c r="J4" s="618"/>
      <c r="K4" s="618"/>
      <c r="L4" s="406">
        <f>'Fixed Assets &amp; CAPEX'!C3</f>
        <v>1</v>
      </c>
      <c r="AC4" s="175"/>
    </row>
    <row r="5" spans="1:56">
      <c r="A5" s="166"/>
      <c r="B5" s="168" t="s">
        <v>350</v>
      </c>
      <c r="D5" s="171"/>
      <c r="G5" s="169">
        <v>3</v>
      </c>
      <c r="I5" s="618" t="s">
        <v>376</v>
      </c>
      <c r="J5" s="618"/>
      <c r="K5" s="618"/>
      <c r="L5" s="406">
        <f>'Working Capital'!C3</f>
        <v>1</v>
      </c>
    </row>
    <row r="6" spans="1:56">
      <c r="A6" s="166"/>
      <c r="B6" s="168"/>
      <c r="C6" s="172"/>
      <c r="D6" s="173"/>
      <c r="G6" s="174"/>
      <c r="H6" s="174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</row>
    <row r="7" spans="1:56">
      <c r="C7" s="176"/>
      <c r="D7" s="176"/>
      <c r="G7" s="170"/>
      <c r="H7" s="170"/>
      <c r="I7" s="170"/>
      <c r="J7" s="170"/>
      <c r="K7" s="170"/>
      <c r="L7" s="170"/>
      <c r="M7" s="170"/>
      <c r="N7" s="477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</row>
    <row r="8" spans="1:56" ht="16.2" thickBot="1">
      <c r="B8" s="177" t="s">
        <v>108</v>
      </c>
      <c r="C8" s="178"/>
      <c r="D8" s="173"/>
      <c r="E8" s="173"/>
      <c r="F8" s="173"/>
      <c r="G8" s="176"/>
      <c r="H8" s="493"/>
      <c r="I8" s="169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0"/>
      <c r="AD8" s="170"/>
      <c r="AE8" s="170"/>
      <c r="AF8" s="170"/>
      <c r="AG8" s="170"/>
      <c r="AH8" s="170"/>
      <c r="AI8" s="170"/>
      <c r="AJ8" s="170"/>
    </row>
    <row r="9" spans="1:56" s="175" customFormat="1" ht="14.4" thickBot="1">
      <c r="A9" s="167"/>
      <c r="B9" s="396" t="s">
        <v>124</v>
      </c>
      <c r="C9" s="397"/>
      <c r="D9" s="397"/>
      <c r="E9" s="397"/>
      <c r="F9" s="397"/>
      <c r="G9" s="397">
        <v>2010</v>
      </c>
      <c r="H9" s="397">
        <f>G9+1</f>
        <v>2011</v>
      </c>
      <c r="I9" s="397">
        <f t="shared" ref="I9:AB9" si="0">H9+1</f>
        <v>2012</v>
      </c>
      <c r="J9" s="397">
        <f t="shared" si="0"/>
        <v>2013</v>
      </c>
      <c r="K9" s="397">
        <f t="shared" si="0"/>
        <v>2014</v>
      </c>
      <c r="L9" s="397">
        <f t="shared" si="0"/>
        <v>2015</v>
      </c>
      <c r="M9" s="397">
        <f t="shared" si="0"/>
        <v>2016</v>
      </c>
      <c r="N9" s="397">
        <f t="shared" si="0"/>
        <v>2017</v>
      </c>
      <c r="O9" s="397">
        <f t="shared" si="0"/>
        <v>2018</v>
      </c>
      <c r="P9" s="397">
        <f t="shared" si="0"/>
        <v>2019</v>
      </c>
      <c r="Q9" s="397">
        <f t="shared" si="0"/>
        <v>2020</v>
      </c>
      <c r="R9" s="397">
        <f t="shared" si="0"/>
        <v>2021</v>
      </c>
      <c r="S9" s="397">
        <f t="shared" si="0"/>
        <v>2022</v>
      </c>
      <c r="T9" s="397">
        <f t="shared" si="0"/>
        <v>2023</v>
      </c>
      <c r="U9" s="397">
        <f t="shared" si="0"/>
        <v>2024</v>
      </c>
      <c r="V9" s="397">
        <f t="shared" si="0"/>
        <v>2025</v>
      </c>
      <c r="W9" s="397">
        <f t="shared" si="0"/>
        <v>2026</v>
      </c>
      <c r="X9" s="397">
        <f t="shared" si="0"/>
        <v>2027</v>
      </c>
      <c r="Y9" s="397">
        <f t="shared" si="0"/>
        <v>2028</v>
      </c>
      <c r="Z9" s="397">
        <f t="shared" si="0"/>
        <v>2029</v>
      </c>
      <c r="AA9" s="397">
        <f t="shared" si="0"/>
        <v>2030</v>
      </c>
      <c r="AB9" s="397">
        <f t="shared" si="0"/>
        <v>2031</v>
      </c>
      <c r="AN9" s="414"/>
    </row>
    <row r="10" spans="1:56" ht="13.8" thickBot="1">
      <c r="B10" s="179" t="s">
        <v>125</v>
      </c>
      <c r="D10" s="210"/>
      <c r="E10" s="210"/>
      <c r="F10" s="157"/>
      <c r="G10" s="210">
        <f>'Income Statement'!H24</f>
        <v>2434971</v>
      </c>
      <c r="H10" s="210">
        <f>'Income Statement'!I24</f>
        <v>2853511</v>
      </c>
      <c r="I10" s="210">
        <f>'Income Statement'!J24</f>
        <v>3068721.7350129713</v>
      </c>
      <c r="J10" s="210">
        <f>'Income Statement'!K24</f>
        <v>3352129.263562154</v>
      </c>
      <c r="K10" s="210">
        <f>'Income Statement'!L24</f>
        <v>3604529.7177357315</v>
      </c>
      <c r="L10" s="210">
        <f>'Income Statement'!M24</f>
        <v>3881886.116239564</v>
      </c>
      <c r="M10" s="210">
        <f>'Income Statement'!N24</f>
        <v>4190073.4428049237</v>
      </c>
      <c r="N10" s="210">
        <f>'Income Statement'!O24</f>
        <v>4520937.4662060812</v>
      </c>
      <c r="O10" s="210">
        <f>'Income Statement'!P24</f>
        <v>4881166.569797093</v>
      </c>
      <c r="P10" s="210">
        <f>'Income Statement'!Q24</f>
        <v>5270328.7306498839</v>
      </c>
      <c r="Q10" s="210">
        <f>'Income Statement'!R24</f>
        <v>5687296.3597034728</v>
      </c>
      <c r="R10" s="210">
        <f>'Income Statement'!S24</f>
        <v>6134863.5717666429</v>
      </c>
      <c r="S10" s="210">
        <f>'Income Statement'!T24</f>
        <v>6619428.2552587092</v>
      </c>
      <c r="T10" s="210">
        <f>'Income Statement'!U24</f>
        <v>7193663.6564024016</v>
      </c>
      <c r="U10" s="210">
        <f>'Income Statement'!V24</f>
        <v>7817713.978595309</v>
      </c>
      <c r="V10" s="210">
        <f>'Income Statement'!W24</f>
        <v>8495900.6662384514</v>
      </c>
      <c r="W10" s="210">
        <f>'Income Statement'!X24</f>
        <v>9232920.0490346365</v>
      </c>
      <c r="X10" s="210">
        <f>'Income Statement'!Y24</f>
        <v>10033875.86328839</v>
      </c>
      <c r="Y10" s="210">
        <f>'Income Statement'!Z24</f>
        <v>10904314.594428657</v>
      </c>
      <c r="Z10" s="210">
        <f>'Income Statement'!AA24</f>
        <v>11850263.88549534</v>
      </c>
      <c r="AA10" s="210">
        <f>'Income Statement'!AB24</f>
        <v>12878274.277562059</v>
      </c>
      <c r="AB10" s="210">
        <f>'Income Statement'!AC24</f>
        <v>12878274.277562059</v>
      </c>
      <c r="AD10" s="180"/>
    </row>
    <row r="11" spans="1:56" ht="14.4" thickBot="1">
      <c r="B11" s="181" t="s">
        <v>116</v>
      </c>
      <c r="D11" s="211"/>
      <c r="E11" s="211"/>
      <c r="F11" s="158"/>
      <c r="G11" s="458" t="e">
        <f>(G10-F10)/F10</f>
        <v>#DIV/0!</v>
      </c>
      <c r="H11" s="211">
        <f>(H10-G10)/G10</f>
        <v>0.17188705738179222</v>
      </c>
      <c r="I11" s="211">
        <f>(I10-H10)/H10</f>
        <v>7.5419626913290794E-2</v>
      </c>
      <c r="J11" s="211">
        <f>(J10-I10)/I10</f>
        <v>9.2353609424930386E-2</v>
      </c>
      <c r="K11" s="211">
        <f t="shared" ref="K11:AB11" si="1">(K10-J10)/J10</f>
        <v>7.5295561217517931E-2</v>
      </c>
      <c r="L11" s="211">
        <f t="shared" si="1"/>
        <v>7.6946625558149184E-2</v>
      </c>
      <c r="M11" s="211">
        <f t="shared" si="1"/>
        <v>7.9391130326075865E-2</v>
      </c>
      <c r="N11" s="211">
        <f t="shared" si="1"/>
        <v>7.8963776630051163E-2</v>
      </c>
      <c r="O11" s="211">
        <f t="shared" si="1"/>
        <v>7.9680178344362709E-2</v>
      </c>
      <c r="P11" s="211">
        <f t="shared" si="1"/>
        <v>7.9727285534729866E-2</v>
      </c>
      <c r="Q11" s="211">
        <f t="shared" si="1"/>
        <v>7.911605715003904E-2</v>
      </c>
      <c r="R11" s="211">
        <f t="shared" si="1"/>
        <v>7.8695953886690997E-2</v>
      </c>
      <c r="S11" s="211">
        <f t="shared" si="1"/>
        <v>7.8985404943981069E-2</v>
      </c>
      <c r="T11" s="211">
        <f t="shared" si="1"/>
        <v>8.6749999999999911E-2</v>
      </c>
      <c r="U11" s="211">
        <f t="shared" si="1"/>
        <v>8.6749999999999855E-2</v>
      </c>
      <c r="V11" s="211">
        <f t="shared" si="1"/>
        <v>8.6749999999999924E-2</v>
      </c>
      <c r="W11" s="211">
        <f t="shared" si="1"/>
        <v>8.6749999999999938E-2</v>
      </c>
      <c r="X11" s="211">
        <f t="shared" si="1"/>
        <v>8.6749999999999813E-2</v>
      </c>
      <c r="Y11" s="211">
        <f t="shared" si="1"/>
        <v>8.6749999999999938E-2</v>
      </c>
      <c r="Z11" s="211">
        <f t="shared" si="1"/>
        <v>8.6749999999999799E-2</v>
      </c>
      <c r="AA11" s="211">
        <f t="shared" si="1"/>
        <v>8.6749999999999855E-2</v>
      </c>
      <c r="AB11" s="211">
        <f t="shared" si="1"/>
        <v>0</v>
      </c>
      <c r="AD11" s="396"/>
      <c r="AE11" s="397">
        <v>2009</v>
      </c>
      <c r="AF11" s="397">
        <v>2010</v>
      </c>
      <c r="AG11" s="397">
        <v>2011</v>
      </c>
      <c r="AH11" s="397">
        <v>2012</v>
      </c>
      <c r="AI11" s="397">
        <v>2013</v>
      </c>
      <c r="AJ11" s="397">
        <v>2014</v>
      </c>
      <c r="AK11" s="397">
        <v>2015</v>
      </c>
      <c r="AO11" s="400" t="s">
        <v>391</v>
      </c>
      <c r="AP11" s="399" t="s">
        <v>390</v>
      </c>
      <c r="AQ11" s="397">
        <v>2009</v>
      </c>
      <c r="AR11" s="397">
        <v>2010</v>
      </c>
      <c r="AS11" s="397">
        <v>2013</v>
      </c>
      <c r="AT11" s="397">
        <f>AS11+1</f>
        <v>2014</v>
      </c>
      <c r="AU11" s="397">
        <f t="shared" ref="AU11:AZ11" si="2">AT11+1</f>
        <v>2015</v>
      </c>
      <c r="AV11" s="397">
        <f t="shared" si="2"/>
        <v>2016</v>
      </c>
      <c r="AW11" s="397">
        <f t="shared" si="2"/>
        <v>2017</v>
      </c>
      <c r="AX11" s="397">
        <f t="shared" si="2"/>
        <v>2018</v>
      </c>
      <c r="AY11" s="397">
        <f t="shared" si="2"/>
        <v>2019</v>
      </c>
      <c r="AZ11" s="397">
        <f t="shared" si="2"/>
        <v>2020</v>
      </c>
      <c r="BA11" s="397">
        <v>2019</v>
      </c>
      <c r="BB11" s="397">
        <v>2020</v>
      </c>
    </row>
    <row r="12" spans="1:56" ht="13.8" thickBot="1">
      <c r="B12" s="182" t="s">
        <v>23</v>
      </c>
      <c r="C12" s="183"/>
      <c r="D12" s="183"/>
      <c r="E12" s="183"/>
      <c r="F12" s="188"/>
      <c r="G12" s="183">
        <f>'Income Statement'!H42</f>
        <v>82461</v>
      </c>
      <c r="H12" s="183">
        <f>'Income Statement'!I42</f>
        <v>115501</v>
      </c>
      <c r="I12" s="183">
        <f ca="1">'Income Statement'!J42</f>
        <v>95584.449610549171</v>
      </c>
      <c r="J12" s="183">
        <f ca="1">'Income Statement'!K42</f>
        <v>118167.80697688277</v>
      </c>
      <c r="K12" s="183">
        <f ca="1">'Income Statement'!L42</f>
        <v>165665.85527058641</v>
      </c>
      <c r="L12" s="183">
        <f ca="1">'Income Statement'!M42</f>
        <v>164205.03355630636</v>
      </c>
      <c r="M12" s="183">
        <f ca="1">'Income Statement'!N42</f>
        <v>130003.15410015167</v>
      </c>
      <c r="N12" s="183">
        <f ca="1">'Income Statement'!O42</f>
        <v>138513.19417607188</v>
      </c>
      <c r="O12" s="183">
        <f ca="1">'Income Statement'!P42</f>
        <v>148867.71120544308</v>
      </c>
      <c r="P12" s="183">
        <f ca="1">'Income Statement'!Q42</f>
        <v>264056.9739525214</v>
      </c>
      <c r="Q12" s="183">
        <f ca="1">'Income Statement'!R42</f>
        <v>220883.45248801695</v>
      </c>
      <c r="R12" s="183">
        <f ca="1">'Income Statement'!S42</f>
        <v>258712.82132728994</v>
      </c>
      <c r="S12" s="183">
        <f ca="1">'Income Statement'!T42</f>
        <v>262814.73627349245</v>
      </c>
      <c r="T12" s="183">
        <f ca="1">'Income Statement'!U42</f>
        <v>290897.72848090157</v>
      </c>
      <c r="U12" s="183">
        <f ca="1">'Income Statement'!V42</f>
        <v>279703.13965033757</v>
      </c>
      <c r="V12" s="183">
        <f ca="1">'Income Statement'!W42</f>
        <v>423541.29693235102</v>
      </c>
      <c r="W12" s="183">
        <f ca="1">'Income Statement'!X42</f>
        <v>442024.82329709601</v>
      </c>
      <c r="X12" s="183">
        <f ca="1">'Income Statement'!Y42</f>
        <v>460000.28084412968</v>
      </c>
      <c r="Y12" s="183">
        <f ca="1">'Income Statement'!Z42</f>
        <v>479110.78420908877</v>
      </c>
      <c r="Z12" s="183">
        <f ca="1">'Income Statement'!AA42</f>
        <v>500026.94788896001</v>
      </c>
      <c r="AA12" s="183">
        <f ca="1">'Income Statement'!AB42</f>
        <v>520061.19455367373</v>
      </c>
      <c r="AB12" s="183">
        <f ca="1">'Income Statement'!AC42</f>
        <v>516528.38384373271</v>
      </c>
      <c r="AD12" s="167" t="s">
        <v>386</v>
      </c>
      <c r="AE12" s="167">
        <f>G12</f>
        <v>82461</v>
      </c>
      <c r="AF12" s="167">
        <f t="shared" ref="AF12:AK12" si="3">H12</f>
        <v>115501</v>
      </c>
      <c r="AG12" s="167">
        <f t="shared" ca="1" si="3"/>
        <v>95584.449610549171</v>
      </c>
      <c r="AH12" s="167">
        <f t="shared" ca="1" si="3"/>
        <v>118167.80697688277</v>
      </c>
      <c r="AI12" s="167">
        <f t="shared" ca="1" si="3"/>
        <v>165665.85527058641</v>
      </c>
      <c r="AJ12" s="167">
        <f t="shared" ca="1" si="3"/>
        <v>164205.03355630636</v>
      </c>
      <c r="AK12" s="167">
        <f t="shared" ca="1" si="3"/>
        <v>130003.15410015167</v>
      </c>
      <c r="AO12" s="167" t="s">
        <v>373</v>
      </c>
      <c r="AP12" s="611" t="s">
        <v>373</v>
      </c>
      <c r="AS12" s="477">
        <v>4.0205585258605681E-2</v>
      </c>
      <c r="AT12" s="477">
        <v>4.465237969947812E-2</v>
      </c>
      <c r="AU12" s="477">
        <v>4.5140839446809973E-2</v>
      </c>
      <c r="AV12" s="477">
        <v>4.6529053679637139E-2</v>
      </c>
      <c r="AW12" s="477">
        <v>4.755055287173901E-2</v>
      </c>
      <c r="AX12" s="477">
        <v>4.8846226328916574E-2</v>
      </c>
      <c r="AY12" s="477"/>
    </row>
    <row r="13" spans="1:56" ht="13.8" hidden="1" thickBot="1">
      <c r="B13" s="181" t="s">
        <v>116</v>
      </c>
      <c r="C13" s="216"/>
      <c r="D13" s="211"/>
      <c r="E13" s="211"/>
      <c r="F13" s="158"/>
      <c r="G13" s="211" t="e">
        <f t="shared" ref="G13" si="4">(G12-F12)/F12</f>
        <v>#DIV/0!</v>
      </c>
      <c r="H13" s="211">
        <f t="shared" ref="H13" si="5">(H12-G12)/G12</f>
        <v>0.40067425813414825</v>
      </c>
      <c r="I13" s="211">
        <f t="shared" ref="I13" ca="1" si="6">(I12-H12)/H12</f>
        <v>-0.17243617275565432</v>
      </c>
      <c r="J13" s="211">
        <f t="shared" ref="J13" ca="1" si="7">(J12-I12)/I12</f>
        <v>0.23626601877551837</v>
      </c>
      <c r="K13" s="211">
        <f t="shared" ref="K13" ca="1" si="8">(K12-J12)/J12</f>
        <v>0.40195421670976522</v>
      </c>
      <c r="L13" s="211">
        <f t="shared" ref="L13" ca="1" si="9">(L12-K12)/K12</f>
        <v>-8.8178804974269331E-3</v>
      </c>
      <c r="M13" s="211">
        <f t="shared" ref="M13" ca="1" si="10">(M12-L12)/L12</f>
        <v>-0.20828764329216962</v>
      </c>
      <c r="N13" s="211">
        <f t="shared" ref="N13" ca="1" si="11">(N12-M12)/M12</f>
        <v>6.5460258520837478E-2</v>
      </c>
      <c r="O13" s="211">
        <f t="shared" ref="O13" ca="1" si="12">(O12-N12)/N12</f>
        <v>7.4754734312234492E-2</v>
      </c>
      <c r="P13" s="211">
        <f t="shared" ref="P13" ca="1" si="13">(P12-O12)/O12</f>
        <v>0.7737692869349807</v>
      </c>
      <c r="Q13" s="211">
        <f t="shared" ref="Q13" ca="1" si="14">(Q12-P12)/P12</f>
        <v>-0.16350078098019571</v>
      </c>
      <c r="R13" s="211">
        <f t="shared" ref="R13" ca="1" si="15">(R12-Q12)/Q12</f>
        <v>0.17126393314286528</v>
      </c>
      <c r="S13" s="211">
        <f t="shared" ref="S13" ca="1" si="16">(S12-R12)/R12</f>
        <v>1.5855089535795744E-2</v>
      </c>
      <c r="T13" s="211">
        <f t="shared" ref="T13" ca="1" si="17">(T12-S12)/S12</f>
        <v>0.10685470915978303</v>
      </c>
      <c r="U13" s="211">
        <f t="shared" ref="U13" ca="1" si="18">(U12-T12)/T12</f>
        <v>-3.8482902183606976E-2</v>
      </c>
      <c r="V13" s="211">
        <f t="shared" ref="V13" ca="1" si="19">(V12-U12)/U12</f>
        <v>0.51425292351679841</v>
      </c>
      <c r="W13" s="211">
        <f t="shared" ref="W13" ca="1" si="20">(W12-V12)/V12</f>
        <v>4.3640434825643983E-2</v>
      </c>
      <c r="X13" s="211">
        <f t="shared" ref="X13" ca="1" si="21">(X12-W12)/W12</f>
        <v>4.0666172123441841E-2</v>
      </c>
      <c r="Y13" s="211">
        <f t="shared" ref="Y13" ca="1" si="22">(Y12-X12)/X12</f>
        <v>4.1544547168297606E-2</v>
      </c>
      <c r="Z13" s="211">
        <f t="shared" ref="Z13" ca="1" si="23">(Z12-Y12)/Y12</f>
        <v>4.3656215575275423E-2</v>
      </c>
      <c r="AA13" s="211">
        <f t="shared" ref="AA13" ca="1" si="24">(AA12-Z12)/Z12</f>
        <v>4.0066333923192241E-2</v>
      </c>
      <c r="AB13" s="211">
        <f t="shared" ref="AB13" ca="1" si="25">(AB12-AA12)/AA12</f>
        <v>-6.7930673292648774E-3</v>
      </c>
      <c r="AD13" s="180" t="s">
        <v>387</v>
      </c>
      <c r="AE13" s="198">
        <f>2*AE12</f>
        <v>164922</v>
      </c>
      <c r="AF13" s="198">
        <f t="shared" ref="AF13:AK13" si="26">2*AF12</f>
        <v>231002</v>
      </c>
      <c r="AG13" s="198">
        <f t="shared" ca="1" si="26"/>
        <v>191168.89922109834</v>
      </c>
      <c r="AH13" s="198">
        <f t="shared" ca="1" si="26"/>
        <v>236335.61395376554</v>
      </c>
      <c r="AI13" s="198">
        <f t="shared" ca="1" si="26"/>
        <v>331331.71054117283</v>
      </c>
      <c r="AJ13" s="198">
        <f t="shared" ca="1" si="26"/>
        <v>328410.06711261271</v>
      </c>
      <c r="AK13" s="198">
        <f t="shared" ca="1" si="26"/>
        <v>260006.30820030335</v>
      </c>
      <c r="AO13" s="401" t="s">
        <v>378</v>
      </c>
      <c r="AP13" s="203" t="str">
        <f t="shared" ref="AP13" si="27">B$25&amp;" "&amp;AO13</f>
        <v>Variação NCG Client Case</v>
      </c>
      <c r="AQ13" s="398"/>
      <c r="AR13" s="398"/>
      <c r="AS13" s="398">
        <v>-1130.3120805369126</v>
      </c>
      <c r="AT13" s="398">
        <v>-10886.227229146703</v>
      </c>
      <c r="AU13" s="398">
        <v>-12264.203739213806</v>
      </c>
      <c r="AV13" s="398">
        <v>-15929.102588686475</v>
      </c>
      <c r="AW13" s="398">
        <v>-14631.610738255025</v>
      </c>
      <c r="AX13" s="394">
        <v>-11863.96548418024</v>
      </c>
      <c r="AY13" s="394">
        <v>2.3029296293412322</v>
      </c>
      <c r="AZ13" s="394"/>
      <c r="BA13" s="394"/>
      <c r="BB13" s="394"/>
    </row>
    <row r="14" spans="1:56" ht="13.8" thickBot="1">
      <c r="B14" s="184" t="s">
        <v>240</v>
      </c>
      <c r="C14" s="212"/>
      <c r="D14" s="212"/>
      <c r="E14" s="212"/>
      <c r="F14" s="158"/>
      <c r="G14" s="151">
        <f t="shared" ref="G14" si="28">G12/G10</f>
        <v>3.3865290387441987E-2</v>
      </c>
      <c r="H14" s="151">
        <f t="shared" ref="H14:AB14" si="29">H12/H10</f>
        <v>4.0476802086972859E-2</v>
      </c>
      <c r="I14" s="151">
        <f t="shared" ca="1" si="29"/>
        <v>3.1147969045210656E-2</v>
      </c>
      <c r="J14" s="151">
        <f t="shared" ca="1" si="29"/>
        <v>3.5251566298881702E-2</v>
      </c>
      <c r="K14" s="151">
        <f t="shared" ca="1" si="29"/>
        <v>4.5960463151529581E-2</v>
      </c>
      <c r="L14" s="151">
        <f t="shared" ca="1" si="29"/>
        <v>4.2300322224644242E-2</v>
      </c>
      <c r="M14" s="151">
        <f t="shared" ca="1" si="29"/>
        <v>3.10264619164109E-2</v>
      </c>
      <c r="N14" s="151">
        <f t="shared" ca="1" si="29"/>
        <v>3.0638157508582078E-2</v>
      </c>
      <c r="O14" s="151">
        <f t="shared" ca="1" si="29"/>
        <v>3.0498387849860122E-2</v>
      </c>
      <c r="P14" s="151">
        <f t="shared" ca="1" si="29"/>
        <v>5.0102562372795395E-2</v>
      </c>
      <c r="Q14" s="151">
        <f t="shared" ca="1" si="29"/>
        <v>3.8838041578605813E-2</v>
      </c>
      <c r="R14" s="151">
        <f t="shared" ca="1" si="29"/>
        <v>4.2170916810263963E-2</v>
      </c>
      <c r="S14" s="151">
        <f t="shared" ca="1" si="29"/>
        <v>3.9703540266442662E-2</v>
      </c>
      <c r="T14" s="151">
        <f t="shared" ca="1" si="29"/>
        <v>4.0438049702532439E-2</v>
      </c>
      <c r="U14" s="151">
        <f t="shared" ca="1" si="29"/>
        <v>3.577812393957585E-2</v>
      </c>
      <c r="V14" s="151">
        <f t="shared" ca="1" si="29"/>
        <v>4.98524304333555E-2</v>
      </c>
      <c r="W14" s="151">
        <f t="shared" ca="1" si="29"/>
        <v>4.787486742542655E-2</v>
      </c>
      <c r="X14" s="151">
        <f t="shared" ca="1" si="29"/>
        <v>4.5844725120345903E-2</v>
      </c>
      <c r="Y14" s="151">
        <f t="shared" ca="1" si="29"/>
        <v>4.3937725756177368E-2</v>
      </c>
      <c r="Z14" s="151">
        <f t="shared" ca="1" si="29"/>
        <v>4.2195427268163228E-2</v>
      </c>
      <c r="AA14" s="151">
        <f t="shared" ca="1" si="29"/>
        <v>4.0382832617548867E-2</v>
      </c>
      <c r="AB14" s="151">
        <f t="shared" ca="1" si="29"/>
        <v>4.0108509316631423E-2</v>
      </c>
      <c r="AD14" s="180" t="s">
        <v>388</v>
      </c>
      <c r="AE14" s="395">
        <f>G32</f>
        <v>119958</v>
      </c>
      <c r="AF14" s="395">
        <f t="shared" ref="AF14:AK14" si="30">H32</f>
        <v>228486</v>
      </c>
      <c r="AG14" s="395">
        <f t="shared" ca="1" si="30"/>
        <v>149443.50967980342</v>
      </c>
      <c r="AH14" s="395">
        <f t="shared" ca="1" si="30"/>
        <v>165864.85863469099</v>
      </c>
      <c r="AI14" s="395">
        <f t="shared" ca="1" si="30"/>
        <v>120594.36809195251</v>
      </c>
      <c r="AJ14" s="395">
        <f t="shared" ca="1" si="30"/>
        <v>70000</v>
      </c>
      <c r="AK14" s="395">
        <f t="shared" ca="1" si="30"/>
        <v>70000</v>
      </c>
      <c r="AO14" s="401" t="s">
        <v>350</v>
      </c>
      <c r="AP14" s="410" t="s">
        <v>350</v>
      </c>
      <c r="AQ14" s="398"/>
      <c r="AR14" s="398"/>
      <c r="AS14" s="151">
        <v>3.3074510457726643E-2</v>
      </c>
      <c r="AT14" s="151">
        <v>3.2433557390609977E-2</v>
      </c>
      <c r="AU14" s="151">
        <v>3.1969456612986329E-2</v>
      </c>
      <c r="AV14" s="151">
        <v>3.10264619164109E-2</v>
      </c>
      <c r="AW14" s="151">
        <v>3.0638157508582078E-2</v>
      </c>
      <c r="AX14" s="151">
        <v>3.0498387849860122E-2</v>
      </c>
      <c r="AY14" s="612">
        <f t="shared" ref="AY14:AZ14" ca="1" si="31">O14</f>
        <v>3.0498387849860122E-2</v>
      </c>
      <c r="AZ14" s="612">
        <f t="shared" ca="1" si="31"/>
        <v>5.0102562372795395E-2</v>
      </c>
      <c r="BA14" s="394"/>
      <c r="BB14" s="394"/>
      <c r="BD14" s="398"/>
    </row>
    <row r="15" spans="1:56" ht="13.8" thickBot="1">
      <c r="B15" s="448" t="s">
        <v>438</v>
      </c>
      <c r="C15" s="183"/>
      <c r="D15" s="183"/>
      <c r="E15" s="183"/>
      <c r="F15" s="188"/>
      <c r="G15" s="183" t="s">
        <v>117</v>
      </c>
      <c r="H15" s="183" t="s">
        <v>117</v>
      </c>
      <c r="I15" s="447">
        <f>'ST Inv. &amp; Debt'!H126</f>
        <v>0</v>
      </c>
      <c r="J15" s="447">
        <f>'ST Inv. &amp; Debt'!I126</f>
        <v>0</v>
      </c>
      <c r="K15" s="447">
        <f>'ST Inv. &amp; Debt'!J126</f>
        <v>0</v>
      </c>
      <c r="L15" s="447">
        <f>'ST Inv. &amp; Debt'!K126</f>
        <v>0</v>
      </c>
      <c r="M15" s="447">
        <f>'ST Inv. &amp; Debt'!L126</f>
        <v>0.33333333333333331</v>
      </c>
      <c r="N15" s="447">
        <f>'ST Inv. &amp; Debt'!M126</f>
        <v>0.33333333333333331</v>
      </c>
      <c r="O15" s="447">
        <f>'ST Inv. &amp; Debt'!N126</f>
        <v>0.33333333333333331</v>
      </c>
      <c r="P15" s="447">
        <f>'ST Inv. &amp; Debt'!O126</f>
        <v>0</v>
      </c>
      <c r="Q15" s="447">
        <f>'ST Inv. &amp; Debt'!P126</f>
        <v>0</v>
      </c>
      <c r="R15" s="447">
        <f>'ST Inv. &amp; Debt'!Q126</f>
        <v>0</v>
      </c>
      <c r="S15" s="447">
        <f>'ST Inv. &amp; Debt'!R126</f>
        <v>0</v>
      </c>
      <c r="T15" s="447">
        <f>'ST Inv. &amp; Debt'!S126</f>
        <v>0</v>
      </c>
      <c r="U15" s="447">
        <f>'ST Inv. &amp; Debt'!T126</f>
        <v>0</v>
      </c>
      <c r="V15" s="447">
        <f>'ST Inv. &amp; Debt'!U126</f>
        <v>0</v>
      </c>
      <c r="W15" s="447">
        <f>'ST Inv. &amp; Debt'!V126</f>
        <v>0</v>
      </c>
      <c r="X15" s="447">
        <f>'ST Inv. &amp; Debt'!W126</f>
        <v>0</v>
      </c>
      <c r="Y15" s="447">
        <f>'ST Inv. &amp; Debt'!X126</f>
        <v>0</v>
      </c>
      <c r="Z15" s="447">
        <f>'ST Inv. &amp; Debt'!Y126</f>
        <v>0</v>
      </c>
      <c r="AA15" s="447">
        <f>'ST Inv. &amp; Debt'!Z126</f>
        <v>0</v>
      </c>
      <c r="AB15" s="447">
        <f>'ST Inv. &amp; Debt'!AA126</f>
        <v>0</v>
      </c>
      <c r="AD15" s="167" t="s">
        <v>389</v>
      </c>
      <c r="AE15" s="167">
        <f>AE13+AE14</f>
        <v>284880</v>
      </c>
      <c r="AF15" s="167">
        <f t="shared" ref="AF15:AK15" si="32">AF13+AF14</f>
        <v>459488</v>
      </c>
      <c r="AG15" s="167">
        <f t="shared" ca="1" si="32"/>
        <v>340612.40890090179</v>
      </c>
      <c r="AH15" s="167">
        <f t="shared" ca="1" si="32"/>
        <v>402200.47258845653</v>
      </c>
      <c r="AI15" s="167">
        <f t="shared" ca="1" si="32"/>
        <v>451926.07863312535</v>
      </c>
      <c r="AJ15" s="167">
        <f t="shared" ca="1" si="32"/>
        <v>398410.06711261271</v>
      </c>
      <c r="AK15" s="167">
        <f t="shared" ca="1" si="32"/>
        <v>330006.30820030335</v>
      </c>
      <c r="AP15" s="167" t="s">
        <v>393</v>
      </c>
      <c r="AQ15" s="167">
        <f>$AX15</f>
        <v>0</v>
      </c>
      <c r="AR15" s="167">
        <f t="shared" ref="AR15" si="33">$AX15</f>
        <v>0</v>
      </c>
      <c r="AY15" s="167">
        <v>0.8</v>
      </c>
    </row>
    <row r="16" spans="1:56" ht="13.8" thickBot="1">
      <c r="B16" s="179" t="s">
        <v>89</v>
      </c>
      <c r="C16" s="210"/>
      <c r="D16" s="210"/>
      <c r="E16" s="210"/>
      <c r="F16" s="157"/>
      <c r="G16" s="164">
        <f>'Income Statement'!H81</f>
        <v>32615</v>
      </c>
      <c r="H16" s="164">
        <f>'Income Statement'!I81</f>
        <v>51805</v>
      </c>
      <c r="I16" s="164">
        <f ca="1">'Income Statement'!J81</f>
        <v>19970.897648300255</v>
      </c>
      <c r="J16" s="164">
        <f ca="1">'Income Statement'!K81</f>
        <v>23388.518718673775</v>
      </c>
      <c r="K16" s="164">
        <f ca="1">'Income Statement'!L81</f>
        <v>40022.88398810316</v>
      </c>
      <c r="L16" s="164">
        <f ca="1">'Income Statement'!M81</f>
        <v>34441.551542374058</v>
      </c>
      <c r="M16" s="164">
        <f ca="1">'Income Statement'!N81</f>
        <v>5830.7836113392514</v>
      </c>
      <c r="N16" s="164">
        <f ca="1">'Income Statement'!O81</f>
        <v>-24.583116234492479</v>
      </c>
      <c r="O16" s="164">
        <f ca="1">'Income Statement'!P81</f>
        <v>-4551.8246183992542</v>
      </c>
      <c r="P16" s="164">
        <f ca="1">'Income Statement'!Q81</f>
        <v>57405.559601597066</v>
      </c>
      <c r="Q16" s="164">
        <f ca="1">'Income Statement'!R81</f>
        <v>34647.516308663202</v>
      </c>
      <c r="R16" s="164">
        <f ca="1">'Income Statement'!S81</f>
        <v>59830.497042267234</v>
      </c>
      <c r="S16" s="164">
        <f ca="1">'Income Statement'!T81</f>
        <v>60429.214930706134</v>
      </c>
      <c r="T16" s="164" t="e">
        <f ca="1">'Income Statement'!U81</f>
        <v>#VALUE!</v>
      </c>
      <c r="U16" s="164" t="e">
        <f ca="1">'Income Statement'!V81</f>
        <v>#VALUE!</v>
      </c>
      <c r="V16" s="164" t="e">
        <f ca="1">'Income Statement'!W81</f>
        <v>#VALUE!</v>
      </c>
      <c r="W16" s="164" t="e">
        <f ca="1">'Income Statement'!X81</f>
        <v>#VALUE!</v>
      </c>
      <c r="X16" s="164" t="e">
        <f ca="1">'Income Statement'!Y81</f>
        <v>#VALUE!</v>
      </c>
      <c r="Y16" s="164" t="e">
        <f ca="1">'Income Statement'!Z81</f>
        <v>#VALUE!</v>
      </c>
      <c r="Z16" s="164" t="e">
        <f ca="1">'Income Statement'!AA81</f>
        <v>#VALUE!</v>
      </c>
      <c r="AA16" s="164" t="e">
        <f ca="1">'Income Statement'!AB81</f>
        <v>#VALUE!</v>
      </c>
      <c r="AB16" s="164" t="e">
        <f ca="1">'Income Statement'!AC81</f>
        <v>#VALUE!</v>
      </c>
      <c r="AD16" s="174"/>
    </row>
    <row r="17" spans="2:57" ht="13.8" thickBot="1">
      <c r="B17" s="179" t="s">
        <v>126</v>
      </c>
      <c r="C17" s="213"/>
      <c r="D17" s="213"/>
      <c r="E17" s="213"/>
      <c r="F17" s="159"/>
      <c r="G17" s="164" t="s">
        <v>261</v>
      </c>
      <c r="H17" s="164" t="s">
        <v>261</v>
      </c>
      <c r="I17" s="164">
        <f>'Fixed Assets &amp; CAPEX'!H37</f>
        <v>139000</v>
      </c>
      <c r="J17" s="164">
        <f ca="1">'Fixed Assets &amp; CAPEX'!I37</f>
        <v>107863.74285714285</v>
      </c>
      <c r="K17" s="164">
        <f ca="1">'Fixed Assets &amp; CAPEX'!J37</f>
        <v>63272.848979591829</v>
      </c>
      <c r="L17" s="164">
        <f ca="1">'Fixed Assets &amp; CAPEX'!K37</f>
        <v>72311.827405247808</v>
      </c>
      <c r="M17" s="164">
        <f ca="1">'Fixed Assets &amp; CAPEX'!L37</f>
        <v>82642.088463140361</v>
      </c>
      <c r="N17" s="164">
        <f ca="1">'Fixed Assets &amp; CAPEX'!M37</f>
        <v>94448.101100731845</v>
      </c>
      <c r="O17" s="164">
        <f ca="1">'Fixed Assets &amp; CAPEX'!N37</f>
        <v>107940.68697226496</v>
      </c>
      <c r="P17" s="164">
        <f ca="1">'Fixed Assets &amp; CAPEX'!O104</f>
        <v>123360.78511115996</v>
      </c>
      <c r="Q17" s="164">
        <f ca="1">'Fixed Assets &amp; CAPEX'!P104</f>
        <v>121126.61155561139</v>
      </c>
      <c r="R17" s="164">
        <f ca="1">'Fixed Assets &amp; CAPEX'!Q104</f>
        <v>123021.30708396403</v>
      </c>
      <c r="S17" s="164">
        <f ca="1">'Fixed Assets &amp; CAPEX'!R104</f>
        <v>131556.80109887433</v>
      </c>
      <c r="T17" s="164">
        <f ca="1">'Fixed Assets &amp; CAPEX'!S104</f>
        <v>140020.3687693924</v>
      </c>
      <c r="U17" s="164">
        <f ca="1">'Fixed Assets &amp; CAPEX'!T104</f>
        <v>120210.66595599982</v>
      </c>
      <c r="V17" s="164">
        <f ca="1">'Fixed Assets &amp; CAPEX'!U104</f>
        <v>123891.03236389525</v>
      </c>
      <c r="W17" s="164">
        <f ca="1">'Fixed Assets &amp; CAPEX'!V104</f>
        <v>126169.65313412815</v>
      </c>
      <c r="X17" s="164">
        <f ca="1">'Fixed Assets &amp; CAPEX'!W104</f>
        <v>126570.9199945522</v>
      </c>
      <c r="Y17" s="164">
        <f ca="1">'Fixed Assets &amp; CAPEX'!X104</f>
        <v>127348.67834297231</v>
      </c>
      <c r="Z17" s="164">
        <f ca="1">'Fixed Assets &amp; CAPEX'!Y104</f>
        <v>127966.87423711634</v>
      </c>
      <c r="AA17" s="164">
        <f ca="1">'Fixed Assets &amp; CAPEX'!Z104</f>
        <v>127454.02754257948</v>
      </c>
      <c r="AB17" s="164">
        <f ca="1">'Fixed Assets &amp; CAPEX'!AA104</f>
        <v>125658.83593874906</v>
      </c>
      <c r="AO17" s="401" t="s">
        <v>373</v>
      </c>
      <c r="AP17" s="410" t="s">
        <v>373</v>
      </c>
      <c r="AQ17" s="398" t="s">
        <v>117</v>
      </c>
      <c r="AR17" s="398" t="s">
        <v>117</v>
      </c>
      <c r="AS17" s="398">
        <v>2.3505268367965693</v>
      </c>
      <c r="AT17" s="398">
        <v>1.8981457913497346</v>
      </c>
      <c r="AU17" s="398">
        <v>1.664438045353174</v>
      </c>
      <c r="AV17" s="398">
        <v>1.3339471194462826</v>
      </c>
      <c r="AW17" s="398">
        <v>1.0312661444012732</v>
      </c>
      <c r="AX17" s="394">
        <v>0.73791208226126603</v>
      </c>
      <c r="AY17" s="394">
        <v>8.3252498947828819</v>
      </c>
      <c r="AZ17" s="394">
        <v>12.855019889103209</v>
      </c>
      <c r="BA17" s="394">
        <v>43.347551231539924</v>
      </c>
      <c r="BB17" s="394" t="e">
        <v>#DIV/0!</v>
      </c>
    </row>
    <row r="18" spans="2:57" ht="14.4" thickBot="1">
      <c r="B18" s="179" t="s">
        <v>255</v>
      </c>
      <c r="C18" s="214"/>
      <c r="D18" s="214"/>
      <c r="E18" s="214"/>
      <c r="F18" s="163"/>
      <c r="G18" s="164">
        <f>'Balance Sheet'!H50</f>
        <v>75294</v>
      </c>
      <c r="H18" s="164">
        <f>'Balance Sheet'!I50</f>
        <v>49121</v>
      </c>
      <c r="I18" s="164">
        <f>'Balance Sheet'!J50</f>
        <v>44928</v>
      </c>
      <c r="J18" s="164">
        <f ca="1">'Balance Sheet'!K50</f>
        <v>84248.824571428573</v>
      </c>
      <c r="K18" s="164">
        <f ca="1">'Balance Sheet'!L50</f>
        <v>137426.10946938774</v>
      </c>
      <c r="L18" s="164">
        <f ca="1">'Balance Sheet'!M50</f>
        <v>120481.62554324587</v>
      </c>
      <c r="M18" s="164">
        <f ca="1">'Balance Sheet'!N50</f>
        <v>124575.8343895599</v>
      </c>
      <c r="N18" s="164">
        <f ca="1">'Balance Sheet'!O50</f>
        <v>126614.7322139188</v>
      </c>
      <c r="O18" s="164">
        <f ca="1">'Balance Sheet'!P50</f>
        <v>38897.912843118087</v>
      </c>
      <c r="P18" s="164">
        <f ca="1">'Balance Sheet'!Q50</f>
        <v>44454.757534992103</v>
      </c>
      <c r="Q18" s="164">
        <f ca="1">'Balance Sheet'!R50</f>
        <v>48819.722897133826</v>
      </c>
      <c r="R18" s="164">
        <f ca="1">'Balance Sheet'!S50</f>
        <v>52267.344127336626</v>
      </c>
      <c r="S18" s="164">
        <f ca="1">'Balance Sheet'!T50</f>
        <v>55303.584833574227</v>
      </c>
      <c r="T18" s="164">
        <f ca="1">'Balance Sheet'!U50</f>
        <v>57740.548106342205</v>
      </c>
      <c r="U18" s="164">
        <f ca="1">'Balance Sheet'!V50</f>
        <v>57537.244868603637</v>
      </c>
      <c r="V18" s="164">
        <f ca="1">'Balance Sheet'!W50</f>
        <v>57718.952173014382</v>
      </c>
      <c r="W18" s="164">
        <f ca="1">'Balance Sheet'!X50</f>
        <v>57607.012077285275</v>
      </c>
      <c r="X18" s="164">
        <f ca="1">'Balance Sheet'!Y50</f>
        <v>56685.245583327167</v>
      </c>
      <c r="Y18" s="164">
        <f ca="1">'Balance Sheet'!Z50</f>
        <v>56408.561681354789</v>
      </c>
      <c r="Z18" s="164">
        <f ca="1">'Balance Sheet'!AA50</f>
        <v>57000.164189071656</v>
      </c>
      <c r="AA18" s="164">
        <f ca="1">'Balance Sheet'!AB50</f>
        <v>57242.532668428437</v>
      </c>
      <c r="AB18" s="164">
        <f ca="1">'Balance Sheet'!AC50</f>
        <v>57171.387605869342</v>
      </c>
      <c r="AD18" s="397" t="s">
        <v>392</v>
      </c>
      <c r="AE18" s="397">
        <f>AE11</f>
        <v>2009</v>
      </c>
      <c r="AF18" s="397">
        <f t="shared" ref="AF18:AK18" si="34">AF11</f>
        <v>2010</v>
      </c>
      <c r="AG18" s="397">
        <f t="shared" si="34"/>
        <v>2011</v>
      </c>
      <c r="AH18" s="397">
        <f t="shared" si="34"/>
        <v>2012</v>
      </c>
      <c r="AI18" s="397">
        <f t="shared" si="34"/>
        <v>2013</v>
      </c>
      <c r="AJ18" s="397">
        <f t="shared" si="34"/>
        <v>2014</v>
      </c>
      <c r="AK18" s="397">
        <f t="shared" si="34"/>
        <v>2015</v>
      </c>
      <c r="AO18" s="401" t="s">
        <v>378</v>
      </c>
      <c r="AP18" s="410" t="s">
        <v>501</v>
      </c>
      <c r="AQ18" s="398" t="s">
        <v>117</v>
      </c>
      <c r="AR18" s="398" t="s">
        <v>117</v>
      </c>
      <c r="AS18" s="398">
        <v>3</v>
      </c>
      <c r="AT18" s="398">
        <v>3</v>
      </c>
      <c r="AU18" s="398">
        <v>3</v>
      </c>
      <c r="AV18" s="398">
        <v>3</v>
      </c>
      <c r="AW18" s="398">
        <v>3</v>
      </c>
      <c r="AX18" s="394">
        <v>3</v>
      </c>
      <c r="AY18" s="394">
        <v>8.8590738628687866</v>
      </c>
      <c r="AZ18" s="394">
        <v>14.847081414957659</v>
      </c>
      <c r="BA18" s="394">
        <v>89.271082106025915</v>
      </c>
      <c r="BB18" s="394" t="e">
        <v>#DIV/0!</v>
      </c>
    </row>
    <row r="19" spans="2:57" ht="13.8" thickBot="1">
      <c r="B19" s="179" t="s">
        <v>45</v>
      </c>
      <c r="C19" s="214"/>
      <c r="D19" s="214"/>
      <c r="E19" s="214"/>
      <c r="F19" s="163"/>
      <c r="G19" s="164">
        <f>'Balance Sheet'!H64</f>
        <v>135784</v>
      </c>
      <c r="H19" s="164">
        <f>'Balance Sheet'!I64</f>
        <v>344986</v>
      </c>
      <c r="I19" s="164">
        <f>'Balance Sheet'!J64</f>
        <v>391248</v>
      </c>
      <c r="J19" s="164">
        <f ca="1">'Balance Sheet'!K64</f>
        <v>436122.386</v>
      </c>
      <c r="K19" s="164">
        <f ca="1">'Balance Sheet'!L64</f>
        <v>327169.05857142853</v>
      </c>
      <c r="L19" s="164">
        <f ca="1">'Balance Sheet'!M64</f>
        <v>239227.75536054422</v>
      </c>
      <c r="M19" s="164">
        <f ca="1">'Balance Sheet'!N64</f>
        <v>151840.86077939748</v>
      </c>
      <c r="N19" s="164">
        <f ca="1">'Balance Sheet'!O64</f>
        <v>67727.774060807991</v>
      </c>
      <c r="O19" s="164">
        <f ca="1">'Balance Sheet'!P64</f>
        <v>77403.170355209135</v>
      </c>
      <c r="P19" s="164">
        <f ca="1">'Balance Sheet'!Q64</f>
        <v>88460.766120239001</v>
      </c>
      <c r="Q19" s="164">
        <f ca="1">'Balance Sheet'!R64</f>
        <v>94148.018423130299</v>
      </c>
      <c r="R19" s="164">
        <f ca="1">'Balance Sheet'!S64</f>
        <v>97240.262483577506</v>
      </c>
      <c r="S19" s="164">
        <f ca="1">'Balance Sheet'!T64</f>
        <v>101137.23814449673</v>
      </c>
      <c r="T19" s="164">
        <f ca="1">'Balance Sheet'!U64</f>
        <v>106405.85598438108</v>
      </c>
      <c r="U19" s="164">
        <f ca="1">'Balance Sheet'!V64</f>
        <v>102963.41079597737</v>
      </c>
      <c r="V19" s="164">
        <f ca="1">'Balance Sheet'!W64</f>
        <v>100995.42318671584</v>
      </c>
      <c r="W19" s="164">
        <f ca="1">'Balance Sheet'!X64</f>
        <v>100164.75501978824</v>
      </c>
      <c r="X19" s="164">
        <f ca="1">'Balance Sheet'!Y64</f>
        <v>94107.877434281967</v>
      </c>
      <c r="Y19" s="164">
        <f ca="1">'Balance Sheet'!Z64</f>
        <v>75903.919255818881</v>
      </c>
      <c r="Z19" s="164">
        <f ca="1">'Balance Sheet'!AA64</f>
        <v>44497.129914170488</v>
      </c>
      <c r="AA19" s="164">
        <f ca="1">'Balance Sheet'!AB64</f>
        <v>44605.504011994431</v>
      </c>
      <c r="AB19" s="164">
        <f ca="1">'Balance Sheet'!AC64</f>
        <v>41700</v>
      </c>
      <c r="AD19" s="174" t="str">
        <f>B3</f>
        <v>Base Case</v>
      </c>
      <c r="AE19" s="175">
        <v>164570</v>
      </c>
      <c r="AF19" s="175">
        <v>183465.55241386563</v>
      </c>
      <c r="AG19" s="175">
        <v>170148.81936694199</v>
      </c>
      <c r="AH19" s="175">
        <v>159491.34534482681</v>
      </c>
      <c r="AI19" s="175">
        <v>162862.30803122171</v>
      </c>
      <c r="AJ19" s="175">
        <v>186936.78267908155</v>
      </c>
      <c r="AK19" s="175">
        <v>218723.07270294201</v>
      </c>
      <c r="AO19" s="401" t="s">
        <v>350</v>
      </c>
      <c r="AP19" s="203" t="str">
        <f>"Interest Coverage "&amp;AO19</f>
        <v>Interest Coverage Stress Case</v>
      </c>
      <c r="AQ19" s="398" t="s">
        <v>117</v>
      </c>
      <c r="AR19" s="398" t="s">
        <v>117</v>
      </c>
      <c r="AS19" s="398">
        <v>1.3667284787669789</v>
      </c>
      <c r="AT19" s="398">
        <v>0.91197165693065163</v>
      </c>
      <c r="AU19" s="398">
        <v>1.0356276510531035</v>
      </c>
      <c r="AV19" s="398">
        <v>1.3761137209358569</v>
      </c>
      <c r="AW19" s="398">
        <v>1.7752232690012049</v>
      </c>
      <c r="AX19" s="394">
        <v>2.1959343850572495</v>
      </c>
      <c r="AY19" s="394">
        <v>2.5172533687765299</v>
      </c>
      <c r="AZ19" s="394">
        <v>2.926270436197675</v>
      </c>
      <c r="BA19" s="394">
        <v>3.6853072806727991</v>
      </c>
      <c r="BB19" s="394">
        <v>4.7964765558516467</v>
      </c>
    </row>
    <row r="20" spans="2:57" ht="13.8" thickBot="1">
      <c r="B20" s="179" t="s">
        <v>121</v>
      </c>
      <c r="C20" s="214"/>
      <c r="D20" s="214"/>
      <c r="E20" s="214"/>
      <c r="F20" s="159"/>
      <c r="G20" s="164">
        <f>'Balance Sheet'!H55</f>
        <v>0</v>
      </c>
      <c r="H20" s="164">
        <f>'Balance Sheet'!I55</f>
        <v>0</v>
      </c>
      <c r="I20" s="164">
        <f ca="1">'Balance Sheet'!J55</f>
        <v>0</v>
      </c>
      <c r="J20" s="164">
        <f ca="1">'Balance Sheet'!K55</f>
        <v>0</v>
      </c>
      <c r="K20" s="164">
        <f ca="1">'Balance Sheet'!L55</f>
        <v>0</v>
      </c>
      <c r="L20" s="164">
        <f ca="1">'Balance Sheet'!M55</f>
        <v>51880.55333131412</v>
      </c>
      <c r="M20" s="164">
        <f ca="1">'Balance Sheet'!N55</f>
        <v>154768.36630831781</v>
      </c>
      <c r="N20" s="164">
        <f ca="1">'Balance Sheet'!O55</f>
        <v>262913.99171779654</v>
      </c>
      <c r="O20" s="164">
        <f ca="1">'Balance Sheet'!P55</f>
        <v>372358.17939326738</v>
      </c>
      <c r="P20" s="164">
        <f ca="1">'Balance Sheet'!Q55</f>
        <v>325981.37606938335</v>
      </c>
      <c r="Q20" s="164">
        <f ca="1">'Balance Sheet'!R55</f>
        <v>309686.21948148694</v>
      </c>
      <c r="R20" s="164">
        <f ca="1">'Balance Sheet'!S55</f>
        <v>272558.32477486163</v>
      </c>
      <c r="S20" s="164">
        <f ca="1">'Balance Sheet'!T55</f>
        <v>218464.44092936045</v>
      </c>
      <c r="T20" s="164" t="e">
        <f ca="1">'Balance Sheet'!U55</f>
        <v>#VALUE!</v>
      </c>
      <c r="U20" s="164" t="e">
        <f ca="1">'Balance Sheet'!V55</f>
        <v>#VALUE!</v>
      </c>
      <c r="V20" s="164" t="e">
        <f ca="1">'Balance Sheet'!W55</f>
        <v>#VALUE!</v>
      </c>
      <c r="W20" s="164" t="e">
        <f ca="1">'Balance Sheet'!X55</f>
        <v>#VALUE!</v>
      </c>
      <c r="X20" s="164" t="e">
        <f ca="1">'Balance Sheet'!Y55</f>
        <v>#VALUE!</v>
      </c>
      <c r="Y20" s="164" t="e">
        <f ca="1">'Balance Sheet'!Z55</f>
        <v>#VALUE!</v>
      </c>
      <c r="Z20" s="164" t="e">
        <f ca="1">'Balance Sheet'!AA55</f>
        <v>#VALUE!</v>
      </c>
      <c r="AA20" s="164" t="e">
        <f ca="1">'Balance Sheet'!AB55</f>
        <v>#VALUE!</v>
      </c>
      <c r="AB20" s="164" t="e">
        <f ca="1">'Balance Sheet'!AC55</f>
        <v>#VALUE!</v>
      </c>
      <c r="AD20" s="174" t="str">
        <f>B4</f>
        <v>Cliente Case</v>
      </c>
      <c r="AE20" s="175">
        <v>164570</v>
      </c>
      <c r="AF20" s="175">
        <v>204717.10038877412</v>
      </c>
      <c r="AG20" s="175">
        <v>239998.33229578205</v>
      </c>
      <c r="AH20" s="175">
        <v>259196.63147139293</v>
      </c>
      <c r="AI20" s="175">
        <v>293350.95363304776</v>
      </c>
      <c r="AJ20" s="175">
        <v>354049.09264929523</v>
      </c>
      <c r="AK20" s="175">
        <v>428186.857142867</v>
      </c>
      <c r="AO20" s="401"/>
      <c r="AP20" s="203" t="s">
        <v>393</v>
      </c>
      <c r="AQ20" s="398">
        <f>$AX20</f>
        <v>0</v>
      </c>
      <c r="AR20" s="398">
        <f t="shared" ref="AR20" si="35">$AX20</f>
        <v>0</v>
      </c>
      <c r="AS20" s="398"/>
      <c r="AT20" s="398"/>
      <c r="AU20" s="398"/>
      <c r="AV20" s="398"/>
      <c r="AW20" s="398"/>
    </row>
    <row r="21" spans="2:57" ht="13.8" thickBot="1">
      <c r="B21" s="182" t="s">
        <v>151</v>
      </c>
      <c r="C21" s="183"/>
      <c r="D21" s="183"/>
      <c r="E21" s="183"/>
      <c r="F21" s="188"/>
      <c r="G21" s="183">
        <f>G18+G19+G20-'Balance Sheet'!H13</f>
        <v>91120</v>
      </c>
      <c r="H21" s="183">
        <f>H18+H19+H20-'Balance Sheet'!I13</f>
        <v>165621</v>
      </c>
      <c r="I21" s="183">
        <f ca="1">I18+I19+I20-'Balance Sheet'!J13</f>
        <v>286732.49032019661</v>
      </c>
      <c r="J21" s="183">
        <f ca="1">J18+J19+J20-'Balance Sheet'!K13</f>
        <v>354506.3519367376</v>
      </c>
      <c r="K21" s="183">
        <f ca="1">K18+K19+K20-'Balance Sheet'!L13</f>
        <v>344000.79994886374</v>
      </c>
      <c r="L21" s="183">
        <f ca="1">L18+L19+L20-'Balance Sheet'!M13</f>
        <v>341589.93423510424</v>
      </c>
      <c r="M21" s="183">
        <f ca="1">M18+M19+M20-'Balance Sheet'!N13</f>
        <v>361185.06147727516</v>
      </c>
      <c r="N21" s="183">
        <f ca="1">N18+N19+N20-'Balance Sheet'!O13</f>
        <v>387256.49799252336</v>
      </c>
      <c r="O21" s="183">
        <f ca="1">O18+O19+O20-'Balance Sheet'!P13</f>
        <v>418659.2625915946</v>
      </c>
      <c r="P21" s="183">
        <f ca="1">P18+P19+P20-'Balance Sheet'!Q13</f>
        <v>388896.89972461446</v>
      </c>
      <c r="Q21" s="183">
        <f ca="1">Q18+Q19+Q20-'Balance Sheet'!R13</f>
        <v>382653.96080175106</v>
      </c>
      <c r="R21" s="183">
        <f ca="1">R18+R19+R20-'Balance Sheet'!S13</f>
        <v>352065.9313857758</v>
      </c>
      <c r="S21" s="183">
        <f ca="1">S18+S19+S20-'Balance Sheet'!T13</f>
        <v>304905.26390743139</v>
      </c>
      <c r="T21" s="183" t="e">
        <f ca="1">T18+T19+T20-'Balance Sheet'!U13</f>
        <v>#VALUE!</v>
      </c>
      <c r="U21" s="183" t="e">
        <f ca="1">U18+U19+U20-'Balance Sheet'!V13</f>
        <v>#VALUE!</v>
      </c>
      <c r="V21" s="183" t="e">
        <f ca="1">V18+V19+V20-'Balance Sheet'!W13</f>
        <v>#VALUE!</v>
      </c>
      <c r="W21" s="183" t="e">
        <f ca="1">W18+W19+W20-'Balance Sheet'!X13</f>
        <v>#VALUE!</v>
      </c>
      <c r="X21" s="183" t="e">
        <f ca="1">X18+X19+X20-'Balance Sheet'!Y13</f>
        <v>#VALUE!</v>
      </c>
      <c r="Y21" s="183" t="e">
        <f ca="1">Y18+Y19+Y20-'Balance Sheet'!Z13</f>
        <v>#VALUE!</v>
      </c>
      <c r="Z21" s="183" t="e">
        <f ca="1">Z18+Z19+Z20-'Balance Sheet'!AA13</f>
        <v>#VALUE!</v>
      </c>
      <c r="AA21" s="183" t="e">
        <f ca="1">AA18+AA19+AA20-'Balance Sheet'!AB13</f>
        <v>#VALUE!</v>
      </c>
      <c r="AB21" s="183" t="e">
        <f ca="1">AB18+AB19+AB20-'Balance Sheet'!AC13</f>
        <v>#VALUE!</v>
      </c>
      <c r="AD21" s="167" t="str">
        <f>B5</f>
        <v>Stress Case</v>
      </c>
      <c r="AE21" s="167">
        <v>164570</v>
      </c>
      <c r="AF21" s="167">
        <v>167819.93940225785</v>
      </c>
      <c r="AG21" s="167">
        <v>153977.52086405782</v>
      </c>
      <c r="AH21" s="167">
        <v>144302.16423657141</v>
      </c>
      <c r="AI21" s="167">
        <v>173477.32586057138</v>
      </c>
      <c r="AJ21" s="167">
        <v>207217.00810057137</v>
      </c>
      <c r="AK21" s="167">
        <v>231712.47208728504</v>
      </c>
    </row>
    <row r="22" spans="2:57" ht="13.8" thickBot="1">
      <c r="B22" s="448" t="s">
        <v>433</v>
      </c>
      <c r="C22" s="449"/>
      <c r="D22" s="449"/>
      <c r="E22" s="449"/>
      <c r="F22" s="188"/>
      <c r="G22" s="449"/>
      <c r="H22" s="449">
        <f>H18+H19+H20</f>
        <v>394107</v>
      </c>
      <c r="I22" s="449">
        <f t="shared" ref="I22:AB22" ca="1" si="36">I18+I19+I20</f>
        <v>436176</v>
      </c>
      <c r="J22" s="449">
        <f t="shared" ca="1" si="36"/>
        <v>520371.21057142859</v>
      </c>
      <c r="K22" s="449">
        <f ca="1">K18+K19+K20</f>
        <v>464595.16804081626</v>
      </c>
      <c r="L22" s="449">
        <f t="shared" ca="1" si="36"/>
        <v>411589.93423510424</v>
      </c>
      <c r="M22" s="449">
        <f t="shared" ca="1" si="36"/>
        <v>431185.06147727516</v>
      </c>
      <c r="N22" s="449">
        <f t="shared" ca="1" si="36"/>
        <v>457256.49799252336</v>
      </c>
      <c r="O22" s="449">
        <f t="shared" ca="1" si="36"/>
        <v>488659.2625915946</v>
      </c>
      <c r="P22" s="449">
        <f t="shared" ca="1" si="36"/>
        <v>458896.89972461446</v>
      </c>
      <c r="Q22" s="449">
        <f t="shared" ca="1" si="36"/>
        <v>452653.96080175106</v>
      </c>
      <c r="R22" s="449">
        <f t="shared" ca="1" si="36"/>
        <v>422065.9313857758</v>
      </c>
      <c r="S22" s="449">
        <f t="shared" ca="1" si="36"/>
        <v>374905.26390743139</v>
      </c>
      <c r="T22" s="449" t="e">
        <f t="shared" ca="1" si="36"/>
        <v>#VALUE!</v>
      </c>
      <c r="U22" s="449" t="e">
        <f t="shared" ca="1" si="36"/>
        <v>#VALUE!</v>
      </c>
      <c r="V22" s="449" t="e">
        <f t="shared" ca="1" si="36"/>
        <v>#VALUE!</v>
      </c>
      <c r="W22" s="449" t="e">
        <f t="shared" ca="1" si="36"/>
        <v>#VALUE!</v>
      </c>
      <c r="X22" s="449" t="e">
        <f t="shared" ca="1" si="36"/>
        <v>#VALUE!</v>
      </c>
      <c r="Y22" s="449" t="e">
        <f t="shared" ca="1" si="36"/>
        <v>#VALUE!</v>
      </c>
      <c r="Z22" s="449" t="e">
        <f t="shared" ca="1" si="36"/>
        <v>#VALUE!</v>
      </c>
      <c r="AA22" s="449" t="e">
        <f t="shared" ca="1" si="36"/>
        <v>#VALUE!</v>
      </c>
      <c r="AB22" s="449" t="e">
        <f t="shared" ca="1" si="36"/>
        <v>#VALUE!</v>
      </c>
    </row>
    <row r="23" spans="2:57" ht="14.25" customHeight="1" thickBot="1">
      <c r="B23" s="410" t="s">
        <v>412</v>
      </c>
      <c r="C23" s="215"/>
      <c r="D23" s="215"/>
      <c r="E23" s="215"/>
      <c r="F23" s="204"/>
      <c r="G23" s="165">
        <f t="shared" ref="G23:AB23" si="37">G21/G12</f>
        <v>1.1050072155321911</v>
      </c>
      <c r="H23" s="165">
        <f t="shared" si="37"/>
        <v>1.4339356369208924</v>
      </c>
      <c r="I23" s="419">
        <f ca="1">I21/I12</f>
        <v>2.9997817792377748</v>
      </c>
      <c r="J23" s="165">
        <f t="shared" ca="1" si="37"/>
        <v>3.000024803761399</v>
      </c>
      <c r="K23" s="165">
        <f t="shared" ca="1" si="37"/>
        <v>2.0764737512566978</v>
      </c>
      <c r="L23" s="165">
        <f t="shared" ca="1" si="37"/>
        <v>2.0802646961365658</v>
      </c>
      <c r="M23" s="165">
        <f t="shared" ca="1" si="37"/>
        <v>2.7782792192797556</v>
      </c>
      <c r="N23" s="165">
        <f t="shared" ca="1" si="37"/>
        <v>2.7958094555256587</v>
      </c>
      <c r="O23" s="165">
        <f t="shared" ca="1" si="37"/>
        <v>2.8122905847180588</v>
      </c>
      <c r="P23" s="165">
        <f t="shared" ca="1" si="37"/>
        <v>1.4727764766195488</v>
      </c>
      <c r="Q23" s="165">
        <f t="shared" ca="1" si="37"/>
        <v>1.7323794810863447</v>
      </c>
      <c r="R23" s="165">
        <f t="shared" ca="1" si="37"/>
        <v>1.360836813496721</v>
      </c>
      <c r="S23" s="165">
        <f t="shared" ca="1" si="37"/>
        <v>1.1601528446644573</v>
      </c>
      <c r="T23" s="165" t="e">
        <f t="shared" ca="1" si="37"/>
        <v>#VALUE!</v>
      </c>
      <c r="U23" s="165" t="e">
        <f t="shared" ca="1" si="37"/>
        <v>#VALUE!</v>
      </c>
      <c r="V23" s="165" t="e">
        <f t="shared" ca="1" si="37"/>
        <v>#VALUE!</v>
      </c>
      <c r="W23" s="165" t="e">
        <f t="shared" ca="1" si="37"/>
        <v>#VALUE!</v>
      </c>
      <c r="X23" s="165" t="e">
        <f t="shared" ca="1" si="37"/>
        <v>#VALUE!</v>
      </c>
      <c r="Y23" s="165" t="e">
        <f t="shared" ca="1" si="37"/>
        <v>#VALUE!</v>
      </c>
      <c r="Z23" s="165" t="e">
        <f t="shared" ca="1" si="37"/>
        <v>#VALUE!</v>
      </c>
      <c r="AA23" s="165" t="e">
        <f t="shared" ca="1" si="37"/>
        <v>#VALUE!</v>
      </c>
      <c r="AB23" s="165" t="e">
        <f t="shared" ca="1" si="37"/>
        <v>#VALUE!</v>
      </c>
      <c r="AD23" s="170"/>
      <c r="AO23" s="401" t="s">
        <v>373</v>
      </c>
      <c r="AP23" s="203" t="str">
        <f>"Liquidez Seca "&amp;AO23</f>
        <v>Liquidez Seca Base Case</v>
      </c>
      <c r="AQ23" s="398">
        <v>1.6544669916985111</v>
      </c>
      <c r="AR23" s="398">
        <v>3.0990813101197761</v>
      </c>
      <c r="AS23" s="398">
        <v>2.7928030275238087</v>
      </c>
      <c r="AT23" s="398">
        <v>2.4669518298807822</v>
      </c>
      <c r="AU23" s="398">
        <v>2.185955574067703</v>
      </c>
      <c r="AV23" s="398">
        <v>2.0513889230262574</v>
      </c>
      <c r="AW23" s="398">
        <v>2.0297355030054711</v>
      </c>
      <c r="AX23" s="394">
        <v>2.5673358349842221</v>
      </c>
      <c r="AY23" s="394">
        <v>2.9183023530360805</v>
      </c>
      <c r="AZ23" s="394">
        <v>3.6622640668081274</v>
      </c>
      <c r="BA23" s="394">
        <v>4.0558025057750102</v>
      </c>
      <c r="BB23" s="394">
        <v>4.4704876890228977</v>
      </c>
    </row>
    <row r="24" spans="2:57" ht="13.8" thickBot="1">
      <c r="B24" s="410" t="s">
        <v>434</v>
      </c>
      <c r="C24" s="215"/>
      <c r="D24" s="215"/>
      <c r="E24" s="215"/>
      <c r="F24" s="205"/>
      <c r="G24" s="128"/>
      <c r="H24" s="128">
        <f>H22/H12</f>
        <v>3.4121522757378724</v>
      </c>
      <c r="I24" s="128">
        <f t="shared" ref="I24:AB24" ca="1" si="38">I22/I12</f>
        <v>4.5632527233997013</v>
      </c>
      <c r="J24" s="128">
        <f t="shared" ca="1" si="38"/>
        <v>4.4036630947482092</v>
      </c>
      <c r="K24" s="128">
        <f t="shared" ca="1" si="38"/>
        <v>2.8044111279417279</v>
      </c>
      <c r="L24" s="128">
        <f t="shared" ca="1" si="38"/>
        <v>2.5065610068157191</v>
      </c>
      <c r="M24" s="128">
        <f t="shared" ca="1" si="38"/>
        <v>3.3167276937381023</v>
      </c>
      <c r="N24" s="128">
        <f t="shared" ca="1" si="38"/>
        <v>3.3011764742879226</v>
      </c>
      <c r="O24" s="128">
        <f t="shared" ca="1" si="38"/>
        <v>3.2825067211332772</v>
      </c>
      <c r="P24" s="128">
        <f t="shared" ca="1" si="38"/>
        <v>1.7378707816561063</v>
      </c>
      <c r="Q24" s="128">
        <f t="shared" ca="1" si="38"/>
        <v>2.0492886891393902</v>
      </c>
      <c r="R24" s="128">
        <f t="shared" ca="1" si="38"/>
        <v>1.6314070915404408</v>
      </c>
      <c r="S24" s="128">
        <f t="shared" ca="1" si="38"/>
        <v>1.4265001621419522</v>
      </c>
      <c r="T24" s="128" t="e">
        <f t="shared" ca="1" si="38"/>
        <v>#VALUE!</v>
      </c>
      <c r="U24" s="128" t="e">
        <f t="shared" ca="1" si="38"/>
        <v>#VALUE!</v>
      </c>
      <c r="V24" s="128" t="e">
        <f t="shared" ca="1" si="38"/>
        <v>#VALUE!</v>
      </c>
      <c r="W24" s="128" t="e">
        <f t="shared" ca="1" si="38"/>
        <v>#VALUE!</v>
      </c>
      <c r="X24" s="128" t="e">
        <f t="shared" ca="1" si="38"/>
        <v>#VALUE!</v>
      </c>
      <c r="Y24" s="128" t="e">
        <f t="shared" ca="1" si="38"/>
        <v>#VALUE!</v>
      </c>
      <c r="Z24" s="128" t="e">
        <f t="shared" ca="1" si="38"/>
        <v>#VALUE!</v>
      </c>
      <c r="AA24" s="128" t="e">
        <f t="shared" ca="1" si="38"/>
        <v>#VALUE!</v>
      </c>
      <c r="AB24" s="128" t="e">
        <f t="shared" ca="1" si="38"/>
        <v>#VALUE!</v>
      </c>
      <c r="AD24" s="170"/>
      <c r="AO24" s="401"/>
      <c r="AP24" s="410"/>
      <c r="AQ24" s="398"/>
      <c r="AR24" s="398"/>
      <c r="AS24" s="398"/>
      <c r="AT24" s="398"/>
      <c r="AU24" s="398"/>
      <c r="AV24" s="398"/>
      <c r="AW24" s="398"/>
      <c r="AX24" s="394"/>
      <c r="AY24" s="394"/>
      <c r="AZ24" s="394"/>
      <c r="BA24" s="394"/>
      <c r="BB24" s="394"/>
    </row>
    <row r="25" spans="2:57" ht="13.8" thickBot="1">
      <c r="B25" s="410" t="s">
        <v>401</v>
      </c>
      <c r="C25" s="215"/>
      <c r="D25" s="215"/>
      <c r="E25" s="215"/>
      <c r="F25" s="204"/>
      <c r="G25" s="128" t="s">
        <v>117</v>
      </c>
      <c r="H25" s="128" t="s">
        <v>117</v>
      </c>
      <c r="I25" s="415">
        <f>'Cash Flow'!H19</f>
        <v>-5892.98796849684</v>
      </c>
      <c r="J25" s="415">
        <f>'Cash Flow'!I19</f>
        <v>-7760.3803352147806</v>
      </c>
      <c r="K25" s="415">
        <f>'Cash Flow'!J19</f>
        <v>-6911.3320002293985</v>
      </c>
      <c r="L25" s="415">
        <f>'Cash Flow'!K19</f>
        <v>-7594.6858286144416</v>
      </c>
      <c r="M25" s="415">
        <f>'Cash Flow'!L19</f>
        <v>-8438.9108535102714</v>
      </c>
      <c r="N25" s="415">
        <f>'Cash Flow'!M19</f>
        <v>-9059.8533990136493</v>
      </c>
      <c r="O25" s="415">
        <f>'Cash Flow'!N19</f>
        <v>-9863.9399806720103</v>
      </c>
      <c r="P25" s="415">
        <f>'Cash Flow'!P19</f>
        <v>-11417.577385799807</v>
      </c>
      <c r="Q25" s="415">
        <f>'Cash Flow'!Q19</f>
        <v>-12255.467626291917</v>
      </c>
      <c r="R25" s="415">
        <f>'Cash Flow'!R19</f>
        <v>-13268.547452361789</v>
      </c>
      <c r="S25" s="415">
        <f>'Cash Flow'!S19</f>
        <v>-15723.947552248268</v>
      </c>
      <c r="T25" s="415">
        <f>'Cash Flow'!T19</f>
        <v>-17088.000002405781</v>
      </c>
      <c r="U25" s="415">
        <f>'Cash Flow'!U19</f>
        <v>-18570.384002614563</v>
      </c>
      <c r="V25" s="415">
        <f>'Cash Flow'!V19</f>
        <v>-20181.364814841319</v>
      </c>
      <c r="W25" s="415">
        <f>'Cash Flow'!W19</f>
        <v>-21932.098212528872</v>
      </c>
      <c r="X25" s="415">
        <f>'Cash Flow'!X19</f>
        <v>-23834.707732465642</v>
      </c>
      <c r="Y25" s="415">
        <f>'Cash Flow'!Y19</f>
        <v>-25902.368628256983</v>
      </c>
      <c r="Z25" s="415">
        <f>'Cash Flow'!Z19</f>
        <v>-28149.399106758327</v>
      </c>
      <c r="AA25" s="415">
        <f>'Cash Flow'!AA19</f>
        <v>0</v>
      </c>
      <c r="AB25" s="415">
        <f>'Cash Flow'!AB19</f>
        <v>0</v>
      </c>
      <c r="AD25" s="170"/>
      <c r="AO25" s="401" t="s">
        <v>378</v>
      </c>
      <c r="AP25" s="203" t="str">
        <f>"Liquidez Seca "&amp;AO25</f>
        <v>Liquidez Seca Client Case</v>
      </c>
      <c r="AQ25" s="398">
        <v>1.6544669916985111</v>
      </c>
      <c r="AR25" s="398">
        <v>2.9792808679456084</v>
      </c>
      <c r="AS25" s="398">
        <v>2.6285730980600017</v>
      </c>
      <c r="AT25" s="398">
        <v>2.1509617848436187</v>
      </c>
      <c r="AU25" s="398">
        <v>1.9089282690423353</v>
      </c>
      <c r="AV25" s="398">
        <v>1.9053958709909984</v>
      </c>
      <c r="AW25" s="398">
        <v>2.1092385348653413</v>
      </c>
      <c r="AX25" s="394">
        <v>2.9633391060280272</v>
      </c>
      <c r="AY25" s="394">
        <v>2.8972542734788376</v>
      </c>
      <c r="AZ25" s="394">
        <v>3.6083441059147421</v>
      </c>
      <c r="BA25" s="394">
        <v>4.2549436570228183</v>
      </c>
      <c r="BB25" s="394">
        <v>4.6023974581253668</v>
      </c>
    </row>
    <row r="26" spans="2:57" ht="13.8" thickBot="1">
      <c r="B26" s="410" t="s">
        <v>422</v>
      </c>
      <c r="C26" s="215"/>
      <c r="D26" s="215"/>
      <c r="E26" s="215"/>
      <c r="F26" s="204"/>
      <c r="G26" s="165">
        <f>G31/G49</f>
        <v>0.92612611724824345</v>
      </c>
      <c r="H26" s="165">
        <f t="shared" ref="H26:AB26" si="39">H31/H49</f>
        <v>1.1874826010128432</v>
      </c>
      <c r="I26" s="165">
        <f t="shared" ca="1" si="39"/>
        <v>1.0511633384578032</v>
      </c>
      <c r="J26" s="165">
        <f t="shared" ca="1" si="39"/>
        <v>1.0210521078233101</v>
      </c>
      <c r="K26" s="165">
        <f t="shared" ca="1" si="39"/>
        <v>0.87970776419078311</v>
      </c>
      <c r="L26" s="165">
        <f t="shared" ca="1" si="39"/>
        <v>0.79225626415982964</v>
      </c>
      <c r="M26" s="165">
        <f t="shared" ca="1" si="39"/>
        <v>0.71191665471368759</v>
      </c>
      <c r="N26" s="165">
        <f t="shared" ca="1" si="39"/>
        <v>0.65308721325167984</v>
      </c>
      <c r="O26" s="165">
        <f t="shared" ca="1" si="39"/>
        <v>0.66110467867832756</v>
      </c>
      <c r="P26" s="165">
        <f t="shared" ca="1" si="39"/>
        <v>0.70900579321776347</v>
      </c>
      <c r="Q26" s="165">
        <f t="shared" ca="1" si="39"/>
        <v>0.73843279635272585</v>
      </c>
      <c r="R26" s="165">
        <f t="shared" ca="1" si="39"/>
        <v>0.7947348679426266</v>
      </c>
      <c r="S26" s="165">
        <f t="shared" ca="1" si="39"/>
        <v>0.85323833467322963</v>
      </c>
      <c r="T26" s="165" t="e">
        <f t="shared" ca="1" si="39"/>
        <v>#VALUE!</v>
      </c>
      <c r="U26" s="165" t="e">
        <f t="shared" ca="1" si="39"/>
        <v>#VALUE!</v>
      </c>
      <c r="V26" s="165" t="e">
        <f t="shared" ca="1" si="39"/>
        <v>#VALUE!</v>
      </c>
      <c r="W26" s="165" t="e">
        <f t="shared" ca="1" si="39"/>
        <v>#VALUE!</v>
      </c>
      <c r="X26" s="165" t="e">
        <f t="shared" ca="1" si="39"/>
        <v>#VALUE!</v>
      </c>
      <c r="Y26" s="165" t="e">
        <f t="shared" ca="1" si="39"/>
        <v>#VALUE!</v>
      </c>
      <c r="Z26" s="165" t="e">
        <f t="shared" ca="1" si="39"/>
        <v>#VALUE!</v>
      </c>
      <c r="AA26" s="165" t="e">
        <f t="shared" ca="1" si="39"/>
        <v>#VALUE!</v>
      </c>
      <c r="AB26" s="165" t="e">
        <f t="shared" ca="1" si="39"/>
        <v>#VALUE!</v>
      </c>
      <c r="AD26" s="174" t="str">
        <f>AD19</f>
        <v>Base Case</v>
      </c>
      <c r="AE26" s="175">
        <v>143212.5</v>
      </c>
      <c r="AF26" s="175">
        <v>164380.74653014322</v>
      </c>
      <c r="AG26" s="175">
        <v>146656.67045275323</v>
      </c>
      <c r="AH26" s="175">
        <v>131809.0391239069</v>
      </c>
      <c r="AI26" s="175">
        <v>130925.43930850329</v>
      </c>
      <c r="AJ26" s="175">
        <v>150685.1164955704</v>
      </c>
      <c r="AK26" s="175">
        <v>177508.84680155254</v>
      </c>
      <c r="AO26" s="401"/>
      <c r="AP26" s="203" t="s">
        <v>393</v>
      </c>
      <c r="AQ26" s="398">
        <f>$AX26</f>
        <v>1.5</v>
      </c>
      <c r="AR26" s="398">
        <f t="shared" ref="AR26" si="40">$AX26</f>
        <v>1.5</v>
      </c>
      <c r="AS26" s="398">
        <v>2</v>
      </c>
      <c r="AT26" s="398">
        <v>2</v>
      </c>
      <c r="AU26" s="398">
        <v>1.8</v>
      </c>
      <c r="AV26" s="398">
        <v>1.8</v>
      </c>
      <c r="AW26" s="398">
        <v>1.5</v>
      </c>
      <c r="AX26" s="394">
        <v>1.5</v>
      </c>
    </row>
    <row r="27" spans="2:57" ht="13.8" thickBot="1">
      <c r="B27" s="410" t="s">
        <v>409</v>
      </c>
      <c r="C27" s="215"/>
      <c r="D27" s="215"/>
      <c r="E27" s="215"/>
      <c r="F27" s="204"/>
      <c r="G27" s="419" t="e">
        <f t="shared" ref="G27:AB27" si="41">(G12)/(-G88-G120)</f>
        <v>#DIV/0!</v>
      </c>
      <c r="H27" s="419">
        <f t="shared" si="41"/>
        <v>2.8197109516136907</v>
      </c>
      <c r="I27" s="419">
        <f t="shared" ca="1" si="41"/>
        <v>0.90426485125914979</v>
      </c>
      <c r="J27" s="419">
        <f t="shared" ca="1" si="41"/>
        <v>1.2753076999350172</v>
      </c>
      <c r="K27" s="419">
        <f t="shared" ca="1" si="41"/>
        <v>1.2291493603269861</v>
      </c>
      <c r="L27" s="419">
        <f t="shared" ca="1" si="41"/>
        <v>0.88350187429955906</v>
      </c>
      <c r="M27" s="419">
        <f t="shared" ca="1" si="41"/>
        <v>0.59890067899918831</v>
      </c>
      <c r="N27" s="419">
        <f t="shared" ca="1" si="41"/>
        <v>0.42207891963982125</v>
      </c>
      <c r="O27" s="419">
        <f t="shared" ca="1" si="41"/>
        <v>0.33623463324311742</v>
      </c>
      <c r="P27" s="419">
        <f t="shared" ca="1" si="41"/>
        <v>0.56046130893549051</v>
      </c>
      <c r="Q27" s="419">
        <f t="shared" ca="1" si="41"/>
        <v>0.52125511063053709</v>
      </c>
      <c r="R27" s="419">
        <f t="shared" ca="1" si="41"/>
        <v>0.63147470588688337</v>
      </c>
      <c r="S27" s="419">
        <f t="shared" ca="1" si="41"/>
        <v>0.70820075544820038</v>
      </c>
      <c r="T27" s="419" t="e">
        <f t="shared" ca="1" si="41"/>
        <v>#VALUE!</v>
      </c>
      <c r="U27" s="419" t="e">
        <f t="shared" ca="1" si="41"/>
        <v>#VALUE!</v>
      </c>
      <c r="V27" s="419" t="e">
        <f t="shared" ca="1" si="41"/>
        <v>#VALUE!</v>
      </c>
      <c r="W27" s="419" t="e">
        <f t="shared" ca="1" si="41"/>
        <v>#VALUE!</v>
      </c>
      <c r="X27" s="419" t="e">
        <f t="shared" ca="1" si="41"/>
        <v>#VALUE!</v>
      </c>
      <c r="Y27" s="419" t="e">
        <f t="shared" ca="1" si="41"/>
        <v>#VALUE!</v>
      </c>
      <c r="Z27" s="419" t="e">
        <f t="shared" ca="1" si="41"/>
        <v>#VALUE!</v>
      </c>
      <c r="AA27" s="419" t="e">
        <f t="shared" ca="1" si="41"/>
        <v>#VALUE!</v>
      </c>
      <c r="AB27" s="419" t="e">
        <f t="shared" ca="1" si="41"/>
        <v>#VALUE!</v>
      </c>
      <c r="AD27" s="174" t="str">
        <f>AD20</f>
        <v>Cliente Case</v>
      </c>
      <c r="AE27" s="175">
        <v>143212.5</v>
      </c>
      <c r="AF27" s="175">
        <v>180104.96404563123</v>
      </c>
      <c r="AG27" s="175">
        <v>202039.07783863915</v>
      </c>
      <c r="AH27" s="175">
        <v>211724.10841425008</v>
      </c>
      <c r="AI27" s="175">
        <v>237908.04997590475</v>
      </c>
      <c r="AJ27" s="175">
        <v>290148.92299215257</v>
      </c>
      <c r="AK27" s="175">
        <v>354983.94600988412</v>
      </c>
    </row>
    <row r="28" spans="2:57" ht="15" thickBot="1">
      <c r="B28" s="479"/>
      <c r="D28" s="171"/>
      <c r="E28" s="185"/>
      <c r="F28" s="185"/>
      <c r="G28" s="186"/>
      <c r="H28" s="186"/>
      <c r="I28" s="477"/>
      <c r="J28" s="186"/>
      <c r="K28" s="186"/>
      <c r="L28" s="186"/>
      <c r="M28" s="186"/>
      <c r="N28" s="186"/>
      <c r="O28" s="186"/>
      <c r="AD28" s="174" t="str">
        <f>AD21</f>
        <v>Stress Case</v>
      </c>
      <c r="AE28" s="175">
        <v>143212.5</v>
      </c>
      <c r="AF28" s="175">
        <v>147040.50950107811</v>
      </c>
      <c r="AG28" s="175">
        <v>126752.76899091498</v>
      </c>
      <c r="AH28" s="175">
        <v>110726.62317742856</v>
      </c>
      <c r="AI28" s="175">
        <v>132607.99439542854</v>
      </c>
      <c r="AJ28" s="175">
        <v>157912.75607542854</v>
      </c>
      <c r="AK28" s="175">
        <v>176284.35406546379</v>
      </c>
      <c r="AO28" s="401" t="s">
        <v>373</v>
      </c>
      <c r="AP28" s="203" t="str">
        <f>"Net Debt / EBITDA "&amp;AO28</f>
        <v>Net Debt / EBITDA Base Case</v>
      </c>
      <c r="AQ28" s="398">
        <v>-0.92508576629559613</v>
      </c>
      <c r="AR28" s="398">
        <v>-0.31715495940698907</v>
      </c>
      <c r="AS28" s="398">
        <v>2.3963705898657963</v>
      </c>
      <c r="AT28" s="398">
        <v>2.3280126917180919</v>
      </c>
      <c r="AU28" s="398">
        <v>1.8715799788096401</v>
      </c>
      <c r="AV28" s="398">
        <v>1.531002684831231</v>
      </c>
      <c r="AW28" s="398">
        <v>1.1431096345854836</v>
      </c>
      <c r="AX28" s="394">
        <v>0.72027185795177961</v>
      </c>
      <c r="AY28" s="394">
        <v>0.51839831572359918</v>
      </c>
      <c r="AZ28" s="394">
        <v>8.6923137678859938E-2</v>
      </c>
      <c r="BA28" s="394">
        <v>-0.34032976152534372</v>
      </c>
      <c r="BB28" s="394">
        <v>-0.75107532716087877</v>
      </c>
    </row>
    <row r="29" spans="2:57" ht="16.2" thickBot="1">
      <c r="B29" s="177" t="s">
        <v>8</v>
      </c>
      <c r="AO29" s="401" t="s">
        <v>378</v>
      </c>
      <c r="AP29" s="203" t="str">
        <f>"Net Debt / EBITDA "&amp;AO29</f>
        <v>Net Debt / EBITDA Client Case</v>
      </c>
      <c r="AQ29" s="398">
        <v>-0.92508576629559613</v>
      </c>
      <c r="AR29" s="398">
        <v>-0.31715495940698907</v>
      </c>
      <c r="AS29" s="398">
        <v>1.9214066883645862</v>
      </c>
      <c r="AT29" s="398">
        <v>1.8837126374503375</v>
      </c>
      <c r="AU29" s="398">
        <v>1.5973004654836165</v>
      </c>
      <c r="AV29" s="398">
        <v>1.2760107047441671</v>
      </c>
      <c r="AW29" s="398">
        <v>0.87276614290719445</v>
      </c>
      <c r="AX29" s="394">
        <v>0.42758280712108143</v>
      </c>
      <c r="AY29" s="394">
        <v>0.46919546962197667</v>
      </c>
      <c r="AZ29" s="394">
        <v>2.1558984073724058E-2</v>
      </c>
      <c r="BA29" s="394">
        <v>-0.45303541820002502</v>
      </c>
      <c r="BB29" s="394">
        <v>-1.0091994313885064</v>
      </c>
    </row>
    <row r="30" spans="2:57" ht="14.4" thickBot="1">
      <c r="B30" s="396" t="s">
        <v>124</v>
      </c>
      <c r="C30" s="397"/>
      <c r="D30" s="397"/>
      <c r="E30" s="397"/>
      <c r="F30" s="397"/>
      <c r="G30" s="397">
        <f>+G$9</f>
        <v>2010</v>
      </c>
      <c r="H30" s="397">
        <f t="shared" ref="H30:AB30" si="42">+H$9</f>
        <v>2011</v>
      </c>
      <c r="I30" s="397">
        <f t="shared" si="42"/>
        <v>2012</v>
      </c>
      <c r="J30" s="397">
        <f t="shared" si="42"/>
        <v>2013</v>
      </c>
      <c r="K30" s="397">
        <f t="shared" si="42"/>
        <v>2014</v>
      </c>
      <c r="L30" s="397">
        <f t="shared" si="42"/>
        <v>2015</v>
      </c>
      <c r="M30" s="397">
        <f t="shared" si="42"/>
        <v>2016</v>
      </c>
      <c r="N30" s="397">
        <f t="shared" si="42"/>
        <v>2017</v>
      </c>
      <c r="O30" s="397">
        <f t="shared" si="42"/>
        <v>2018</v>
      </c>
      <c r="P30" s="397">
        <f t="shared" si="42"/>
        <v>2019</v>
      </c>
      <c r="Q30" s="397">
        <f t="shared" si="42"/>
        <v>2020</v>
      </c>
      <c r="R30" s="397">
        <f t="shared" si="42"/>
        <v>2021</v>
      </c>
      <c r="S30" s="397">
        <f t="shared" si="42"/>
        <v>2022</v>
      </c>
      <c r="T30" s="397">
        <f t="shared" si="42"/>
        <v>2023</v>
      </c>
      <c r="U30" s="397">
        <f t="shared" si="42"/>
        <v>2024</v>
      </c>
      <c r="V30" s="397">
        <f t="shared" si="42"/>
        <v>2025</v>
      </c>
      <c r="W30" s="397">
        <f t="shared" si="42"/>
        <v>2026</v>
      </c>
      <c r="X30" s="397">
        <f t="shared" si="42"/>
        <v>2027</v>
      </c>
      <c r="Y30" s="397">
        <f t="shared" si="42"/>
        <v>2028</v>
      </c>
      <c r="Z30" s="397">
        <f t="shared" si="42"/>
        <v>2029</v>
      </c>
      <c r="AA30" s="397">
        <f t="shared" si="42"/>
        <v>2030</v>
      </c>
      <c r="AB30" s="397">
        <f t="shared" si="42"/>
        <v>2031</v>
      </c>
      <c r="AC30" s="187"/>
      <c r="AO30" s="401" t="s">
        <v>350</v>
      </c>
      <c r="AP30" s="203" t="str">
        <f>"Net Debt / EBITDA "&amp;AO30</f>
        <v>Net Debt / EBITDA Stress Case</v>
      </c>
      <c r="AQ30" s="398">
        <v>-0.92508576629559613</v>
      </c>
      <c r="AR30" s="398">
        <v>-0.31715495940698907</v>
      </c>
      <c r="AS30" s="398">
        <v>4.9345765792466185</v>
      </c>
      <c r="AT30" s="398">
        <v>4.7783112116292834</v>
      </c>
      <c r="AU30" s="398">
        <v>4.4518328764868835</v>
      </c>
      <c r="AV30" s="398">
        <v>4.0396358897812625</v>
      </c>
      <c r="AW30" s="398">
        <v>3.5567187333772128</v>
      </c>
      <c r="AX30" s="9">
        <v>3.0343066345047927</v>
      </c>
      <c r="AY30" s="9">
        <v>2.607221377833616</v>
      </c>
      <c r="AZ30" s="9">
        <v>2.1268193370343522</v>
      </c>
      <c r="BA30" s="9">
        <v>1.6246443691406878</v>
      </c>
      <c r="BB30" s="9">
        <v>1.1614132273576125</v>
      </c>
      <c r="BC30"/>
      <c r="BD30"/>
      <c r="BE30"/>
    </row>
    <row r="31" spans="2:57" ht="13.8" thickBot="1">
      <c r="B31" s="182" t="s">
        <v>36</v>
      </c>
      <c r="C31" s="183"/>
      <c r="D31" s="183"/>
      <c r="E31" s="183"/>
      <c r="F31" s="188"/>
      <c r="G31" s="183">
        <f>'Balance Sheet'!H12</f>
        <v>375922</v>
      </c>
      <c r="H31" s="183">
        <f>'Balance Sheet'!I12</f>
        <v>601454</v>
      </c>
      <c r="I31" s="183">
        <f ca="1">'Balance Sheet'!J12</f>
        <v>550540.61709039961</v>
      </c>
      <c r="J31" s="183">
        <f ca="1">'Balance Sheet'!K12</f>
        <v>604004.73164455476</v>
      </c>
      <c r="K31" s="183">
        <f ca="1">'Balance Sheet'!L12</f>
        <v>591724.22873186599</v>
      </c>
      <c r="L31" s="183">
        <f ca="1">'Balance Sheet'!M12</f>
        <v>577381.71361583588</v>
      </c>
      <c r="M31" s="183">
        <f ca="1">'Balance Sheet'!N12</f>
        <v>617663.32136657846</v>
      </c>
      <c r="N31" s="183">
        <f ca="1">'Balance Sheet'!O12</f>
        <v>660908.88554344093</v>
      </c>
      <c r="O31" s="183">
        <f ca="1">'Balance Sheet'!P12</f>
        <v>707992.61092881078</v>
      </c>
      <c r="P31" s="183">
        <f ca="1">'Balance Sheet'!Q12</f>
        <v>758858.02998937992</v>
      </c>
      <c r="Q31" s="183">
        <f ca="1">'Balance Sheet'!R12</f>
        <v>813357.76125828305</v>
      </c>
      <c r="R31" s="183">
        <f ca="1">'Balance Sheet'!S12</f>
        <v>871857.00935957872</v>
      </c>
      <c r="S31" s="183">
        <f ca="1">'Balance Sheet'!T12</f>
        <v>935192.00995101489</v>
      </c>
      <c r="T31" s="183" t="e">
        <f ca="1">'Balance Sheet'!U12</f>
        <v>#VALUE!</v>
      </c>
      <c r="U31" s="183" t="e">
        <f ca="1">'Balance Sheet'!V12</f>
        <v>#VALUE!</v>
      </c>
      <c r="V31" s="183" t="e">
        <f ca="1">'Balance Sheet'!W12</f>
        <v>#VALUE!</v>
      </c>
      <c r="W31" s="183" t="e">
        <f ca="1">'Balance Sheet'!X12</f>
        <v>#VALUE!</v>
      </c>
      <c r="X31" s="183" t="e">
        <f ca="1">'Balance Sheet'!Y12</f>
        <v>#VALUE!</v>
      </c>
      <c r="Y31" s="183" t="e">
        <f ca="1">'Balance Sheet'!Z12</f>
        <v>#VALUE!</v>
      </c>
      <c r="Z31" s="183" t="e">
        <f ca="1">'Balance Sheet'!AA12</f>
        <v>#VALUE!</v>
      </c>
      <c r="AA31" s="183" t="e">
        <f ca="1">'Balance Sheet'!AB12</f>
        <v>#VALUE!</v>
      </c>
      <c r="AB31" s="183" t="e">
        <f ca="1">'Balance Sheet'!AC12</f>
        <v>#VALUE!</v>
      </c>
      <c r="AD31" s="167">
        <f>2800*(1-34%)</f>
        <v>1847.9999999999998</v>
      </c>
      <c r="AP31" s="167" t="s">
        <v>393</v>
      </c>
      <c r="AQ31" s="167">
        <v>0</v>
      </c>
      <c r="AR31" s="167">
        <v>0</v>
      </c>
      <c r="AS31" s="167">
        <v>2.6</v>
      </c>
      <c r="AT31" s="167">
        <v>2.6</v>
      </c>
      <c r="AU31" s="167">
        <v>2.2000000000000002</v>
      </c>
      <c r="AV31" s="167">
        <v>2</v>
      </c>
      <c r="AW31" s="167">
        <v>1.5</v>
      </c>
      <c r="AX31" s="167">
        <v>1.5</v>
      </c>
      <c r="AY31" s="167">
        <v>1</v>
      </c>
      <c r="AZ31" s="167">
        <v>1</v>
      </c>
      <c r="BA31" s="167">
        <v>1</v>
      </c>
      <c r="BB31" s="167">
        <v>1</v>
      </c>
    </row>
    <row r="32" spans="2:57" ht="13.8" thickBot="1">
      <c r="B32" s="190" t="str">
        <f>'Balance Sheet'!C13</f>
        <v>Cash &amp; Short Term Inv.</v>
      </c>
      <c r="C32" s="191"/>
      <c r="D32" s="191"/>
      <c r="E32" s="191"/>
      <c r="F32" s="192"/>
      <c r="G32" s="191">
        <f>'Balance Sheet'!H13</f>
        <v>119958</v>
      </c>
      <c r="H32" s="191">
        <f>'Balance Sheet'!I13</f>
        <v>228486</v>
      </c>
      <c r="I32" s="191">
        <f ca="1">'Balance Sheet'!J13</f>
        <v>149443.50967980342</v>
      </c>
      <c r="J32" s="191">
        <f ca="1">'Balance Sheet'!K13</f>
        <v>165864.85863469099</v>
      </c>
      <c r="K32" s="191">
        <f ca="1">'Balance Sheet'!L13</f>
        <v>120594.36809195251</v>
      </c>
      <c r="L32" s="191">
        <f ca="1">'Balance Sheet'!M13</f>
        <v>70000</v>
      </c>
      <c r="M32" s="191">
        <f ca="1">'Balance Sheet'!N13</f>
        <v>70000</v>
      </c>
      <c r="N32" s="191">
        <f ca="1">'Balance Sheet'!O13</f>
        <v>70000</v>
      </c>
      <c r="O32" s="191">
        <f ca="1">'Balance Sheet'!P13</f>
        <v>70000</v>
      </c>
      <c r="P32" s="191">
        <f ca="1">'Balance Sheet'!Q13</f>
        <v>70000</v>
      </c>
      <c r="Q32" s="191">
        <f ca="1">'Balance Sheet'!R13</f>
        <v>70000</v>
      </c>
      <c r="R32" s="191">
        <f ca="1">'Balance Sheet'!S13</f>
        <v>70000</v>
      </c>
      <c r="S32" s="191">
        <f ca="1">'Balance Sheet'!T13</f>
        <v>70000</v>
      </c>
      <c r="T32" s="191" t="e">
        <f ca="1">'Balance Sheet'!U13</f>
        <v>#VALUE!</v>
      </c>
      <c r="U32" s="191" t="e">
        <f ca="1">'Balance Sheet'!V13</f>
        <v>#VALUE!</v>
      </c>
      <c r="V32" s="191" t="e">
        <f ca="1">'Balance Sheet'!W13</f>
        <v>#VALUE!</v>
      </c>
      <c r="W32" s="191" t="e">
        <f ca="1">'Balance Sheet'!X13</f>
        <v>#VALUE!</v>
      </c>
      <c r="X32" s="191" t="e">
        <f ca="1">'Balance Sheet'!Y13</f>
        <v>#VALUE!</v>
      </c>
      <c r="Y32" s="191" t="e">
        <f ca="1">'Balance Sheet'!Z13</f>
        <v>#VALUE!</v>
      </c>
      <c r="Z32" s="191" t="e">
        <f ca="1">'Balance Sheet'!AA13</f>
        <v>#VALUE!</v>
      </c>
      <c r="AA32" s="191" t="e">
        <f ca="1">'Balance Sheet'!AB13</f>
        <v>#VALUE!</v>
      </c>
      <c r="AB32" s="191" t="e">
        <f ca="1">'Balance Sheet'!AC13</f>
        <v>#VALUE!</v>
      </c>
      <c r="AC32" s="193"/>
      <c r="AX32"/>
      <c r="AY32"/>
      <c r="AZ32"/>
      <c r="BA32"/>
      <c r="BB32"/>
      <c r="BC32"/>
      <c r="BD32"/>
      <c r="BE32"/>
    </row>
    <row r="33" spans="2:57" ht="13.8" thickBot="1">
      <c r="B33" s="190" t="str">
        <f>'Balance Sheet'!C15</f>
        <v>Reserva Técnica</v>
      </c>
      <c r="C33" s="191"/>
      <c r="D33" s="191"/>
      <c r="E33" s="191"/>
      <c r="F33" s="192"/>
      <c r="G33" s="191">
        <f>'Balance Sheet'!H15</f>
        <v>102022</v>
      </c>
      <c r="H33" s="191">
        <f>'Balance Sheet'!I15</f>
        <v>172303</v>
      </c>
      <c r="I33" s="191">
        <f>'Balance Sheet'!J15</f>
        <v>185298.0279760407</v>
      </c>
      <c r="J33" s="191">
        <f>'Balance Sheet'!K15</f>
        <v>202410.9696789498</v>
      </c>
      <c r="K33" s="191">
        <f>'Balance Sheet'!L15</f>
        <v>217651.61723750833</v>
      </c>
      <c r="L33" s="191">
        <f>'Balance Sheet'!M15</f>
        <v>234399.17473120851</v>
      </c>
      <c r="M33" s="191">
        <f>'Balance Sheet'!N15</f>
        <v>253008.3901606185</v>
      </c>
      <c r="N33" s="191">
        <f>'Balance Sheet'!O15</f>
        <v>272986.88816679042</v>
      </c>
      <c r="O33" s="191">
        <f>'Balance Sheet'!P15</f>
        <v>294738.53210159286</v>
      </c>
      <c r="P33" s="191">
        <f>'Balance Sheet'!Q15</f>
        <v>318237.23520854372</v>
      </c>
      <c r="Q33" s="191">
        <f>'Balance Sheet'!R15</f>
        <v>343414.91049657325</v>
      </c>
      <c r="R33" s="191">
        <f>'Balance Sheet'!S15</f>
        <v>370440.2744570137</v>
      </c>
      <c r="S33" s="191">
        <f>'Balance Sheet'!T15</f>
        <v>399699.64954256045</v>
      </c>
      <c r="T33" s="191">
        <f>'Balance Sheet'!U15</f>
        <v>434373.59414037754</v>
      </c>
      <c r="U33" s="191">
        <f>'Balance Sheet'!V15</f>
        <v>472055.50343205524</v>
      </c>
      <c r="V33" s="191">
        <f>'Balance Sheet'!W15</f>
        <v>513006.31835478597</v>
      </c>
      <c r="W33" s="191">
        <f>'Balance Sheet'!X15</f>
        <v>557509.61647206359</v>
      </c>
      <c r="X33" s="191">
        <f>'Balance Sheet'!Y15</f>
        <v>605873.57570101507</v>
      </c>
      <c r="Y33" s="191">
        <f>'Balance Sheet'!Z15</f>
        <v>658433.10839307809</v>
      </c>
      <c r="Z33" s="191">
        <f>'Balance Sheet'!AA15</f>
        <v>715552.18054617743</v>
      </c>
      <c r="AA33" s="191">
        <f>'Balance Sheet'!AB15</f>
        <v>777626.33220855822</v>
      </c>
      <c r="AB33" s="191">
        <f>'Balance Sheet'!AC15</f>
        <v>777626.33220855822</v>
      </c>
      <c r="AC33" s="193"/>
      <c r="AO33" s="401" t="s">
        <v>373</v>
      </c>
      <c r="AP33" s="203" t="str">
        <f>"EBITDA / INTEREST EXPENSE "&amp;AO33</f>
        <v>EBITDA / INTEREST EXPENSE Base Case</v>
      </c>
      <c r="AQ33" s="413" t="s">
        <v>117</v>
      </c>
      <c r="AR33" s="413">
        <v>3.9420497230633589</v>
      </c>
      <c r="AS33" s="413"/>
      <c r="AT33" s="413"/>
      <c r="AU33" s="413"/>
      <c r="AV33" s="413"/>
      <c r="AW33" s="413"/>
      <c r="AX33"/>
      <c r="AY33"/>
      <c r="AZ33"/>
      <c r="BA33"/>
      <c r="BB33"/>
      <c r="BC33"/>
      <c r="BD33"/>
      <c r="BE33"/>
    </row>
    <row r="34" spans="2:57" ht="13.8" thickBot="1">
      <c r="B34" s="190" t="str">
        <f>'Balance Sheet'!C16</f>
        <v>Créd. operações pl. de assist. à saúde</v>
      </c>
      <c r="C34" s="191"/>
      <c r="D34" s="191"/>
      <c r="E34" s="191"/>
      <c r="F34" s="192"/>
      <c r="G34" s="191">
        <f>'Balance Sheet'!H16</f>
        <v>86898</v>
      </c>
      <c r="H34" s="191">
        <f>'Balance Sheet'!I16</f>
        <v>106236</v>
      </c>
      <c r="I34" s="191">
        <f>'Balance Sheet'!J16</f>
        <v>114248.27948476035</v>
      </c>
      <c r="J34" s="191">
        <f>'Balance Sheet'!K16</f>
        <v>124799.5204657662</v>
      </c>
      <c r="K34" s="191">
        <f>'Balance Sheet'!L16</f>
        <v>134196.37039891319</v>
      </c>
      <c r="L34" s="191">
        <f>'Balance Sheet'!M16</f>
        <v>144522.32826326104</v>
      </c>
      <c r="M34" s="191">
        <f>'Balance Sheet'!N16</f>
        <v>155996.11926143753</v>
      </c>
      <c r="N34" s="191">
        <f>'Balance Sheet'!O16</f>
        <v>168314.16197795249</v>
      </c>
      <c r="O34" s="191">
        <f>'Balance Sheet'!P16</f>
        <v>181725.46442223771</v>
      </c>
      <c r="P34" s="191">
        <f>'Balance Sheet'!Q15</f>
        <v>318237.23520854372</v>
      </c>
      <c r="Q34" s="191">
        <f>'Balance Sheet'!R15</f>
        <v>343414.91049657325</v>
      </c>
      <c r="R34" s="191">
        <f>'Balance Sheet'!S15</f>
        <v>370440.2744570137</v>
      </c>
      <c r="S34" s="191">
        <f>'Balance Sheet'!T15</f>
        <v>399699.64954256045</v>
      </c>
      <c r="T34" s="191">
        <f>'Balance Sheet'!U15</f>
        <v>434373.59414037754</v>
      </c>
      <c r="U34" s="191">
        <f>'Balance Sheet'!V15</f>
        <v>472055.50343205524</v>
      </c>
      <c r="V34" s="191">
        <f>'Balance Sheet'!W15</f>
        <v>513006.31835478597</v>
      </c>
      <c r="W34" s="191">
        <f>'Balance Sheet'!X15</f>
        <v>557509.61647206359</v>
      </c>
      <c r="X34" s="191">
        <f>'Balance Sheet'!Y15</f>
        <v>605873.57570101507</v>
      </c>
      <c r="Y34" s="191">
        <f>'Balance Sheet'!Z15</f>
        <v>658433.10839307809</v>
      </c>
      <c r="Z34" s="191">
        <f>'Balance Sheet'!AA15</f>
        <v>715552.18054617743</v>
      </c>
      <c r="AA34" s="191">
        <f>'Balance Sheet'!AB15</f>
        <v>777626.33220855822</v>
      </c>
      <c r="AB34" s="191">
        <f>'Balance Sheet'!AC15</f>
        <v>777626.33220855822</v>
      </c>
      <c r="AC34" s="193"/>
      <c r="AO34" s="401" t="s">
        <v>378</v>
      </c>
      <c r="AP34" s="203" t="str">
        <f>"EBITDA / INTEREST EXPENSE "&amp;AO34</f>
        <v>EBITDA / INTEREST EXPENSE Client Case</v>
      </c>
      <c r="AQ34" s="413" t="s">
        <v>117</v>
      </c>
      <c r="AR34" s="413">
        <v>5.0837438874992786</v>
      </c>
      <c r="AS34" s="413"/>
      <c r="AT34" s="413"/>
      <c r="AU34" s="413"/>
      <c r="AV34" s="413"/>
      <c r="AW34" s="413"/>
      <c r="AX34"/>
      <c r="AY34"/>
      <c r="AZ34"/>
      <c r="BA34"/>
      <c r="BB34"/>
      <c r="BC34"/>
      <c r="BD34"/>
      <c r="BE34"/>
    </row>
    <row r="35" spans="2:57" ht="13.8" thickBot="1">
      <c r="B35" s="190" t="str">
        <f>'Balance Sheet'!C17</f>
        <v>Despesas de comercialização diferidas</v>
      </c>
      <c r="C35" s="191"/>
      <c r="D35" s="191"/>
      <c r="E35" s="191"/>
      <c r="F35" s="192"/>
      <c r="G35" s="191">
        <f>'Balance Sheet'!H17</f>
        <v>9839</v>
      </c>
      <c r="H35" s="191">
        <f>'Balance Sheet'!I17</f>
        <v>9480</v>
      </c>
      <c r="I35" s="191">
        <f>'Balance Sheet'!J17</f>
        <v>10194.978063137998</v>
      </c>
      <c r="J35" s="191">
        <f>'Balance Sheet'!K17</f>
        <v>11136.521085276778</v>
      </c>
      <c r="K35" s="191">
        <f>'Balance Sheet'!L17</f>
        <v>11975.051690403414</v>
      </c>
      <c r="L35" s="191">
        <f>'Balance Sheet'!M17</f>
        <v>12896.491508864367</v>
      </c>
      <c r="M35" s="191">
        <f>'Balance Sheet'!N17</f>
        <v>13920.358546993748</v>
      </c>
      <c r="N35" s="191">
        <f>'Balance Sheet'!O17</f>
        <v>15019.562629908787</v>
      </c>
      <c r="O35" s="191">
        <f>'Balance Sheet'!P17</f>
        <v>16216.324058914244</v>
      </c>
      <c r="P35" s="191">
        <f>'Balance Sheet'!Q16</f>
        <v>196213.94241316084</v>
      </c>
      <c r="Q35" s="191">
        <f>'Balance Sheet'!R16</f>
        <v>211737.61589475494</v>
      </c>
      <c r="R35" s="191">
        <f>'Balance Sheet'!S16</f>
        <v>228400.50955128646</v>
      </c>
      <c r="S35" s="191">
        <f>'Balance Sheet'!T16</f>
        <v>246440.81628760646</v>
      </c>
      <c r="T35" s="191">
        <f>'Balance Sheet'!U16</f>
        <v>267819.55710055627</v>
      </c>
      <c r="U35" s="191">
        <f>'Balance Sheet'!V16</f>
        <v>291052.90367902949</v>
      </c>
      <c r="V35" s="191">
        <f>'Balance Sheet'!W16</f>
        <v>316301.74307318532</v>
      </c>
      <c r="W35" s="191">
        <f>'Balance Sheet'!X16</f>
        <v>343740.91928478412</v>
      </c>
      <c r="X35" s="191">
        <f>'Balance Sheet'!Y16</f>
        <v>373560.44403273909</v>
      </c>
      <c r="Y35" s="191">
        <f>'Balance Sheet'!Z16</f>
        <v>405966.81255257915</v>
      </c>
      <c r="Z35" s="191">
        <f>'Balance Sheet'!AA16</f>
        <v>441184.43354151532</v>
      </c>
      <c r="AA35" s="191">
        <f>'Balance Sheet'!AB16</f>
        <v>479457.18315124168</v>
      </c>
      <c r="AB35" s="191">
        <f>'Balance Sheet'!AC16</f>
        <v>479457.18315124168</v>
      </c>
      <c r="AC35" s="193"/>
      <c r="AO35" s="401" t="s">
        <v>350</v>
      </c>
      <c r="AP35" s="203" t="str">
        <f>"EBITDA / INTEREST EXPENSE "&amp;AO35</f>
        <v>EBITDA / INTEREST EXPENSE Stress Case</v>
      </c>
      <c r="AQ35" s="413" t="s">
        <v>117</v>
      </c>
      <c r="AR35" s="413">
        <v>4.292081689823469</v>
      </c>
      <c r="AS35" s="413"/>
      <c r="AT35" s="413"/>
      <c r="AU35" s="413"/>
      <c r="AV35" s="413"/>
      <c r="AW35" s="413"/>
      <c r="AX35"/>
      <c r="AY35"/>
      <c r="AZ35"/>
      <c r="BA35"/>
      <c r="BB35"/>
      <c r="BC35"/>
      <c r="BD35"/>
      <c r="BE35"/>
    </row>
    <row r="36" spans="2:57" ht="13.8" thickBot="1">
      <c r="B36" s="190" t="str">
        <f>'Balance Sheet'!C18</f>
        <v>Títulos e créditos a receber</v>
      </c>
      <c r="C36" s="191"/>
      <c r="D36" s="191"/>
      <c r="E36" s="191"/>
      <c r="F36" s="192"/>
      <c r="G36" s="191">
        <f>'Balance Sheet'!H18</f>
        <v>45149</v>
      </c>
      <c r="H36" s="191">
        <f>'Balance Sheet'!I18</f>
        <v>52275</v>
      </c>
      <c r="I36" s="191">
        <f>'Balance Sheet'!J18</f>
        <v>56217.560996892273</v>
      </c>
      <c r="J36" s="191">
        <f>'Balance Sheet'!K18</f>
        <v>61409.455668021466</v>
      </c>
      <c r="K36" s="191">
        <f>'Balance Sheet'!L18</f>
        <v>66033.315096607432</v>
      </c>
      <c r="L36" s="191">
        <f>'Balance Sheet'!M18</f>
        <v>71114.355867709353</v>
      </c>
      <c r="M36" s="191">
        <f>'Balance Sheet'!N18</f>
        <v>76760.204962457618</v>
      </c>
      <c r="N36" s="191">
        <f>'Balance Sheet'!O18</f>
        <v>82821.480641190064</v>
      </c>
      <c r="O36" s="191">
        <f>'Balance Sheet'!P18</f>
        <v>89420.710989424275</v>
      </c>
      <c r="P36" s="191">
        <f>'Balance Sheet'!Q20</f>
        <v>0</v>
      </c>
      <c r="Q36" s="191">
        <f>'Balance Sheet'!R20</f>
        <v>0</v>
      </c>
      <c r="R36" s="191">
        <f>'Balance Sheet'!S20</f>
        <v>0</v>
      </c>
      <c r="S36" s="191">
        <f>'Balance Sheet'!T20</f>
        <v>0</v>
      </c>
      <c r="T36" s="191">
        <f>'Balance Sheet'!U20</f>
        <v>0</v>
      </c>
      <c r="U36" s="191">
        <f>'Balance Sheet'!V20</f>
        <v>0</v>
      </c>
      <c r="V36" s="191">
        <f>'Balance Sheet'!W20</f>
        <v>0</v>
      </c>
      <c r="W36" s="191">
        <f>'Balance Sheet'!X20</f>
        <v>0</v>
      </c>
      <c r="X36" s="191">
        <f>'Balance Sheet'!Y20</f>
        <v>0</v>
      </c>
      <c r="Y36" s="191">
        <f>'Balance Sheet'!Z20</f>
        <v>0</v>
      </c>
      <c r="Z36" s="191">
        <f>'Balance Sheet'!AA20</f>
        <v>0</v>
      </c>
      <c r="AA36" s="191">
        <f>'Balance Sheet'!AB20</f>
        <v>0</v>
      </c>
      <c r="AB36" s="191">
        <f>'Balance Sheet'!AC20</f>
        <v>0</v>
      </c>
      <c r="AC36" s="193"/>
      <c r="AO36" s="401"/>
      <c r="AP36" s="203" t="s">
        <v>393</v>
      </c>
      <c r="AQ36" s="413">
        <f>$AX36</f>
        <v>0</v>
      </c>
      <c r="AR36" s="413">
        <f t="shared" ref="AR36:AW36" si="43">$AX36</f>
        <v>0</v>
      </c>
      <c r="AS36" s="413">
        <f t="shared" si="43"/>
        <v>0</v>
      </c>
      <c r="AT36" s="413">
        <f t="shared" si="43"/>
        <v>0</v>
      </c>
      <c r="AU36" s="413">
        <f t="shared" si="43"/>
        <v>0</v>
      </c>
      <c r="AV36" s="413">
        <f t="shared" si="43"/>
        <v>0</v>
      </c>
      <c r="AW36" s="413">
        <f t="shared" si="43"/>
        <v>0</v>
      </c>
      <c r="AX36"/>
      <c r="AY36"/>
      <c r="AZ36"/>
      <c r="BA36"/>
      <c r="BB36"/>
      <c r="BC36"/>
      <c r="BD36"/>
      <c r="BE36"/>
    </row>
    <row r="37" spans="2:57" ht="13.8" thickBot="1">
      <c r="B37" s="190" t="str">
        <f>'Balance Sheet'!C19</f>
        <v>Outros valores e bens</v>
      </c>
      <c r="C37" s="191"/>
      <c r="D37" s="191"/>
      <c r="E37" s="191"/>
      <c r="F37" s="192"/>
      <c r="G37" s="191">
        <f>'Balance Sheet'!H19</f>
        <v>12056</v>
      </c>
      <c r="H37" s="191">
        <f>'Balance Sheet'!I19</f>
        <v>32674</v>
      </c>
      <c r="I37" s="191">
        <f>'Balance Sheet'!J19</f>
        <v>35138.260889764861</v>
      </c>
      <c r="J37" s="191">
        <f>'Balance Sheet'!K19</f>
        <v>38383.406111849516</v>
      </c>
      <c r="K37" s="191">
        <f>'Balance Sheet'!L19</f>
        <v>41273.506216481132</v>
      </c>
      <c r="L37" s="191">
        <f>'Balance Sheet'!M19</f>
        <v>44449.36324479265</v>
      </c>
      <c r="M37" s="191">
        <f>'Balance Sheet'!N19</f>
        <v>47978.248435071066</v>
      </c>
      <c r="N37" s="191">
        <f>'Balance Sheet'!O19</f>
        <v>51766.792127599125</v>
      </c>
      <c r="O37" s="191">
        <f>'Balance Sheet'!P19</f>
        <v>55891.579356641771</v>
      </c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3"/>
      <c r="AO37" s="607"/>
      <c r="AP37" s="608"/>
      <c r="AQ37" s="413"/>
      <c r="AR37" s="413"/>
      <c r="AS37" s="413"/>
      <c r="AT37" s="413"/>
      <c r="AU37" s="413"/>
      <c r="AV37" s="413"/>
      <c r="AW37" s="413"/>
      <c r="AX37"/>
      <c r="AY37"/>
      <c r="AZ37"/>
      <c r="BA37"/>
      <c r="BB37"/>
      <c r="BC37"/>
      <c r="BD37"/>
      <c r="BE37"/>
    </row>
    <row r="38" spans="2:57" ht="13.8" thickBot="1">
      <c r="B38" s="182" t="s">
        <v>38</v>
      </c>
      <c r="C38" s="183"/>
      <c r="D38" s="183"/>
      <c r="E38" s="183"/>
      <c r="F38" s="188"/>
      <c r="G38" s="183">
        <f>'Balance Sheet'!H27</f>
        <v>741463</v>
      </c>
      <c r="H38" s="183">
        <f>'Balance Sheet'!I27</f>
        <v>708901</v>
      </c>
      <c r="I38" s="183">
        <f>'Balance Sheet'!J27</f>
        <v>708901</v>
      </c>
      <c r="J38" s="183">
        <f>'Balance Sheet'!K27</f>
        <v>708901</v>
      </c>
      <c r="K38" s="183">
        <f>'Balance Sheet'!L27</f>
        <v>708901</v>
      </c>
      <c r="L38" s="183">
        <f>'Balance Sheet'!M27</f>
        <v>708901</v>
      </c>
      <c r="M38" s="183">
        <f>'Balance Sheet'!N27</f>
        <v>708901</v>
      </c>
      <c r="N38" s="183">
        <f>'Balance Sheet'!O27</f>
        <v>708901</v>
      </c>
      <c r="O38" s="183">
        <f>'Balance Sheet'!P27</f>
        <v>708901</v>
      </c>
      <c r="P38" s="183">
        <f>'Balance Sheet'!Q27</f>
        <v>708901</v>
      </c>
      <c r="Q38" s="183">
        <f>'Balance Sheet'!R27</f>
        <v>708901</v>
      </c>
      <c r="R38" s="183">
        <f>'Balance Sheet'!S27</f>
        <v>708901</v>
      </c>
      <c r="S38" s="183">
        <f>'Balance Sheet'!T27</f>
        <v>708901</v>
      </c>
      <c r="T38" s="183">
        <f>'Balance Sheet'!U27</f>
        <v>708901</v>
      </c>
      <c r="U38" s="183">
        <f>'Balance Sheet'!V27</f>
        <v>708901</v>
      </c>
      <c r="V38" s="183">
        <f>'Balance Sheet'!W27</f>
        <v>708901</v>
      </c>
      <c r="W38" s="183">
        <f>'Balance Sheet'!X27</f>
        <v>708901</v>
      </c>
      <c r="X38" s="183">
        <f>'Balance Sheet'!Y27</f>
        <v>708901</v>
      </c>
      <c r="Y38" s="183">
        <f>'Balance Sheet'!Z27</f>
        <v>708901</v>
      </c>
      <c r="Z38" s="183">
        <f>'Balance Sheet'!AA27</f>
        <v>708901</v>
      </c>
      <c r="AA38" s="183">
        <f>'Balance Sheet'!AB27</f>
        <v>708901</v>
      </c>
      <c r="AB38" s="183">
        <f>'Balance Sheet'!AC27</f>
        <v>708901</v>
      </c>
    </row>
    <row r="39" spans="2:57" ht="13.8" thickBot="1">
      <c r="B39" s="609" t="str">
        <f>'Balance Sheet'!C28</f>
        <v>Ativo Fiscal Diferido</v>
      </c>
      <c r="C39" s="191"/>
      <c r="D39" s="191"/>
      <c r="E39" s="191"/>
      <c r="F39" s="192"/>
      <c r="G39" s="191">
        <f>'Balance Sheet'!H28</f>
        <v>6460</v>
      </c>
      <c r="H39" s="191">
        <f>'Balance Sheet'!I28</f>
        <v>8368</v>
      </c>
      <c r="I39" s="191">
        <f>'Balance Sheet'!J28</f>
        <v>8368</v>
      </c>
      <c r="J39" s="191">
        <f>'Balance Sheet'!K28</f>
        <v>8368</v>
      </c>
      <c r="K39" s="191">
        <f>'Balance Sheet'!L28</f>
        <v>8368</v>
      </c>
      <c r="L39" s="191">
        <f>'Balance Sheet'!M28</f>
        <v>8368</v>
      </c>
      <c r="M39" s="191">
        <f>'Balance Sheet'!N28</f>
        <v>8368</v>
      </c>
      <c r="N39" s="191">
        <f>'Balance Sheet'!O28</f>
        <v>8368</v>
      </c>
      <c r="O39" s="191">
        <f>'Balance Sheet'!P28</f>
        <v>8368</v>
      </c>
      <c r="P39" s="191">
        <f>'Balance Sheet'!Q28</f>
        <v>8368</v>
      </c>
      <c r="Q39" s="191">
        <f>'Balance Sheet'!R28</f>
        <v>8368</v>
      </c>
      <c r="R39" s="191">
        <f>'Balance Sheet'!S28</f>
        <v>8368</v>
      </c>
      <c r="S39" s="191">
        <f>'Balance Sheet'!T28</f>
        <v>8368</v>
      </c>
      <c r="T39" s="191">
        <f>'Balance Sheet'!U28</f>
        <v>8368</v>
      </c>
      <c r="U39" s="191">
        <f>'Balance Sheet'!V28</f>
        <v>8368</v>
      </c>
      <c r="V39" s="191">
        <f>'Balance Sheet'!W28</f>
        <v>8368</v>
      </c>
      <c r="W39" s="191">
        <f>'Balance Sheet'!X28</f>
        <v>8368</v>
      </c>
      <c r="X39" s="191">
        <f>'Balance Sheet'!Y28</f>
        <v>8368</v>
      </c>
      <c r="Y39" s="191">
        <f>'Balance Sheet'!Z28</f>
        <v>8368</v>
      </c>
      <c r="Z39" s="191">
        <f>'Balance Sheet'!AA28</f>
        <v>8368</v>
      </c>
      <c r="AA39" s="191">
        <f>'Balance Sheet'!AB28</f>
        <v>8368</v>
      </c>
      <c r="AB39" s="191">
        <f>'Balance Sheet'!AC28</f>
        <v>8368</v>
      </c>
      <c r="AC39" s="189"/>
      <c r="AO39" s="401" t="s">
        <v>373</v>
      </c>
      <c r="AP39" s="203" t="str">
        <f>"Total Debt / (EBITDA+WCC) "&amp;AO39</f>
        <v>Total Debt / (EBITDA+WCC) Base Case</v>
      </c>
      <c r="AQ39" s="398" t="s">
        <v>117</v>
      </c>
      <c r="AR39" s="398">
        <v>0.17376374424475827</v>
      </c>
      <c r="AS39" s="398">
        <v>3.4901978646616771</v>
      </c>
      <c r="AT39" s="398">
        <v>2.6701662930024064</v>
      </c>
      <c r="AU39" s="398">
        <v>2.0114350276227824</v>
      </c>
      <c r="AV39" s="398">
        <v>1.5924209649740886</v>
      </c>
      <c r="AW39" s="398">
        <v>1.1369845758475676</v>
      </c>
      <c r="AX39" s="9">
        <v>0.44815481188061079</v>
      </c>
      <c r="AY39" s="9">
        <v>0.56705325447265709</v>
      </c>
      <c r="AZ39" s="9">
        <v>0.1945596895282995</v>
      </c>
      <c r="BA39" s="9">
        <v>2.8855505788574695E-2</v>
      </c>
      <c r="BB39" s="9">
        <v>2.5983266484507699E-2</v>
      </c>
      <c r="BC39"/>
      <c r="BD39"/>
      <c r="BE39"/>
    </row>
    <row r="40" spans="2:57" ht="13.8" thickBot="1">
      <c r="B40" s="609" t="str">
        <f>'Balance Sheet'!C29</f>
        <v>Valores e bens</v>
      </c>
      <c r="C40" s="191"/>
      <c r="D40" s="191"/>
      <c r="E40" s="191"/>
      <c r="F40" s="192"/>
      <c r="G40" s="191">
        <f>'Balance Sheet'!H29</f>
        <v>45783</v>
      </c>
      <c r="H40" s="191">
        <f>'Balance Sheet'!I29</f>
        <v>65262</v>
      </c>
      <c r="I40" s="191">
        <f>'Balance Sheet'!J29</f>
        <v>65262</v>
      </c>
      <c r="J40" s="191">
        <f>'Balance Sheet'!K29</f>
        <v>65262</v>
      </c>
      <c r="K40" s="191">
        <f>'Balance Sheet'!L29</f>
        <v>65262</v>
      </c>
      <c r="L40" s="191">
        <f>'Balance Sheet'!M29</f>
        <v>65262</v>
      </c>
      <c r="M40" s="191">
        <f>'Balance Sheet'!N29</f>
        <v>65262</v>
      </c>
      <c r="N40" s="191">
        <f>'Balance Sheet'!O29</f>
        <v>65262</v>
      </c>
      <c r="O40" s="191">
        <f>'Balance Sheet'!P29</f>
        <v>65262</v>
      </c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89"/>
      <c r="AO40" s="401"/>
      <c r="AP40" s="203"/>
      <c r="AQ40" s="398"/>
      <c r="AR40" s="398"/>
      <c r="AS40" s="398"/>
      <c r="AT40" s="398"/>
      <c r="AU40" s="398"/>
      <c r="AV40" s="398"/>
      <c r="AW40" s="398"/>
      <c r="AX40" s="9"/>
      <c r="AY40" s="9"/>
      <c r="AZ40" s="9"/>
      <c r="BA40" s="9"/>
      <c r="BB40" s="9"/>
      <c r="BC40"/>
      <c r="BD40"/>
      <c r="BE40"/>
    </row>
    <row r="41" spans="2:57" ht="13.8" thickBot="1">
      <c r="B41" s="609" t="str">
        <f>'Balance Sheet'!C30</f>
        <v>Conta-corrente com cooperados</v>
      </c>
      <c r="C41" s="191"/>
      <c r="D41" s="191"/>
      <c r="E41" s="191"/>
      <c r="F41" s="192"/>
      <c r="G41" s="191">
        <f>'Balance Sheet'!H30</f>
        <v>689220</v>
      </c>
      <c r="H41" s="191">
        <f>'Balance Sheet'!I30</f>
        <v>635271</v>
      </c>
      <c r="I41" s="191">
        <f>'Balance Sheet'!J30</f>
        <v>635271</v>
      </c>
      <c r="J41" s="191">
        <f>'Balance Sheet'!K30</f>
        <v>635271</v>
      </c>
      <c r="K41" s="191">
        <f>'Balance Sheet'!L30</f>
        <v>635271</v>
      </c>
      <c r="L41" s="191">
        <f>'Balance Sheet'!M30</f>
        <v>635271</v>
      </c>
      <c r="M41" s="191">
        <f>'Balance Sheet'!N30</f>
        <v>635271</v>
      </c>
      <c r="N41" s="191">
        <f>'Balance Sheet'!O30</f>
        <v>635271</v>
      </c>
      <c r="O41" s="191">
        <f>'Balance Sheet'!P30</f>
        <v>635271</v>
      </c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89"/>
      <c r="AO41" s="401"/>
      <c r="AP41" s="203"/>
      <c r="AQ41" s="398"/>
      <c r="AR41" s="398"/>
      <c r="AS41" s="398"/>
      <c r="AT41" s="398"/>
      <c r="AU41" s="398"/>
      <c r="AV41" s="398"/>
      <c r="AW41" s="398"/>
      <c r="AX41" s="9"/>
      <c r="AY41" s="9"/>
      <c r="AZ41" s="9"/>
      <c r="BA41" s="9"/>
      <c r="BB41" s="9"/>
      <c r="BC41"/>
      <c r="BD41"/>
      <c r="BE41"/>
    </row>
    <row r="42" spans="2:57" ht="13.8" thickBot="1">
      <c r="B42" s="609" t="str">
        <f>'Balance Sheet'!C31</f>
        <v>Bens destinados a venda</v>
      </c>
      <c r="C42" s="191"/>
      <c r="D42" s="191"/>
      <c r="E42" s="191"/>
      <c r="F42" s="192"/>
      <c r="G42" s="191">
        <f>'Balance Sheet'!H31</f>
        <v>0</v>
      </c>
      <c r="H42" s="191">
        <f>'Balance Sheet'!I31</f>
        <v>0</v>
      </c>
      <c r="I42" s="191">
        <f>'Balance Sheet'!J31</f>
        <v>0</v>
      </c>
      <c r="J42" s="191">
        <f>'Balance Sheet'!K31</f>
        <v>0</v>
      </c>
      <c r="K42" s="191">
        <f>'Balance Sheet'!L31</f>
        <v>0</v>
      </c>
      <c r="L42" s="191">
        <f>'Balance Sheet'!M31</f>
        <v>0</v>
      </c>
      <c r="M42" s="191">
        <f>'Balance Sheet'!N31</f>
        <v>0</v>
      </c>
      <c r="N42" s="191">
        <f>'Balance Sheet'!O31</f>
        <v>0</v>
      </c>
      <c r="O42" s="191">
        <f>'Balance Sheet'!P31</f>
        <v>0</v>
      </c>
      <c r="P42" s="191">
        <f>'Balance Sheet'!Q29</f>
        <v>65262</v>
      </c>
      <c r="Q42" s="191">
        <f>'Balance Sheet'!R29</f>
        <v>65262</v>
      </c>
      <c r="R42" s="191">
        <f>'Balance Sheet'!S29</f>
        <v>65262</v>
      </c>
      <c r="S42" s="191">
        <f>'Balance Sheet'!T29</f>
        <v>65262</v>
      </c>
      <c r="T42" s="191">
        <f>'Balance Sheet'!U29</f>
        <v>65262</v>
      </c>
      <c r="U42" s="191">
        <f>'Balance Sheet'!V29</f>
        <v>65262</v>
      </c>
      <c r="V42" s="191">
        <f>'Balance Sheet'!W29</f>
        <v>65262</v>
      </c>
      <c r="W42" s="191">
        <f>'Balance Sheet'!X29</f>
        <v>65262</v>
      </c>
      <c r="X42" s="191">
        <f>'Balance Sheet'!Y29</f>
        <v>65262</v>
      </c>
      <c r="Y42" s="191">
        <f>'Balance Sheet'!Z29</f>
        <v>65262</v>
      </c>
      <c r="Z42" s="191">
        <f>'Balance Sheet'!AA29</f>
        <v>65262</v>
      </c>
      <c r="AA42" s="191">
        <f>'Balance Sheet'!AB29</f>
        <v>65262</v>
      </c>
      <c r="AB42" s="191">
        <f>'Balance Sheet'!AC29</f>
        <v>65262</v>
      </c>
      <c r="AC42" s="189"/>
      <c r="AO42" s="401" t="s">
        <v>378</v>
      </c>
      <c r="AP42" s="203" t="str">
        <f>"Total Debt / (EBITDA+WCC) "&amp;AO42</f>
        <v>Total Debt / (EBITDA+WCC) Client Case</v>
      </c>
      <c r="AQ42" s="398" t="s">
        <v>117</v>
      </c>
      <c r="AR42" s="398">
        <v>0.2622080156602789</v>
      </c>
      <c r="AS42" s="398">
        <v>3.7083103636365959</v>
      </c>
      <c r="AT42" s="398">
        <v>3.381116683490494</v>
      </c>
      <c r="AU42" s="398">
        <v>3.2020541857391942</v>
      </c>
      <c r="AV42" s="398">
        <v>2.2690903475899868</v>
      </c>
      <c r="AW42" s="398">
        <v>1.467344912636507</v>
      </c>
      <c r="AX42" s="9">
        <v>0.57972032040367938</v>
      </c>
      <c r="AY42" s="9">
        <v>0.4812846884371953</v>
      </c>
      <c r="AZ42" s="9">
        <v>9.9238698912300263E-2</v>
      </c>
      <c r="BA42" s="9">
        <v>2.1320086045522831E-2</v>
      </c>
      <c r="BB42" s="9">
        <v>1.7762639091443603E-2</v>
      </c>
      <c r="BC42"/>
      <c r="BD42"/>
      <c r="BE42"/>
    </row>
    <row r="43" spans="2:57" ht="13.8" thickBot="1">
      <c r="B43" s="182" t="s">
        <v>39</v>
      </c>
      <c r="C43" s="183"/>
      <c r="D43" s="183"/>
      <c r="E43" s="183"/>
      <c r="F43" s="188"/>
      <c r="G43" s="183">
        <f>'Balance Sheet'!H34</f>
        <v>297589</v>
      </c>
      <c r="H43" s="183">
        <f>'Balance Sheet'!I34</f>
        <v>407811</v>
      </c>
      <c r="I43" s="183">
        <f ca="1">'Balance Sheet'!J34</f>
        <v>518804.4</v>
      </c>
      <c r="J43" s="183">
        <f ca="1">'Balance Sheet'!K34</f>
        <v>578804.39999999991</v>
      </c>
      <c r="K43" s="183">
        <f ca="1">'Balance Sheet'!L34</f>
        <v>578804.4</v>
      </c>
      <c r="L43" s="183">
        <f ca="1">'Balance Sheet'!M34</f>
        <v>578804.4</v>
      </c>
      <c r="M43" s="183">
        <f ca="1">'Balance Sheet'!N34</f>
        <v>578804.40000000014</v>
      </c>
      <c r="N43" s="183">
        <f ca="1">'Balance Sheet'!O34</f>
        <v>578804.40000000014</v>
      </c>
      <c r="O43" s="183">
        <f ca="1">'Balance Sheet'!P34</f>
        <v>578804.40000000014</v>
      </c>
      <c r="P43" s="183">
        <f ca="1">'Balance Sheet'!Q34</f>
        <v>578804.40000000014</v>
      </c>
      <c r="Q43" s="183">
        <f ca="1">'Balance Sheet'!R34</f>
        <v>578804.40000000026</v>
      </c>
      <c r="R43" s="183">
        <f ca="1">'Balance Sheet'!S34</f>
        <v>578804.40000000037</v>
      </c>
      <c r="S43" s="183">
        <f ca="1">'Balance Sheet'!T34</f>
        <v>578804.40000000037</v>
      </c>
      <c r="T43" s="183">
        <f ca="1">'Balance Sheet'!U34</f>
        <v>578804.40000000037</v>
      </c>
      <c r="U43" s="183">
        <f ca="1">'Balance Sheet'!V34</f>
        <v>578804.40000000037</v>
      </c>
      <c r="V43" s="183">
        <f ca="1">'Balance Sheet'!W34</f>
        <v>578804.40000000037</v>
      </c>
      <c r="W43" s="183">
        <f ca="1">'Balance Sheet'!X34</f>
        <v>578804.40000000037</v>
      </c>
      <c r="X43" s="183">
        <f ca="1">'Balance Sheet'!Y34</f>
        <v>578804.40000000037</v>
      </c>
      <c r="Y43" s="183">
        <f ca="1">'Balance Sheet'!Z34</f>
        <v>578804.40000000014</v>
      </c>
      <c r="Z43" s="183">
        <f ca="1">'Balance Sheet'!AA34</f>
        <v>578804.40000000014</v>
      </c>
      <c r="AA43" s="183">
        <f ca="1">'Balance Sheet'!AB34</f>
        <v>578804.40000000014</v>
      </c>
      <c r="AB43" s="183">
        <f ca="1">'Balance Sheet'!AC34</f>
        <v>578804.39999999991</v>
      </c>
      <c r="AO43" s="167" t="s">
        <v>350</v>
      </c>
      <c r="AP43" s="167" t="str">
        <f>"Total Debt / (EBITDA+WCC) "&amp;AO43</f>
        <v>Total Debt / (EBITDA+WCC) Stress Case</v>
      </c>
      <c r="AQ43" s="167" t="s">
        <v>117</v>
      </c>
      <c r="AR43" s="167">
        <v>0.18284318802141036</v>
      </c>
      <c r="AS43" s="167">
        <v>7.5960487169235922</v>
      </c>
      <c r="AT43" s="167">
        <v>6.5554055045209125</v>
      </c>
      <c r="AU43" s="167">
        <v>6.1424918663355097</v>
      </c>
      <c r="AV43" s="167">
        <v>5.4313142671275525</v>
      </c>
      <c r="AW43" s="167">
        <v>4.7642195934926121</v>
      </c>
      <c r="AX43" s="167">
        <v>2.1867103175626492</v>
      </c>
      <c r="AY43" s="167">
        <v>2.2437947039474913</v>
      </c>
      <c r="AZ43" s="167">
        <v>1.8542283901051535</v>
      </c>
      <c r="BA43" s="167">
        <v>1.4466946551611981</v>
      </c>
      <c r="BB43" s="167">
        <v>1.0648171574291778</v>
      </c>
    </row>
    <row r="44" spans="2:57" ht="13.8" thickBot="1">
      <c r="B44" s="190" t="str">
        <f>'Balance Sheet'!C37</f>
        <v>PP&amp;E</v>
      </c>
      <c r="C44" s="191"/>
      <c r="D44" s="191"/>
      <c r="E44" s="191"/>
      <c r="F44" s="192"/>
      <c r="G44" s="191">
        <f>'Balance Sheet'!H37</f>
        <v>197195</v>
      </c>
      <c r="H44" s="191">
        <f>'Balance Sheet'!I37</f>
        <v>280066</v>
      </c>
      <c r="I44" s="191">
        <f ca="1">'Balance Sheet'!J37</f>
        <v>419066</v>
      </c>
      <c r="J44" s="191">
        <f ca="1">'Balance Sheet'!K37</f>
        <v>526929.74285714282</v>
      </c>
      <c r="K44" s="191">
        <f ca="1">'Balance Sheet'!L37</f>
        <v>590202.59183673467</v>
      </c>
      <c r="L44" s="191">
        <f ca="1">'Balance Sheet'!M37</f>
        <v>662514.41924198251</v>
      </c>
      <c r="M44" s="191">
        <f ca="1">'Balance Sheet'!N37</f>
        <v>745156.50770512293</v>
      </c>
      <c r="N44" s="191">
        <f ca="1">'Balance Sheet'!O37</f>
        <v>839604.6088058548</v>
      </c>
      <c r="O44" s="191">
        <f ca="1">'Balance Sheet'!P37</f>
        <v>947545.2957781197</v>
      </c>
      <c r="P44" s="191">
        <f>'Balance Sheet'!Q35+'Balance Sheet'!Q17</f>
        <v>17509.207557483009</v>
      </c>
      <c r="Q44" s="191">
        <f>'Balance Sheet'!R35+'Balance Sheet'!R17</f>
        <v>18894.467023252731</v>
      </c>
      <c r="R44" s="191">
        <f>'Balance Sheet'!S35+'Balance Sheet'!S17</f>
        <v>20381.385128828231</v>
      </c>
      <c r="S44" s="191">
        <f>'Balance Sheet'!T35+'Balance Sheet'!T17</f>
        <v>21991.217086547964</v>
      </c>
      <c r="T44" s="191">
        <f>'Balance Sheet'!U35+'Balance Sheet'!U17</f>
        <v>23898.955168805998</v>
      </c>
      <c r="U44" s="191">
        <f>'Balance Sheet'!V35+'Balance Sheet'!V17</f>
        <v>25972.189529699914</v>
      </c>
      <c r="V44" s="191">
        <f>'Balance Sheet'!W35+'Balance Sheet'!W17</f>
        <v>28225.276971401381</v>
      </c>
      <c r="W44" s="191">
        <f>'Balance Sheet'!X35+'Balance Sheet'!X17</f>
        <v>30673.819748670448</v>
      </c>
      <c r="X44" s="191">
        <f>'Balance Sheet'!Y35+'Balance Sheet'!Y17</f>
        <v>33334.773611867604</v>
      </c>
      <c r="Y44" s="191">
        <f>'Balance Sheet'!Z35+'Balance Sheet'!Z17</f>
        <v>36226.565222697114</v>
      </c>
      <c r="Z44" s="191">
        <f>'Balance Sheet'!AA35+'Balance Sheet'!AA17</f>
        <v>39369.219755766084</v>
      </c>
      <c r="AA44" s="191">
        <f>'Balance Sheet'!AB35+'Balance Sheet'!AB17</f>
        <v>42784.499569578787</v>
      </c>
      <c r="AB44" s="191">
        <f>'Balance Sheet'!AC35+'Balance Sheet'!AC17</f>
        <v>42784.499569578787</v>
      </c>
      <c r="AC44" s="193"/>
      <c r="AO44" s="401"/>
      <c r="AP44" s="203" t="s">
        <v>393</v>
      </c>
      <c r="AQ44" s="398">
        <f>$AX44</f>
        <v>0</v>
      </c>
      <c r="AR44" s="398">
        <f t="shared" ref="AR44" si="44">$AX44</f>
        <v>0</v>
      </c>
      <c r="AS44" s="398"/>
      <c r="AT44" s="398"/>
      <c r="AU44" s="398"/>
      <c r="AV44" s="398"/>
      <c r="AW44" s="398"/>
      <c r="AX44"/>
      <c r="AY44"/>
      <c r="AZ44"/>
      <c r="BA44"/>
      <c r="BB44"/>
      <c r="BC44"/>
      <c r="BD44"/>
      <c r="BE44"/>
    </row>
    <row r="45" spans="2:57" ht="13.8" thickBot="1">
      <c r="B45" s="190" t="str">
        <f>'Balance Sheet'!C39</f>
        <v>Amortizacao</v>
      </c>
      <c r="C45" s="191"/>
      <c r="D45" s="191"/>
      <c r="E45" s="191"/>
      <c r="F45" s="192"/>
      <c r="G45" s="191">
        <f>'Balance Sheet'!H39</f>
        <v>0</v>
      </c>
      <c r="H45" s="191">
        <f>'Balance Sheet'!I39</f>
        <v>0</v>
      </c>
      <c r="I45" s="191">
        <f ca="1">'Balance Sheet'!J39</f>
        <v>-28006.6</v>
      </c>
      <c r="J45" s="191">
        <f ca="1">'Balance Sheet'!K39</f>
        <v>-75870.342857142852</v>
      </c>
      <c r="K45" s="191">
        <f ca="1">'Balance Sheet'!L39</f>
        <v>-139143.19183673468</v>
      </c>
      <c r="L45" s="191">
        <f ca="1">'Balance Sheet'!M39</f>
        <v>-211455.01924198249</v>
      </c>
      <c r="M45" s="191">
        <f ca="1">'Balance Sheet'!N39</f>
        <v>-294097.10770512285</v>
      </c>
      <c r="N45" s="191">
        <f ca="1">'Balance Sheet'!O39</f>
        <v>-388545.20880585467</v>
      </c>
      <c r="O45" s="191">
        <f ca="1">'Balance Sheet'!P39</f>
        <v>-496485.89577811962</v>
      </c>
      <c r="P45" s="191">
        <f>'Balance Sheet'!Q38+'Balance Sheet'!Q40</f>
        <v>31238</v>
      </c>
      <c r="Q45" s="191">
        <f>'Balance Sheet'!R38+'Balance Sheet'!R40</f>
        <v>31238</v>
      </c>
      <c r="R45" s="191">
        <f>'Balance Sheet'!S38+'Balance Sheet'!S40</f>
        <v>31238</v>
      </c>
      <c r="S45" s="191">
        <f>'Balance Sheet'!T38+'Balance Sheet'!T40</f>
        <v>31238</v>
      </c>
      <c r="T45" s="191">
        <f>'Balance Sheet'!U38+'Balance Sheet'!U40</f>
        <v>31238</v>
      </c>
      <c r="U45" s="191">
        <f>'Balance Sheet'!V38+'Balance Sheet'!V40</f>
        <v>31238</v>
      </c>
      <c r="V45" s="191">
        <f>'Balance Sheet'!W38+'Balance Sheet'!W40</f>
        <v>31238</v>
      </c>
      <c r="W45" s="191">
        <f>'Balance Sheet'!X38+'Balance Sheet'!X40</f>
        <v>31238</v>
      </c>
      <c r="X45" s="191">
        <f>'Balance Sheet'!Y38+'Balance Sheet'!Y40</f>
        <v>31238</v>
      </c>
      <c r="Y45" s="191">
        <f>'Balance Sheet'!Z38+'Balance Sheet'!Z40</f>
        <v>31238</v>
      </c>
      <c r="Z45" s="191">
        <f>'Balance Sheet'!AA38+'Balance Sheet'!AA40</f>
        <v>31238</v>
      </c>
      <c r="AA45" s="191">
        <f>'Balance Sheet'!AB38+'Balance Sheet'!AB40</f>
        <v>31238</v>
      </c>
      <c r="AB45" s="191">
        <f>'Balance Sheet'!AC38+'Balance Sheet'!AC40</f>
        <v>31238</v>
      </c>
      <c r="AC45" s="193"/>
      <c r="AX45"/>
      <c r="AY45"/>
      <c r="AZ45"/>
      <c r="BA45"/>
      <c r="BB45"/>
      <c r="BC45"/>
      <c r="BD45"/>
      <c r="BE45"/>
    </row>
    <row r="46" spans="2:57" ht="13.8" thickBot="1">
      <c r="B46" s="190" t="str">
        <f>'Balance Sheet'!C40</f>
        <v>Intangible Amortization</v>
      </c>
      <c r="C46" s="191"/>
      <c r="D46" s="191"/>
      <c r="E46" s="191"/>
      <c r="F46" s="192"/>
      <c r="G46" s="191">
        <f>'Balance Sheet'!H40</f>
        <v>12791</v>
      </c>
      <c r="H46" s="191">
        <f>'Balance Sheet'!I40</f>
        <v>31238</v>
      </c>
      <c r="I46" s="191">
        <f>'Balance Sheet'!J40</f>
        <v>31238</v>
      </c>
      <c r="J46" s="191">
        <f>'Balance Sheet'!K40</f>
        <v>31238</v>
      </c>
      <c r="K46" s="191">
        <f>'Balance Sheet'!L40</f>
        <v>31238</v>
      </c>
      <c r="L46" s="191">
        <f>'Balance Sheet'!M40</f>
        <v>31238</v>
      </c>
      <c r="M46" s="191">
        <f>'Balance Sheet'!N40</f>
        <v>31238</v>
      </c>
      <c r="N46" s="191">
        <f>'Balance Sheet'!O40</f>
        <v>31238</v>
      </c>
      <c r="O46" s="191">
        <f>'Balance Sheet'!P40</f>
        <v>31238</v>
      </c>
      <c r="P46" s="191">
        <f ca="1">'Balance Sheet'!Q37+'Balance Sheet'!Q39</f>
        <v>451059.40000000014</v>
      </c>
      <c r="Q46" s="191">
        <f ca="1">'Balance Sheet'!R37+'Balance Sheet'!R39</f>
        <v>451059.40000000026</v>
      </c>
      <c r="R46" s="191">
        <f ca="1">'Balance Sheet'!S37+'Balance Sheet'!S39</f>
        <v>451059.40000000037</v>
      </c>
      <c r="S46" s="191">
        <f ca="1">'Balance Sheet'!T37+'Balance Sheet'!T39</f>
        <v>451059.40000000037</v>
      </c>
      <c r="T46" s="191">
        <f ca="1">'Balance Sheet'!U37+'Balance Sheet'!U39</f>
        <v>451059.40000000037</v>
      </c>
      <c r="U46" s="191">
        <f ca="1">'Balance Sheet'!V37+'Balance Sheet'!V39</f>
        <v>451059.40000000037</v>
      </c>
      <c r="V46" s="191">
        <f ca="1">'Balance Sheet'!W37+'Balance Sheet'!W39</f>
        <v>451059.40000000037</v>
      </c>
      <c r="W46" s="191">
        <f ca="1">'Balance Sheet'!X37+'Balance Sheet'!X39</f>
        <v>451059.40000000037</v>
      </c>
      <c r="X46" s="191">
        <f ca="1">'Balance Sheet'!Y37+'Balance Sheet'!Y39</f>
        <v>451059.40000000037</v>
      </c>
      <c r="Y46" s="191">
        <f ca="1">'Balance Sheet'!Z37+'Balance Sheet'!Z39</f>
        <v>451059.40000000014</v>
      </c>
      <c r="Z46" s="191">
        <f ca="1">'Balance Sheet'!AA37+'Balance Sheet'!AA39</f>
        <v>451059.40000000014</v>
      </c>
      <c r="AA46" s="191">
        <f ca="1">'Balance Sheet'!AB37+'Balance Sheet'!AB39</f>
        <v>451059.40000000014</v>
      </c>
      <c r="AB46" s="191">
        <f ca="1">'Balance Sheet'!AC37+'Balance Sheet'!AC39</f>
        <v>451059.39999999991</v>
      </c>
      <c r="AC46" s="193"/>
      <c r="AX46"/>
      <c r="AY46"/>
      <c r="AZ46"/>
      <c r="BA46"/>
      <c r="BB46"/>
      <c r="BC46"/>
      <c r="BD46"/>
      <c r="BE46"/>
    </row>
    <row r="47" spans="2:57" ht="13.8" thickBot="1">
      <c r="B47" s="411" t="s">
        <v>484</v>
      </c>
      <c r="C47" s="191"/>
      <c r="D47" s="191"/>
      <c r="E47" s="191"/>
      <c r="F47" s="192"/>
      <c r="G47" s="191">
        <f>'Balance Sheet'!H41</f>
        <v>87603</v>
      </c>
      <c r="H47" s="191">
        <f>'Balance Sheet'!I41</f>
        <v>96507</v>
      </c>
      <c r="I47" s="191">
        <f>'Balance Sheet'!J41</f>
        <v>96507</v>
      </c>
      <c r="J47" s="191">
        <f>'Balance Sheet'!K41</f>
        <v>96507</v>
      </c>
      <c r="K47" s="191">
        <f>'Balance Sheet'!L41</f>
        <v>96507</v>
      </c>
      <c r="L47" s="191">
        <f>'Balance Sheet'!M41</f>
        <v>96507</v>
      </c>
      <c r="M47" s="191">
        <f>'Balance Sheet'!N41</f>
        <v>96507</v>
      </c>
      <c r="N47" s="191">
        <f>'Balance Sheet'!O41</f>
        <v>96507</v>
      </c>
      <c r="O47" s="191">
        <f>'Balance Sheet'!P41</f>
        <v>96507</v>
      </c>
      <c r="P47" s="191">
        <f>'Balance Sheet'!Q41</f>
        <v>96507</v>
      </c>
      <c r="Q47" s="191">
        <f>'Balance Sheet'!R41</f>
        <v>96507</v>
      </c>
      <c r="R47" s="191">
        <f>'Balance Sheet'!S41</f>
        <v>96507</v>
      </c>
      <c r="S47" s="191">
        <f>'Balance Sheet'!T41</f>
        <v>96507</v>
      </c>
      <c r="T47" s="191">
        <f>'Balance Sheet'!U41</f>
        <v>96507</v>
      </c>
      <c r="U47" s="191">
        <f>'Balance Sheet'!V41</f>
        <v>96507</v>
      </c>
      <c r="V47" s="191">
        <f>'Balance Sheet'!W41</f>
        <v>96507</v>
      </c>
      <c r="W47" s="191">
        <f>'Balance Sheet'!X41</f>
        <v>96507</v>
      </c>
      <c r="X47" s="191">
        <f>'Balance Sheet'!Y41</f>
        <v>96507</v>
      </c>
      <c r="Y47" s="191">
        <f>'Balance Sheet'!Z41</f>
        <v>96507</v>
      </c>
      <c r="Z47" s="191">
        <f>'Balance Sheet'!AA41</f>
        <v>96507</v>
      </c>
      <c r="AA47" s="191">
        <f>'Balance Sheet'!AB41</f>
        <v>96507</v>
      </c>
      <c r="AB47" s="191">
        <f>'Balance Sheet'!AC41</f>
        <v>96507</v>
      </c>
      <c r="AC47" s="193"/>
      <c r="AX47"/>
      <c r="AY47"/>
      <c r="AZ47"/>
      <c r="BA47"/>
      <c r="BB47"/>
      <c r="BC47"/>
      <c r="BD47"/>
      <c r="BE47"/>
    </row>
    <row r="48" spans="2:57" ht="13.8" thickBot="1">
      <c r="B48" s="459" t="s">
        <v>81</v>
      </c>
      <c r="C48" s="195"/>
      <c r="D48" s="195"/>
      <c r="E48" s="195"/>
      <c r="F48" s="196"/>
      <c r="G48" s="195">
        <f>'Balance Sheet'!H10</f>
        <v>1414974</v>
      </c>
      <c r="H48" s="195">
        <f>'Balance Sheet'!I10</f>
        <v>1718166</v>
      </c>
      <c r="I48" s="195">
        <f ca="1">'Balance Sheet'!J10</f>
        <v>1778246.0170903997</v>
      </c>
      <c r="J48" s="195">
        <f ca="1">'Balance Sheet'!K10</f>
        <v>1891710.1316445547</v>
      </c>
      <c r="K48" s="195">
        <f ca="1">'Balance Sheet'!L10</f>
        <v>1879429.6287318659</v>
      </c>
      <c r="L48" s="195">
        <f ca="1">'Balance Sheet'!M10</f>
        <v>1865087.113615836</v>
      </c>
      <c r="M48" s="195">
        <f ca="1">'Balance Sheet'!N10</f>
        <v>1905368.7213665785</v>
      </c>
      <c r="N48" s="195">
        <f ca="1">'Balance Sheet'!O10</f>
        <v>1948614.2855434411</v>
      </c>
      <c r="O48" s="195">
        <f ca="1">'Balance Sheet'!P10</f>
        <v>1995698.0109288108</v>
      </c>
      <c r="P48" s="195">
        <f ca="1">'Balance Sheet'!Q10</f>
        <v>2046563.4299893801</v>
      </c>
      <c r="Q48" s="195">
        <f ca="1">'Balance Sheet'!R10</f>
        <v>2101063.1612582835</v>
      </c>
      <c r="R48" s="195">
        <f ca="1">'Balance Sheet'!S10</f>
        <v>2159562.409359579</v>
      </c>
      <c r="S48" s="195">
        <f ca="1">'Balance Sheet'!T10</f>
        <v>2222897.4099510154</v>
      </c>
      <c r="T48" s="195" t="e">
        <f ca="1">'Balance Sheet'!U10</f>
        <v>#VALUE!</v>
      </c>
      <c r="U48" s="195" t="e">
        <f ca="1">'Balance Sheet'!V10</f>
        <v>#VALUE!</v>
      </c>
      <c r="V48" s="195" t="e">
        <f ca="1">'Balance Sheet'!W10</f>
        <v>#VALUE!</v>
      </c>
      <c r="W48" s="195" t="e">
        <f ca="1">'Balance Sheet'!X10</f>
        <v>#VALUE!</v>
      </c>
      <c r="X48" s="195" t="e">
        <f ca="1">'Balance Sheet'!Y10</f>
        <v>#VALUE!</v>
      </c>
      <c r="Y48" s="195" t="e">
        <f ca="1">'Balance Sheet'!Z10</f>
        <v>#VALUE!</v>
      </c>
      <c r="Z48" s="195" t="e">
        <f ca="1">'Balance Sheet'!AA10</f>
        <v>#VALUE!</v>
      </c>
      <c r="AA48" s="195" t="e">
        <f ca="1">'Balance Sheet'!AB10</f>
        <v>#VALUE!</v>
      </c>
      <c r="AB48" s="195" t="e">
        <f ca="1">'Balance Sheet'!AC10</f>
        <v>#VALUE!</v>
      </c>
      <c r="AC48" s="189"/>
      <c r="AX48"/>
      <c r="AY48"/>
      <c r="AZ48"/>
      <c r="BA48"/>
      <c r="BB48"/>
      <c r="BC48"/>
      <c r="BD48"/>
      <c r="BE48"/>
    </row>
    <row r="49" spans="2:37" ht="13.8" thickBot="1">
      <c r="B49" s="182" t="s">
        <v>42</v>
      </c>
      <c r="C49" s="183"/>
      <c r="D49" s="183"/>
      <c r="E49" s="183"/>
      <c r="F49" s="188"/>
      <c r="G49" s="183">
        <f>'Balance Sheet'!H46</f>
        <v>405908</v>
      </c>
      <c r="H49" s="183">
        <f>'Balance Sheet'!I46</f>
        <v>506495</v>
      </c>
      <c r="I49" s="183">
        <f ca="1">'Balance Sheet'!J46</f>
        <v>523744.11944209936</v>
      </c>
      <c r="J49" s="183">
        <f ca="1">'Balance Sheet'!K46</f>
        <v>591551.32927758072</v>
      </c>
      <c r="K49" s="183">
        <f ca="1">'Balance Sheet'!L46</f>
        <v>672637.26980536024</v>
      </c>
      <c r="L49" s="183">
        <f ca="1">'Balance Sheet'!M46</f>
        <v>728781.5063578405</v>
      </c>
      <c r="M49" s="183">
        <f ca="1">'Balance Sheet'!N46</f>
        <v>867606.22507839045</v>
      </c>
      <c r="N49" s="183">
        <f ca="1">'Balance Sheet'!O46</f>
        <v>1011976.4590900769</v>
      </c>
      <c r="O49" s="183">
        <f ca="1">'Balance Sheet'!P46</f>
        <v>1070923.6127994449</v>
      </c>
      <c r="P49" s="183">
        <f ca="1">'Balance Sheet'!Q46</f>
        <v>1070312.8764933869</v>
      </c>
      <c r="Q49" s="183">
        <f ca="1">'Balance Sheet'!R46</f>
        <v>1101464.8391507356</v>
      </c>
      <c r="R49" s="183">
        <f ca="1">'Balance Sheet'!S46</f>
        <v>1097041.346149317</v>
      </c>
      <c r="S49" s="183">
        <f ca="1">'Balance Sheet'!T46</f>
        <v>1096050.1561491275</v>
      </c>
      <c r="T49" s="183" t="e">
        <f ca="1">'Balance Sheet'!U46</f>
        <v>#VALUE!</v>
      </c>
      <c r="U49" s="183" t="e">
        <f ca="1">'Balance Sheet'!V46</f>
        <v>#VALUE!</v>
      </c>
      <c r="V49" s="183" t="e">
        <f ca="1">'Balance Sheet'!W46</f>
        <v>#VALUE!</v>
      </c>
      <c r="W49" s="183" t="e">
        <f ca="1">'Balance Sheet'!X46</f>
        <v>#VALUE!</v>
      </c>
      <c r="X49" s="183" t="e">
        <f ca="1">'Balance Sheet'!Y46</f>
        <v>#VALUE!</v>
      </c>
      <c r="Y49" s="183" t="e">
        <f ca="1">'Balance Sheet'!Z46</f>
        <v>#VALUE!</v>
      </c>
      <c r="Z49" s="183" t="e">
        <f ca="1">'Balance Sheet'!AA46</f>
        <v>#VALUE!</v>
      </c>
      <c r="AA49" s="183" t="e">
        <f ca="1">'Balance Sheet'!AB46</f>
        <v>#VALUE!</v>
      </c>
      <c r="AB49" s="183" t="e">
        <f ca="1">'Balance Sheet'!AC46</f>
        <v>#VALUE!</v>
      </c>
      <c r="AC49" s="189"/>
    </row>
    <row r="50" spans="2:37" ht="13.8" thickBot="1">
      <c r="B50" s="190" t="str">
        <f>'Balance Sheet'!C47</f>
        <v>Débitos de operações de assit. à saúde</v>
      </c>
      <c r="C50" s="191"/>
      <c r="D50" s="191"/>
      <c r="E50" s="191"/>
      <c r="F50" s="192"/>
      <c r="G50" s="191">
        <f>'Balance Sheet'!H47</f>
        <v>4653</v>
      </c>
      <c r="H50" s="191">
        <f>'Balance Sheet'!I47</f>
        <v>4911</v>
      </c>
      <c r="I50" s="191">
        <f>'Balance Sheet'!J47</f>
        <v>5281.3857877711716</v>
      </c>
      <c r="J50" s="191">
        <f>'Balance Sheet'!K47</f>
        <v>5769.1408280373689</v>
      </c>
      <c r="K50" s="191">
        <f>'Balance Sheet'!L47</f>
        <v>6203.5315244273388</v>
      </c>
      <c r="L50" s="191">
        <f>'Balance Sheet'!M47</f>
        <v>6680.8723417756237</v>
      </c>
      <c r="M50" s="191">
        <f>'Balance Sheet'!N47</f>
        <v>7211.2743485534083</v>
      </c>
      <c r="N50" s="191">
        <f>'Balance Sheet'!O47</f>
        <v>7780.7038054305967</v>
      </c>
      <c r="O50" s="191">
        <f>'Balance Sheet'!P47</f>
        <v>8400.6716722919682</v>
      </c>
      <c r="P50" s="191">
        <f>'Balance Sheet'!Q47</f>
        <v>9070.4344213923068</v>
      </c>
      <c r="Q50" s="191">
        <f>'Balance Sheet'!R47</f>
        <v>9788.051429450863</v>
      </c>
      <c r="R50" s="191">
        <f>'Balance Sheet'!S47</f>
        <v>10558.331473383487</v>
      </c>
      <c r="S50" s="191">
        <f>'Balance Sheet'!T47</f>
        <v>11392.285560341463</v>
      </c>
      <c r="T50" s="191">
        <f>'Balance Sheet'!U47</f>
        <v>12380.566332701083</v>
      </c>
      <c r="U50" s="191">
        <f>'Balance Sheet'!V47</f>
        <v>13454.580462062901</v>
      </c>
      <c r="V50" s="191">
        <f>'Balance Sheet'!W47</f>
        <v>14621.765317146856</v>
      </c>
      <c r="W50" s="191">
        <f>'Balance Sheet'!X47</f>
        <v>15890.203458409345</v>
      </c>
      <c r="X50" s="191">
        <f>'Balance Sheet'!Y47</f>
        <v>17268.678608426351</v>
      </c>
      <c r="Y50" s="191">
        <f>'Balance Sheet'!Z47</f>
        <v>18766.736477707338</v>
      </c>
      <c r="Z50" s="191">
        <f>'Balance Sheet'!AA47</f>
        <v>20394.750867148447</v>
      </c>
      <c r="AA50" s="191">
        <f>'Balance Sheet'!AB47</f>
        <v>22163.995504873568</v>
      </c>
      <c r="AB50" s="191">
        <f>'Balance Sheet'!AC47</f>
        <v>22163.995504873568</v>
      </c>
      <c r="AC50" s="189"/>
    </row>
    <row r="51" spans="2:37" ht="13.8" thickBot="1">
      <c r="B51" s="190" t="str">
        <f>'Balance Sheet'!C48</f>
        <v>Débitos de oper. assist. à saúde não rel. c/plano de saúde da op.</v>
      </c>
      <c r="C51" s="191"/>
      <c r="D51" s="191"/>
      <c r="E51" s="191"/>
      <c r="F51" s="192"/>
      <c r="G51" s="191">
        <f>'Balance Sheet'!H48</f>
        <v>29653</v>
      </c>
      <c r="H51" s="191">
        <f>'Balance Sheet'!I48</f>
        <v>39339</v>
      </c>
      <c r="I51" s="191">
        <f>'Balance Sheet'!J48</f>
        <v>42305.932703141945</v>
      </c>
      <c r="J51" s="191">
        <f>'Balance Sheet'!K48</f>
        <v>46213.038288365307</v>
      </c>
      <c r="K51" s="191">
        <f>'Balance Sheet'!L48</f>
        <v>49692.67494185442</v>
      </c>
      <c r="L51" s="191">
        <f>'Balance Sheet'!M48</f>
        <v>53516.358593588113</v>
      </c>
      <c r="M51" s="191">
        <f>'Balance Sheet'!N48</f>
        <v>57765.082793268681</v>
      </c>
      <c r="N51" s="191">
        <f>'Balance Sheet'!O48</f>
        <v>62326.431887972758</v>
      </c>
      <c r="O51" s="191">
        <f>'Balance Sheet'!P48</f>
        <v>67292.613096374203</v>
      </c>
      <c r="P51" s="191">
        <f>'Balance Sheet'!Q48</f>
        <v>72657.670475086925</v>
      </c>
      <c r="Q51" s="191">
        <f>'Balance Sheet'!R48</f>
        <v>78406.058884782615</v>
      </c>
      <c r="R51" s="191">
        <f>'Balance Sheet'!S48</f>
        <v>84576.298479216639</v>
      </c>
      <c r="S51" s="191">
        <f>'Balance Sheet'!T48</f>
        <v>91256.59166326058</v>
      </c>
      <c r="T51" s="191">
        <f>'Balance Sheet'!U48</f>
        <v>99173.100990048435</v>
      </c>
      <c r="U51" s="191">
        <f>'Balance Sheet'!V48</f>
        <v>107776.36750093511</v>
      </c>
      <c r="V51" s="191">
        <f>'Balance Sheet'!W48</f>
        <v>117125.96738164123</v>
      </c>
      <c r="W51" s="191">
        <f>'Balance Sheet'!X48</f>
        <v>127286.6450519986</v>
      </c>
      <c r="X51" s="191">
        <f>'Balance Sheet'!Y48</f>
        <v>138328.76151025944</v>
      </c>
      <c r="Y51" s="191">
        <f>'Balance Sheet'!Z48</f>
        <v>150328.78157127445</v>
      </c>
      <c r="Z51" s="191">
        <f>'Balance Sheet'!AA48</f>
        <v>163369.80337258248</v>
      </c>
      <c r="AA51" s="191">
        <f>'Balance Sheet'!AB48</f>
        <v>177542.133815154</v>
      </c>
      <c r="AB51" s="191">
        <f>'Balance Sheet'!AC48</f>
        <v>177542.133815154</v>
      </c>
      <c r="AC51" s="189"/>
    </row>
    <row r="52" spans="2:37" ht="13.8" thickBot="1">
      <c r="B52" s="190" t="str">
        <f>'Balance Sheet'!C49</f>
        <v>Taxes</v>
      </c>
      <c r="C52" s="191"/>
      <c r="D52" s="191"/>
      <c r="E52" s="191"/>
      <c r="F52" s="192"/>
      <c r="G52" s="191">
        <f>'Balance Sheet'!H49</f>
        <v>25896</v>
      </c>
      <c r="H52" s="191">
        <f>'Balance Sheet'!I49</f>
        <v>32706</v>
      </c>
      <c r="I52" s="191">
        <f>'Balance Sheet'!J49</f>
        <v>35172.674317826088</v>
      </c>
      <c r="J52" s="191">
        <f>'Balance Sheet'!K49</f>
        <v>38420.997744204877</v>
      </c>
      <c r="K52" s="191">
        <f>'Balance Sheet'!L49</f>
        <v>41313.928331891781</v>
      </c>
      <c r="L52" s="191">
        <f>'Balance Sheet'!M49</f>
        <v>44492.895705582065</v>
      </c>
      <c r="M52" s="191">
        <f>'Balance Sheet'!N49</f>
        <v>48025.236987128432</v>
      </c>
      <c r="N52" s="191">
        <f>'Balance Sheet'!O49</f>
        <v>51817.491073185316</v>
      </c>
      <c r="O52" s="191">
        <f>'Balance Sheet'!P49</f>
        <v>55946.318003254142</v>
      </c>
      <c r="P52" s="191">
        <f>'Balance Sheet'!Q49</f>
        <v>60406.766073316379</v>
      </c>
      <c r="Q52" s="191">
        <f>'Balance Sheet'!R49</f>
        <v>65185.911230221922</v>
      </c>
      <c r="R52" s="191">
        <f>'Balance Sheet'!S49</f>
        <v>70315.778694457404</v>
      </c>
      <c r="S52" s="191">
        <f>'Balance Sheet'!T49</f>
        <v>75869.698948590478</v>
      </c>
      <c r="T52" s="191">
        <f>'Balance Sheet'!U49</f>
        <v>82451.395332380693</v>
      </c>
      <c r="U52" s="191">
        <f>'Balance Sheet'!V49</f>
        <v>89604.053877464699</v>
      </c>
      <c r="V52" s="191">
        <f>'Balance Sheet'!W49</f>
        <v>89604.053877464699</v>
      </c>
      <c r="W52" s="191">
        <f>'Balance Sheet'!X49</f>
        <v>89604.053877464699</v>
      </c>
      <c r="X52" s="191">
        <f>'Balance Sheet'!Y49</f>
        <v>89604.053877464699</v>
      </c>
      <c r="Y52" s="191">
        <f>'Balance Sheet'!Z49</f>
        <v>89604.053877464699</v>
      </c>
      <c r="Z52" s="191">
        <f>'Balance Sheet'!AA49</f>
        <v>89604.053877464699</v>
      </c>
      <c r="AA52" s="191">
        <f>'Balance Sheet'!AB49</f>
        <v>89604.053877464699</v>
      </c>
      <c r="AB52" s="191">
        <f>'Balance Sheet'!AC49</f>
        <v>89604.053877464699</v>
      </c>
      <c r="AC52" s="189"/>
    </row>
    <row r="53" spans="2:37" ht="13.8" thickBot="1">
      <c r="B53" s="190" t="str">
        <f>'Balance Sheet'!C50</f>
        <v>Bank Short Term</v>
      </c>
      <c r="C53" s="191"/>
      <c r="D53" s="191"/>
      <c r="E53" s="191"/>
      <c r="F53" s="192"/>
      <c r="G53" s="191">
        <f>'Balance Sheet'!H50</f>
        <v>75294</v>
      </c>
      <c r="H53" s="191">
        <f>'Balance Sheet'!I50</f>
        <v>49121</v>
      </c>
      <c r="I53" s="191">
        <f>'Balance Sheet'!J50</f>
        <v>44928</v>
      </c>
      <c r="J53" s="191">
        <f ca="1">'Balance Sheet'!K50</f>
        <v>84248.824571428573</v>
      </c>
      <c r="K53" s="191">
        <f ca="1">'Balance Sheet'!L50</f>
        <v>137426.10946938774</v>
      </c>
      <c r="L53" s="191">
        <f ca="1">'Balance Sheet'!M50</f>
        <v>120481.62554324587</v>
      </c>
      <c r="M53" s="191">
        <f ca="1">'Balance Sheet'!N50</f>
        <v>124575.8343895599</v>
      </c>
      <c r="N53" s="191">
        <f ca="1">'Balance Sheet'!O50</f>
        <v>126614.7322139188</v>
      </c>
      <c r="O53" s="191">
        <f ca="1">'Balance Sheet'!P50</f>
        <v>38897.912843118087</v>
      </c>
      <c r="P53" s="191">
        <f ca="1">'Balance Sheet'!Q50</f>
        <v>44454.757534992103</v>
      </c>
      <c r="Q53" s="191">
        <f ca="1">'Balance Sheet'!R50</f>
        <v>48819.722897133826</v>
      </c>
      <c r="R53" s="191">
        <f ca="1">'Balance Sheet'!S50</f>
        <v>52267.344127336626</v>
      </c>
      <c r="S53" s="191">
        <f ca="1">'Balance Sheet'!T50</f>
        <v>55303.584833574227</v>
      </c>
      <c r="T53" s="191">
        <f ca="1">'Balance Sheet'!U50</f>
        <v>57740.548106342205</v>
      </c>
      <c r="U53" s="191">
        <f ca="1">'Balance Sheet'!V50</f>
        <v>57537.244868603637</v>
      </c>
      <c r="V53" s="191">
        <f ca="1">'Balance Sheet'!W50</f>
        <v>57718.952173014382</v>
      </c>
      <c r="W53" s="191">
        <f ca="1">'Balance Sheet'!X50</f>
        <v>57607.012077285275</v>
      </c>
      <c r="X53" s="191">
        <f ca="1">'Balance Sheet'!Y50</f>
        <v>56685.245583327167</v>
      </c>
      <c r="Y53" s="191">
        <f ca="1">'Balance Sheet'!Z50</f>
        <v>56408.561681354789</v>
      </c>
      <c r="Z53" s="191">
        <f ca="1">'Balance Sheet'!AA50</f>
        <v>57000.164189071656</v>
      </c>
      <c r="AA53" s="191">
        <f ca="1">'Balance Sheet'!AB50</f>
        <v>57242.532668428437</v>
      </c>
      <c r="AB53" s="191">
        <f ca="1">'Balance Sheet'!AC50</f>
        <v>57171.387605869342</v>
      </c>
      <c r="AC53" s="189"/>
      <c r="AE53" s="394"/>
      <c r="AF53" s="394"/>
      <c r="AG53" s="394"/>
      <c r="AH53" s="394"/>
      <c r="AI53" s="394"/>
      <c r="AJ53" s="394"/>
      <c r="AK53" s="394"/>
    </row>
    <row r="54" spans="2:37" ht="13.8" thickBot="1">
      <c r="B54" s="190" t="str">
        <f>'Balance Sheet'!C51</f>
        <v>Tributos e contribuições a recolher - parcelamento</v>
      </c>
      <c r="C54" s="191"/>
      <c r="D54" s="191"/>
      <c r="E54" s="191"/>
      <c r="F54" s="192"/>
      <c r="G54" s="191">
        <f>'Balance Sheet'!H51</f>
        <v>6767</v>
      </c>
      <c r="H54" s="191">
        <f>'Balance Sheet'!I51</f>
        <v>24196</v>
      </c>
      <c r="I54" s="191">
        <f>'Balance Sheet'!J51</f>
        <v>23402</v>
      </c>
      <c r="J54" s="191">
        <f>'Balance Sheet'!K51</f>
        <v>22606</v>
      </c>
      <c r="K54" s="191">
        <f>'Balance Sheet'!L51</f>
        <v>24436</v>
      </c>
      <c r="L54" s="191">
        <f>'Balance Sheet'!M51</f>
        <v>16987</v>
      </c>
      <c r="M54" s="191">
        <f>'Balance Sheet'!N51</f>
        <v>16987</v>
      </c>
      <c r="N54" s="191">
        <f>'Balance Sheet'!O51</f>
        <v>16987</v>
      </c>
      <c r="O54" s="191">
        <f>'Balance Sheet'!P51</f>
        <v>16987</v>
      </c>
      <c r="P54" s="191">
        <f>'Balance Sheet'!Q51</f>
        <v>16987</v>
      </c>
      <c r="Q54" s="191">
        <f>'Balance Sheet'!R51</f>
        <v>16987</v>
      </c>
      <c r="R54" s="191">
        <f>'Balance Sheet'!S51</f>
        <v>0</v>
      </c>
      <c r="S54" s="191">
        <f>'Balance Sheet'!T51</f>
        <v>0</v>
      </c>
      <c r="T54" s="191">
        <f>'Balance Sheet'!U51</f>
        <v>0</v>
      </c>
      <c r="U54" s="191">
        <f>'Balance Sheet'!V51</f>
        <v>0</v>
      </c>
      <c r="V54" s="191">
        <f>'Balance Sheet'!W51</f>
        <v>0</v>
      </c>
      <c r="W54" s="191">
        <f>'Balance Sheet'!X51</f>
        <v>0</v>
      </c>
      <c r="X54" s="191">
        <f>'Balance Sheet'!Y51</f>
        <v>0</v>
      </c>
      <c r="Y54" s="191">
        <f>'Balance Sheet'!Z51</f>
        <v>0</v>
      </c>
      <c r="Z54" s="191">
        <f>'Balance Sheet'!AA51</f>
        <v>0</v>
      </c>
      <c r="AA54" s="191">
        <f>'Balance Sheet'!AB51</f>
        <v>0</v>
      </c>
      <c r="AB54" s="191">
        <f>'Balance Sheet'!AC51</f>
        <v>0</v>
      </c>
      <c r="AC54" s="189"/>
      <c r="AE54" s="394"/>
      <c r="AF54" s="394"/>
      <c r="AG54" s="394"/>
      <c r="AH54" s="394"/>
      <c r="AI54" s="394"/>
      <c r="AJ54" s="394"/>
      <c r="AK54" s="394"/>
    </row>
    <row r="55" spans="2:37" ht="13.8" thickBot="1">
      <c r="B55" s="190" t="str">
        <f>'Balance Sheet'!C52</f>
        <v>Provisões técnicas de operações de assist. à saúde</v>
      </c>
      <c r="C55" s="191"/>
      <c r="D55" s="191"/>
      <c r="E55" s="191"/>
      <c r="F55" s="192"/>
      <c r="G55" s="191">
        <f>'Balance Sheet'!H52</f>
        <v>171826</v>
      </c>
      <c r="H55" s="191">
        <f>'Balance Sheet'!I52</f>
        <v>217876</v>
      </c>
      <c r="I55" s="191">
        <f>'Balance Sheet'!J52</f>
        <v>234308.12663336014</v>
      </c>
      <c r="J55" s="191">
        <f>'Balance Sheet'!K52</f>
        <v>255947.32784554458</v>
      </c>
      <c r="K55" s="191">
        <f>'Balance Sheet'!L52</f>
        <v>275219.02553779894</v>
      </c>
      <c r="L55" s="191">
        <f>'Balance Sheet'!M52</f>
        <v>296396.20084233466</v>
      </c>
      <c r="M55" s="191">
        <f>'Balance Sheet'!N52</f>
        <v>319927.43025156221</v>
      </c>
      <c r="N55" s="191">
        <f>'Balance Sheet'!O52</f>
        <v>345190.10839177284</v>
      </c>
      <c r="O55" s="191">
        <f>'Balance Sheet'!P52</f>
        <v>372694.91779113916</v>
      </c>
      <c r="P55" s="191">
        <f>'Balance Sheet'!Q52</f>
        <v>402408.87191921601</v>
      </c>
      <c r="Q55" s="191">
        <f>'Balance Sheet'!R52</f>
        <v>434245.87522765948</v>
      </c>
      <c r="R55" s="191">
        <f>'Balance Sheet'!S52</f>
        <v>468419.26860006113</v>
      </c>
      <c r="S55" s="191">
        <f>'Balance Sheet'!T52</f>
        <v>505417.55421400035</v>
      </c>
      <c r="T55" s="191">
        <f>'Balance Sheet'!U52</f>
        <v>549262.52704206482</v>
      </c>
      <c r="U55" s="191">
        <f>'Balance Sheet'!V52</f>
        <v>596911.05126296391</v>
      </c>
      <c r="V55" s="191">
        <f>'Balance Sheet'!W52</f>
        <v>648693.08496002597</v>
      </c>
      <c r="W55" s="191">
        <f>'Balance Sheet'!X52</f>
        <v>704967.21008030814</v>
      </c>
      <c r="X55" s="191">
        <f>'Balance Sheet'!Y52</f>
        <v>766123.11555477476</v>
      </c>
      <c r="Y55" s="191">
        <f>'Balance Sheet'!Z52</f>
        <v>832584.29582915141</v>
      </c>
      <c r="Z55" s="191">
        <f>'Balance Sheet'!AA52</f>
        <v>904810.98349233018</v>
      </c>
      <c r="AA55" s="191">
        <f>'Balance Sheet'!AB52</f>
        <v>983303.33631028968</v>
      </c>
      <c r="AB55" s="191">
        <f>'Balance Sheet'!AC52</f>
        <v>983303.33631028968</v>
      </c>
      <c r="AC55" s="189"/>
    </row>
    <row r="56" spans="2:37" ht="13.8" thickBot="1">
      <c r="B56" s="190" t="str">
        <f>'Balance Sheet'!C55</f>
        <v>Revolving Leverage</v>
      </c>
      <c r="C56" s="191"/>
      <c r="D56" s="191"/>
      <c r="E56" s="191"/>
      <c r="F56" s="192"/>
      <c r="G56" s="191">
        <f>'Balance Sheet'!H55</f>
        <v>0</v>
      </c>
      <c r="H56" s="191">
        <f>'Balance Sheet'!I55</f>
        <v>0</v>
      </c>
      <c r="I56" s="191">
        <f ca="1">'Balance Sheet'!J55</f>
        <v>0</v>
      </c>
      <c r="J56" s="191">
        <f ca="1">'Balance Sheet'!K55</f>
        <v>0</v>
      </c>
      <c r="K56" s="191">
        <f ca="1">'Balance Sheet'!L55</f>
        <v>0</v>
      </c>
      <c r="L56" s="191">
        <f ca="1">'Balance Sheet'!M55</f>
        <v>51880.55333131412</v>
      </c>
      <c r="M56" s="191">
        <f ca="1">'Balance Sheet'!N55</f>
        <v>154768.36630831781</v>
      </c>
      <c r="N56" s="191">
        <f ca="1">'Balance Sheet'!O55</f>
        <v>262913.99171779654</v>
      </c>
      <c r="O56" s="191">
        <f ca="1">'Balance Sheet'!P55</f>
        <v>372358.17939326738</v>
      </c>
      <c r="P56" s="191">
        <f t="shared" ref="P56:AB56" ca="1" si="45">P49-SUM(P50:P55)</f>
        <v>464327.37606938323</v>
      </c>
      <c r="Q56" s="191">
        <f t="shared" ca="1" si="45"/>
        <v>448032.21948148694</v>
      </c>
      <c r="R56" s="191">
        <f t="shared" ca="1" si="45"/>
        <v>410904.32477486169</v>
      </c>
      <c r="S56" s="191">
        <f t="shared" ca="1" si="45"/>
        <v>356810.44092936045</v>
      </c>
      <c r="T56" s="191" t="e">
        <f t="shared" ca="1" si="45"/>
        <v>#VALUE!</v>
      </c>
      <c r="U56" s="191" t="e">
        <f t="shared" ca="1" si="45"/>
        <v>#VALUE!</v>
      </c>
      <c r="V56" s="191" t="e">
        <f t="shared" ca="1" si="45"/>
        <v>#VALUE!</v>
      </c>
      <c r="W56" s="191" t="e">
        <f t="shared" ca="1" si="45"/>
        <v>#VALUE!</v>
      </c>
      <c r="X56" s="191" t="e">
        <f t="shared" ca="1" si="45"/>
        <v>#VALUE!</v>
      </c>
      <c r="Y56" s="191" t="e">
        <f t="shared" ca="1" si="45"/>
        <v>#VALUE!</v>
      </c>
      <c r="Z56" s="191" t="e">
        <f t="shared" ca="1" si="45"/>
        <v>#VALUE!</v>
      </c>
      <c r="AA56" s="191" t="e">
        <f t="shared" ca="1" si="45"/>
        <v>#VALUE!</v>
      </c>
      <c r="AB56" s="191" t="e">
        <f t="shared" ca="1" si="45"/>
        <v>#VALUE!</v>
      </c>
      <c r="AC56" s="189"/>
    </row>
    <row r="57" spans="2:37" ht="13.8" thickBot="1">
      <c r="B57" s="411" t="str">
        <f>'Balance Sheet'!C56</f>
        <v>Other Non-Op. Cur. Liabilities</v>
      </c>
      <c r="C57" s="191"/>
      <c r="D57" s="191"/>
      <c r="E57" s="191"/>
      <c r="F57" s="192"/>
      <c r="G57" s="191">
        <f>'Balance Sheet'!H56</f>
        <v>91819</v>
      </c>
      <c r="H57" s="191">
        <f>'Balance Sheet'!I56</f>
        <v>138346</v>
      </c>
      <c r="I57" s="191">
        <f>'Balance Sheet'!J56</f>
        <v>138346</v>
      </c>
      <c r="J57" s="191">
        <f>'Balance Sheet'!K56</f>
        <v>138346</v>
      </c>
      <c r="K57" s="191">
        <f>'Balance Sheet'!L56</f>
        <v>138346</v>
      </c>
      <c r="L57" s="191">
        <f>'Balance Sheet'!M56</f>
        <v>138346</v>
      </c>
      <c r="M57" s="191">
        <f>'Balance Sheet'!N56</f>
        <v>138346</v>
      </c>
      <c r="N57" s="191">
        <f>'Balance Sheet'!O56</f>
        <v>138346</v>
      </c>
      <c r="O57" s="191">
        <f>'Balance Sheet'!P56</f>
        <v>138346</v>
      </c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89"/>
    </row>
    <row r="58" spans="2:37" ht="13.8" thickBot="1">
      <c r="B58" s="182" t="s">
        <v>44</v>
      </c>
      <c r="C58" s="183"/>
      <c r="D58" s="183"/>
      <c r="E58" s="183"/>
      <c r="F58" s="188"/>
      <c r="G58" s="183">
        <f>'Balance Sheet'!H63</f>
        <v>845134</v>
      </c>
      <c r="H58" s="183">
        <f>'Balance Sheet'!I63</f>
        <v>1004560</v>
      </c>
      <c r="I58" s="183">
        <f>'Balance Sheet'!J63</f>
        <v>1027420</v>
      </c>
      <c r="J58" s="183">
        <f ca="1">'Balance Sheet'!K63</f>
        <v>1049688.3859999999</v>
      </c>
      <c r="K58" s="183">
        <f ca="1">'Balance Sheet'!L63</f>
        <v>916299.05857142853</v>
      </c>
      <c r="L58" s="183">
        <f ca="1">'Balance Sheet'!M63</f>
        <v>811370.75536054419</v>
      </c>
      <c r="M58" s="183">
        <f ca="1">'Balance Sheet'!N63</f>
        <v>706996.86077939742</v>
      </c>
      <c r="N58" s="183">
        <f ca="1">'Balance Sheet'!O63</f>
        <v>605896.77406080801</v>
      </c>
      <c r="O58" s="183">
        <f ca="1">'Balance Sheet'!P63</f>
        <v>598585.17035520915</v>
      </c>
      <c r="P58" s="183">
        <f ca="1">'Balance Sheet'!Q63</f>
        <v>592655.76612023904</v>
      </c>
      <c r="Q58" s="183">
        <f ca="1">'Balance Sheet'!R63</f>
        <v>581356.01842313027</v>
      </c>
      <c r="R58" s="183">
        <f ca="1">'Balance Sheet'!S63</f>
        <v>567461.26248357748</v>
      </c>
      <c r="S58" s="183">
        <f ca="1">'Balance Sheet'!T63</f>
        <v>554371.23814449669</v>
      </c>
      <c r="T58" s="183">
        <f ca="1">'Balance Sheet'!U63</f>
        <v>559639.85598438105</v>
      </c>
      <c r="U58" s="183">
        <f ca="1">'Balance Sheet'!V63</f>
        <v>556197.41079597734</v>
      </c>
      <c r="V58" s="183">
        <f ca="1">'Balance Sheet'!W63</f>
        <v>554229.42318671581</v>
      </c>
      <c r="W58" s="183">
        <f ca="1">'Balance Sheet'!X63</f>
        <v>553398.75501978828</v>
      </c>
      <c r="X58" s="183">
        <f ca="1">'Balance Sheet'!Y63</f>
        <v>547341.87743428198</v>
      </c>
      <c r="Y58" s="183">
        <f ca="1">'Balance Sheet'!Z63</f>
        <v>529137.91925581894</v>
      </c>
      <c r="Z58" s="183">
        <f ca="1">'Balance Sheet'!AA63</f>
        <v>497731.12991417048</v>
      </c>
      <c r="AA58" s="183">
        <f ca="1">'Balance Sheet'!AB63</f>
        <v>497839.50401199446</v>
      </c>
      <c r="AB58" s="183">
        <f ca="1">'Balance Sheet'!AC63</f>
        <v>494934</v>
      </c>
    </row>
    <row r="59" spans="2:37" ht="13.8" thickBot="1">
      <c r="B59" s="190" t="str">
        <f>'Balance Sheet'!C64</f>
        <v>LT Bank Debt</v>
      </c>
      <c r="C59" s="191"/>
      <c r="D59" s="191"/>
      <c r="E59" s="191"/>
      <c r="F59" s="192"/>
      <c r="G59" s="191">
        <f>'Balance Sheet'!H64</f>
        <v>135784</v>
      </c>
      <c r="H59" s="191">
        <f>'Balance Sheet'!I64</f>
        <v>344986</v>
      </c>
      <c r="I59" s="191">
        <f>'Balance Sheet'!J64</f>
        <v>391248</v>
      </c>
      <c r="J59" s="191">
        <f ca="1">'Balance Sheet'!K64</f>
        <v>436122.386</v>
      </c>
      <c r="K59" s="191">
        <f ca="1">'Balance Sheet'!L64</f>
        <v>327169.05857142853</v>
      </c>
      <c r="L59" s="191">
        <f ca="1">'Balance Sheet'!M64</f>
        <v>239227.75536054422</v>
      </c>
      <c r="M59" s="191">
        <f ca="1">'Balance Sheet'!N64</f>
        <v>151840.86077939748</v>
      </c>
      <c r="N59" s="191">
        <f ca="1">'Balance Sheet'!O64</f>
        <v>67727.774060807991</v>
      </c>
      <c r="O59" s="191">
        <f ca="1">'Balance Sheet'!P64</f>
        <v>77403.170355209135</v>
      </c>
      <c r="P59" s="191">
        <f ca="1">'Balance Sheet'!Q64</f>
        <v>88460.766120239001</v>
      </c>
      <c r="Q59" s="191">
        <f ca="1">'Balance Sheet'!R64</f>
        <v>94148.018423130299</v>
      </c>
      <c r="R59" s="191">
        <f ca="1">'Balance Sheet'!S64</f>
        <v>97240.262483577506</v>
      </c>
      <c r="S59" s="191">
        <f ca="1">'Balance Sheet'!T64</f>
        <v>101137.23814449673</v>
      </c>
      <c r="T59" s="191">
        <f ca="1">'Balance Sheet'!U64</f>
        <v>106405.85598438108</v>
      </c>
      <c r="U59" s="191">
        <f ca="1">'Balance Sheet'!V64</f>
        <v>102963.41079597737</v>
      </c>
      <c r="V59" s="191">
        <f ca="1">'Balance Sheet'!W64</f>
        <v>100995.42318671584</v>
      </c>
      <c r="W59" s="191">
        <f ca="1">'Balance Sheet'!X64</f>
        <v>100164.75501978824</v>
      </c>
      <c r="X59" s="191">
        <f ca="1">'Balance Sheet'!Y64</f>
        <v>94107.877434281967</v>
      </c>
      <c r="Y59" s="191">
        <f ca="1">'Balance Sheet'!Z64</f>
        <v>75903.919255818881</v>
      </c>
      <c r="Z59" s="191">
        <f ca="1">'Balance Sheet'!AA64</f>
        <v>44497.129914170488</v>
      </c>
      <c r="AA59" s="191">
        <f ca="1">'Balance Sheet'!AB64</f>
        <v>44605.504011994431</v>
      </c>
      <c r="AB59" s="191">
        <f ca="1">'Balance Sheet'!AC64</f>
        <v>41700</v>
      </c>
      <c r="AC59" s="193"/>
    </row>
    <row r="60" spans="2:37" ht="13.8" thickBot="1">
      <c r="B60" s="190" t="str">
        <f>'Balance Sheet'!C66</f>
        <v>Other Long-Term Liabilities</v>
      </c>
      <c r="C60" s="191"/>
      <c r="D60" s="191"/>
      <c r="E60" s="191"/>
      <c r="F60" s="192"/>
      <c r="G60" s="191">
        <f>'Balance Sheet'!H66</f>
        <v>709350</v>
      </c>
      <c r="H60" s="191">
        <f>'Balance Sheet'!I66</f>
        <v>659574</v>
      </c>
      <c r="I60" s="191">
        <f>'Balance Sheet'!J66</f>
        <v>636172</v>
      </c>
      <c r="J60" s="191">
        <f>'Balance Sheet'!K66</f>
        <v>613566</v>
      </c>
      <c r="K60" s="191">
        <f>'Balance Sheet'!L66</f>
        <v>589130</v>
      </c>
      <c r="L60" s="191">
        <f>'Balance Sheet'!M66</f>
        <v>572143</v>
      </c>
      <c r="M60" s="191">
        <f>'Balance Sheet'!N66</f>
        <v>555156</v>
      </c>
      <c r="N60" s="191">
        <f>'Balance Sheet'!O66</f>
        <v>538169</v>
      </c>
      <c r="O60" s="191">
        <f>'Balance Sheet'!P66</f>
        <v>521182</v>
      </c>
      <c r="P60" s="191">
        <f>'Balance Sheet'!Q66</f>
        <v>504195</v>
      </c>
      <c r="Q60" s="191">
        <f>'Balance Sheet'!R66</f>
        <v>487208</v>
      </c>
      <c r="R60" s="191">
        <f>'Balance Sheet'!S66</f>
        <v>470221</v>
      </c>
      <c r="S60" s="191">
        <f>'Balance Sheet'!T66</f>
        <v>453234</v>
      </c>
      <c r="T60" s="191">
        <f>'Balance Sheet'!U66</f>
        <v>453234</v>
      </c>
      <c r="U60" s="191">
        <f>'Balance Sheet'!V66</f>
        <v>453234</v>
      </c>
      <c r="V60" s="191">
        <f>'Balance Sheet'!W66</f>
        <v>453234</v>
      </c>
      <c r="W60" s="191">
        <f>'Balance Sheet'!X66</f>
        <v>453234</v>
      </c>
      <c r="X60" s="191">
        <f>'Balance Sheet'!Y66</f>
        <v>453234</v>
      </c>
      <c r="Y60" s="191">
        <f>'Balance Sheet'!Z66</f>
        <v>453234</v>
      </c>
      <c r="Z60" s="191">
        <f>'Balance Sheet'!AA66</f>
        <v>453234</v>
      </c>
      <c r="AA60" s="191">
        <f>'Balance Sheet'!AB66</f>
        <v>453234</v>
      </c>
      <c r="AB60" s="191">
        <f>'Balance Sheet'!AC66</f>
        <v>453234</v>
      </c>
      <c r="AC60" s="193"/>
    </row>
    <row r="61" spans="2:37" ht="13.8" hidden="1" thickBot="1">
      <c r="B61" s="190"/>
      <c r="C61" s="191"/>
      <c r="D61" s="191"/>
      <c r="E61" s="191"/>
      <c r="F61" s="192"/>
      <c r="G61" s="191"/>
      <c r="H61" s="191"/>
      <c r="I61" s="191"/>
      <c r="J61" s="191"/>
      <c r="K61" s="191"/>
      <c r="L61" s="191"/>
      <c r="M61" s="191"/>
      <c r="N61" s="191"/>
      <c r="O61" s="191"/>
      <c r="P61" s="191">
        <f>'Balance Sheet'!Q73</f>
        <v>0</v>
      </c>
      <c r="Q61" s="191">
        <f>'Balance Sheet'!R73</f>
        <v>0</v>
      </c>
      <c r="R61" s="191">
        <f>'Balance Sheet'!S73</f>
        <v>0</v>
      </c>
      <c r="S61" s="191">
        <f>'Balance Sheet'!T73</f>
        <v>0</v>
      </c>
      <c r="T61" s="191">
        <f>'Balance Sheet'!U73</f>
        <v>0</v>
      </c>
      <c r="U61" s="191">
        <f>'Balance Sheet'!V73</f>
        <v>0</v>
      </c>
      <c r="V61" s="191">
        <f>'Balance Sheet'!W73</f>
        <v>0</v>
      </c>
      <c r="W61" s="191">
        <f>'Balance Sheet'!X73</f>
        <v>0</v>
      </c>
      <c r="X61" s="191">
        <f>'Balance Sheet'!Y73</f>
        <v>0</v>
      </c>
      <c r="Y61" s="191">
        <f>'Balance Sheet'!Z73</f>
        <v>0</v>
      </c>
      <c r="Z61" s="191">
        <f>'Balance Sheet'!AA73</f>
        <v>0</v>
      </c>
      <c r="AA61" s="191">
        <f>'Balance Sheet'!AB73</f>
        <v>0</v>
      </c>
      <c r="AB61" s="191">
        <f>'Balance Sheet'!AC73</f>
        <v>0</v>
      </c>
      <c r="AC61" s="193"/>
    </row>
    <row r="62" spans="2:37" ht="13.8" thickBot="1">
      <c r="B62" s="182" t="s">
        <v>49</v>
      </c>
      <c r="C62" s="183"/>
      <c r="D62" s="183"/>
      <c r="E62" s="183"/>
      <c r="F62" s="188"/>
      <c r="G62" s="183">
        <f>'Balance Sheet'!H77</f>
        <v>163932</v>
      </c>
      <c r="H62" s="183">
        <f>'Balance Sheet'!I77</f>
        <v>207111</v>
      </c>
      <c r="I62" s="183">
        <f ca="1">'Balance Sheet'!J77</f>
        <v>227081.89764830025</v>
      </c>
      <c r="J62" s="183">
        <f ca="1">'Balance Sheet'!K77</f>
        <v>250470.41636697404</v>
      </c>
      <c r="K62" s="183">
        <f ca="1">'Balance Sheet'!L77</f>
        <v>290493.3003550772</v>
      </c>
      <c r="L62" s="183">
        <f ca="1">'Balance Sheet'!M77</f>
        <v>324934.85189745127</v>
      </c>
      <c r="M62" s="183">
        <f ca="1">'Balance Sheet'!N77</f>
        <v>330765.6355087905</v>
      </c>
      <c r="N62" s="183">
        <f ca="1">'Balance Sheet'!O77</f>
        <v>330741.05239255604</v>
      </c>
      <c r="O62" s="183">
        <f ca="1">'Balance Sheet'!P77</f>
        <v>326189.22777415678</v>
      </c>
      <c r="P62" s="183">
        <f ca="1">'Balance Sheet'!Q77+P61</f>
        <v>383594.78737575386</v>
      </c>
      <c r="Q62" s="183">
        <f ca="1">'Balance Sheet'!R77+Q61</f>
        <v>418242.30368441704</v>
      </c>
      <c r="R62" s="183">
        <f ca="1">'Balance Sheet'!S77+R61</f>
        <v>478072.80072668428</v>
      </c>
      <c r="S62" s="183">
        <f ca="1">'Balance Sheet'!T77+S61</f>
        <v>538502.01565739047</v>
      </c>
      <c r="T62" s="183" t="e">
        <f ca="1">'Balance Sheet'!U77+T61</f>
        <v>#VALUE!</v>
      </c>
      <c r="U62" s="183" t="e">
        <f ca="1">'Balance Sheet'!V77+U61</f>
        <v>#VALUE!</v>
      </c>
      <c r="V62" s="183" t="e">
        <f ca="1">'Balance Sheet'!W77+V61</f>
        <v>#VALUE!</v>
      </c>
      <c r="W62" s="183" t="e">
        <f ca="1">'Balance Sheet'!X77+W61</f>
        <v>#VALUE!</v>
      </c>
      <c r="X62" s="183" t="e">
        <f ca="1">'Balance Sheet'!Y77+X61</f>
        <v>#VALUE!</v>
      </c>
      <c r="Y62" s="183" t="e">
        <f ca="1">'Balance Sheet'!Z77+Y61</f>
        <v>#VALUE!</v>
      </c>
      <c r="Z62" s="183" t="e">
        <f ca="1">'Balance Sheet'!AA77+Z61</f>
        <v>#VALUE!</v>
      </c>
      <c r="AA62" s="183" t="e">
        <f ca="1">'Balance Sheet'!AB77+AA61</f>
        <v>#VALUE!</v>
      </c>
      <c r="AB62" s="183" t="e">
        <f ca="1">'Balance Sheet'!AC77+AB61</f>
        <v>#VALUE!</v>
      </c>
    </row>
    <row r="63" spans="2:37" ht="13.8" thickBot="1">
      <c r="B63" s="190" t="str">
        <f>'Balance Sheet'!C78</f>
        <v>Capital</v>
      </c>
      <c r="C63" s="191"/>
      <c r="D63" s="191"/>
      <c r="E63" s="191"/>
      <c r="F63" s="192"/>
      <c r="G63" s="191">
        <f>'Balance Sheet'!H78</f>
        <v>100818</v>
      </c>
      <c r="H63" s="191">
        <f>'Balance Sheet'!I78</f>
        <v>108963</v>
      </c>
      <c r="I63" s="191">
        <f>'Balance Sheet'!J78</f>
        <v>108963</v>
      </c>
      <c r="J63" s="191">
        <f>'Balance Sheet'!K78</f>
        <v>108963</v>
      </c>
      <c r="K63" s="191">
        <f>'Balance Sheet'!L78</f>
        <v>108963</v>
      </c>
      <c r="L63" s="191">
        <f>'Balance Sheet'!M78</f>
        <v>108963</v>
      </c>
      <c r="M63" s="191">
        <f>'Balance Sheet'!N78</f>
        <v>108963</v>
      </c>
      <c r="N63" s="191">
        <f>'Balance Sheet'!O78</f>
        <v>108963</v>
      </c>
      <c r="O63" s="191">
        <f>'Balance Sheet'!P78</f>
        <v>108963</v>
      </c>
      <c r="P63" s="191">
        <f>'Balance Sheet'!Q78</f>
        <v>108963</v>
      </c>
      <c r="Q63" s="191">
        <f>'Balance Sheet'!R78</f>
        <v>108963</v>
      </c>
      <c r="R63" s="191">
        <f>'Balance Sheet'!S78</f>
        <v>108963</v>
      </c>
      <c r="S63" s="191">
        <f>'Balance Sheet'!T78</f>
        <v>108963</v>
      </c>
      <c r="T63" s="191">
        <f>'Balance Sheet'!U78</f>
        <v>108963</v>
      </c>
      <c r="U63" s="191">
        <f>'Balance Sheet'!V78</f>
        <v>108963</v>
      </c>
      <c r="V63" s="191">
        <f>'Balance Sheet'!W78</f>
        <v>108963</v>
      </c>
      <c r="W63" s="191">
        <f>'Balance Sheet'!X78</f>
        <v>108963</v>
      </c>
      <c r="X63" s="191">
        <f>'Balance Sheet'!Y78</f>
        <v>108963</v>
      </c>
      <c r="Y63" s="191">
        <f>'Balance Sheet'!Z78</f>
        <v>108963</v>
      </c>
      <c r="Z63" s="191">
        <f>'Balance Sheet'!AA78</f>
        <v>108963</v>
      </c>
      <c r="AA63" s="191">
        <f>'Balance Sheet'!AB78</f>
        <v>108963</v>
      </c>
      <c r="AB63" s="191">
        <f>'Balance Sheet'!AC78</f>
        <v>108963</v>
      </c>
    </row>
    <row r="64" spans="2:37" ht="13.8" thickBot="1">
      <c r="B64" s="190" t="str">
        <f>'Balance Sheet'!C79</f>
        <v>Reserves</v>
      </c>
      <c r="C64" s="191"/>
      <c r="D64" s="191"/>
      <c r="E64" s="191"/>
      <c r="F64" s="192"/>
      <c r="G64" s="191">
        <f>'Balance Sheet'!H79</f>
        <v>37118</v>
      </c>
      <c r="H64" s="191">
        <f>'Balance Sheet'!I79</f>
        <v>61606</v>
      </c>
      <c r="I64" s="191">
        <f>'Balance Sheet'!J79</f>
        <v>61606</v>
      </c>
      <c r="J64" s="191">
        <f>'Balance Sheet'!K79</f>
        <v>61606</v>
      </c>
      <c r="K64" s="191">
        <f>'Balance Sheet'!L79</f>
        <v>61606</v>
      </c>
      <c r="L64" s="191">
        <f>'Balance Sheet'!M79</f>
        <v>61606</v>
      </c>
      <c r="M64" s="191">
        <f>'Balance Sheet'!N79</f>
        <v>61606</v>
      </c>
      <c r="N64" s="191">
        <f>'Balance Sheet'!O79</f>
        <v>61606</v>
      </c>
      <c r="O64" s="191">
        <f>'Balance Sheet'!P79</f>
        <v>61606</v>
      </c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</row>
    <row r="65" spans="2:29" ht="13.8" thickBot="1">
      <c r="B65" s="190" t="str">
        <f>'Balance Sheet'!C80</f>
        <v>Retained earnings</v>
      </c>
      <c r="C65" s="191"/>
      <c r="D65" s="191"/>
      <c r="E65" s="191"/>
      <c r="F65" s="192"/>
      <c r="G65" s="191">
        <f>'Balance Sheet'!H80</f>
        <v>25996</v>
      </c>
      <c r="H65" s="191">
        <f>'Balance Sheet'!I80</f>
        <v>36542</v>
      </c>
      <c r="I65" s="191">
        <f ca="1">'Balance Sheet'!J80</f>
        <v>56512.897648300255</v>
      </c>
      <c r="J65" s="191">
        <f ca="1">'Balance Sheet'!K80</f>
        <v>79901.416366974037</v>
      </c>
      <c r="K65" s="191">
        <f ca="1">'Balance Sheet'!L80</f>
        <v>119924.3003550772</v>
      </c>
      <c r="L65" s="191">
        <f ca="1">'Balance Sheet'!M80</f>
        <v>154365.85189745127</v>
      </c>
      <c r="M65" s="191">
        <f ca="1">'Balance Sheet'!N80</f>
        <v>160196.63550879052</v>
      </c>
      <c r="N65" s="191">
        <f ca="1">'Balance Sheet'!O80</f>
        <v>160172.05239255604</v>
      </c>
      <c r="O65" s="191">
        <f ca="1">'Balance Sheet'!P80</f>
        <v>155620.22777415678</v>
      </c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</row>
    <row r="66" spans="2:29" ht="13.8" thickBot="1">
      <c r="B66" s="194" t="s">
        <v>41</v>
      </c>
      <c r="C66" s="195"/>
      <c r="D66" s="195"/>
      <c r="E66" s="195"/>
      <c r="F66" s="196"/>
      <c r="G66" s="195">
        <f t="shared" ref="G66:AB66" si="46">G62+G58+G49</f>
        <v>1414974</v>
      </c>
      <c r="H66" s="195">
        <f t="shared" si="46"/>
        <v>1718166</v>
      </c>
      <c r="I66" s="195">
        <f t="shared" ca="1" si="46"/>
        <v>1778246.0170903997</v>
      </c>
      <c r="J66" s="195">
        <f t="shared" ca="1" si="46"/>
        <v>1891710.1316445549</v>
      </c>
      <c r="K66" s="195">
        <f t="shared" ca="1" si="46"/>
        <v>1879429.6287318659</v>
      </c>
      <c r="L66" s="195">
        <f t="shared" ca="1" si="46"/>
        <v>1865087.113615836</v>
      </c>
      <c r="M66" s="195">
        <f t="shared" ca="1" si="46"/>
        <v>1905368.7213665782</v>
      </c>
      <c r="N66" s="195">
        <f t="shared" ca="1" si="46"/>
        <v>1948614.2855434408</v>
      </c>
      <c r="O66" s="195">
        <f t="shared" ca="1" si="46"/>
        <v>1995698.0109288108</v>
      </c>
      <c r="P66" s="195">
        <f t="shared" ca="1" si="46"/>
        <v>2046563.4299893798</v>
      </c>
      <c r="Q66" s="195">
        <f t="shared" ca="1" si="46"/>
        <v>2101063.1612582831</v>
      </c>
      <c r="R66" s="195">
        <f t="shared" ca="1" si="46"/>
        <v>2142575.409359579</v>
      </c>
      <c r="S66" s="195">
        <f t="shared" ca="1" si="46"/>
        <v>2188923.4099510144</v>
      </c>
      <c r="T66" s="195" t="e">
        <f t="shared" ca="1" si="46"/>
        <v>#VALUE!</v>
      </c>
      <c r="U66" s="195" t="e">
        <f t="shared" ca="1" si="46"/>
        <v>#VALUE!</v>
      </c>
      <c r="V66" s="195" t="e">
        <f t="shared" ca="1" si="46"/>
        <v>#VALUE!</v>
      </c>
      <c r="W66" s="195" t="e">
        <f t="shared" ca="1" si="46"/>
        <v>#VALUE!</v>
      </c>
      <c r="X66" s="195" t="e">
        <f t="shared" ca="1" si="46"/>
        <v>#VALUE!</v>
      </c>
      <c r="Y66" s="195" t="e">
        <f t="shared" ca="1" si="46"/>
        <v>#VALUE!</v>
      </c>
      <c r="Z66" s="195" t="e">
        <f t="shared" ca="1" si="46"/>
        <v>#VALUE!</v>
      </c>
      <c r="AA66" s="195" t="e">
        <f t="shared" ca="1" si="46"/>
        <v>#VALUE!</v>
      </c>
      <c r="AB66" s="195" t="e">
        <f t="shared" ca="1" si="46"/>
        <v>#VALUE!</v>
      </c>
      <c r="AC66" s="189"/>
    </row>
    <row r="67" spans="2:29">
      <c r="C67" s="186"/>
      <c r="D67" s="186"/>
      <c r="E67" s="186"/>
      <c r="F67" s="197"/>
      <c r="G67" s="186">
        <f t="shared" ref="G67:AB67" si="47">G48-G66</f>
        <v>0</v>
      </c>
      <c r="H67" s="197">
        <f t="shared" si="47"/>
        <v>0</v>
      </c>
      <c r="I67" s="186">
        <f t="shared" ca="1" si="47"/>
        <v>0</v>
      </c>
      <c r="J67" s="197">
        <f t="shared" ca="1" si="47"/>
        <v>0</v>
      </c>
      <c r="K67" s="197">
        <f t="shared" ca="1" si="47"/>
        <v>0</v>
      </c>
      <c r="L67" s="197">
        <f t="shared" ca="1" si="47"/>
        <v>0</v>
      </c>
      <c r="M67" s="197">
        <f t="shared" ca="1" si="47"/>
        <v>0</v>
      </c>
      <c r="N67" s="197">
        <f t="shared" ca="1" si="47"/>
        <v>0</v>
      </c>
      <c r="O67" s="197">
        <f t="shared" ca="1" si="47"/>
        <v>0</v>
      </c>
      <c r="P67" s="197">
        <f t="shared" ca="1" si="47"/>
        <v>0</v>
      </c>
      <c r="Q67" s="197">
        <f t="shared" ca="1" si="47"/>
        <v>0</v>
      </c>
      <c r="R67" s="197">
        <f t="shared" ca="1" si="47"/>
        <v>16987</v>
      </c>
      <c r="S67" s="197">
        <f t="shared" ca="1" si="47"/>
        <v>33974.000000000931</v>
      </c>
      <c r="T67" s="197" t="e">
        <f t="shared" ca="1" si="47"/>
        <v>#VALUE!</v>
      </c>
      <c r="U67" s="197" t="e">
        <f t="shared" ca="1" si="47"/>
        <v>#VALUE!</v>
      </c>
      <c r="V67" s="197" t="e">
        <f t="shared" ca="1" si="47"/>
        <v>#VALUE!</v>
      </c>
      <c r="W67" s="197" t="e">
        <f t="shared" ca="1" si="47"/>
        <v>#VALUE!</v>
      </c>
      <c r="X67" s="197" t="e">
        <f t="shared" ca="1" si="47"/>
        <v>#VALUE!</v>
      </c>
      <c r="Y67" s="197" t="e">
        <f t="shared" ca="1" si="47"/>
        <v>#VALUE!</v>
      </c>
      <c r="Z67" s="197" t="e">
        <f t="shared" ca="1" si="47"/>
        <v>#VALUE!</v>
      </c>
      <c r="AA67" s="197" t="e">
        <f t="shared" ca="1" si="47"/>
        <v>#VALUE!</v>
      </c>
      <c r="AB67" s="197" t="e">
        <f t="shared" ca="1" si="47"/>
        <v>#VALUE!</v>
      </c>
    </row>
    <row r="68" spans="2:29">
      <c r="G68" s="417"/>
      <c r="H68" s="417"/>
      <c r="I68" s="417"/>
      <c r="J68" s="417"/>
      <c r="K68" s="417"/>
    </row>
    <row r="69" spans="2:29" ht="16.2" thickBot="1">
      <c r="B69" s="177" t="s">
        <v>9</v>
      </c>
      <c r="H69" s="186"/>
    </row>
    <row r="70" spans="2:29" ht="14.4" thickBot="1">
      <c r="B70" s="396" t="s">
        <v>124</v>
      </c>
      <c r="C70" s="397"/>
      <c r="D70" s="397"/>
      <c r="E70" s="397"/>
      <c r="F70" s="397"/>
      <c r="G70" s="397">
        <f>G30</f>
        <v>2010</v>
      </c>
      <c r="H70" s="397">
        <f t="shared" ref="H70:AB70" si="48">H30</f>
        <v>2011</v>
      </c>
      <c r="I70" s="397">
        <f t="shared" si="48"/>
        <v>2012</v>
      </c>
      <c r="J70" s="397">
        <f t="shared" si="48"/>
        <v>2013</v>
      </c>
      <c r="K70" s="397">
        <f t="shared" si="48"/>
        <v>2014</v>
      </c>
      <c r="L70" s="397">
        <f t="shared" si="48"/>
        <v>2015</v>
      </c>
      <c r="M70" s="397">
        <f t="shared" si="48"/>
        <v>2016</v>
      </c>
      <c r="N70" s="397">
        <f t="shared" si="48"/>
        <v>2017</v>
      </c>
      <c r="O70" s="397">
        <f t="shared" si="48"/>
        <v>2018</v>
      </c>
      <c r="P70" s="397">
        <f t="shared" si="48"/>
        <v>2019</v>
      </c>
      <c r="Q70" s="397">
        <f t="shared" si="48"/>
        <v>2020</v>
      </c>
      <c r="R70" s="397">
        <f t="shared" si="48"/>
        <v>2021</v>
      </c>
      <c r="S70" s="397">
        <f t="shared" si="48"/>
        <v>2022</v>
      </c>
      <c r="T70" s="397">
        <f t="shared" si="48"/>
        <v>2023</v>
      </c>
      <c r="U70" s="397">
        <f t="shared" si="48"/>
        <v>2024</v>
      </c>
      <c r="V70" s="397">
        <f t="shared" si="48"/>
        <v>2025</v>
      </c>
      <c r="W70" s="397">
        <f t="shared" si="48"/>
        <v>2026</v>
      </c>
      <c r="X70" s="397">
        <f t="shared" si="48"/>
        <v>2027</v>
      </c>
      <c r="Y70" s="397">
        <f t="shared" si="48"/>
        <v>2028</v>
      </c>
      <c r="Z70" s="397">
        <f t="shared" si="48"/>
        <v>2029</v>
      </c>
      <c r="AA70" s="397">
        <f t="shared" si="48"/>
        <v>2030</v>
      </c>
      <c r="AB70" s="397">
        <f t="shared" si="48"/>
        <v>2031</v>
      </c>
    </row>
    <row r="71" spans="2:29" ht="13.8" thickBot="1">
      <c r="B71" s="190" t="s">
        <v>119</v>
      </c>
      <c r="C71" s="191"/>
      <c r="D71" s="191"/>
      <c r="E71" s="191"/>
      <c r="F71" s="192"/>
      <c r="G71" s="191">
        <f>'Income Statement'!H10</f>
        <v>2434971</v>
      </c>
      <c r="H71" s="191">
        <f>'Income Statement'!I10</f>
        <v>2853511</v>
      </c>
      <c r="I71" s="191">
        <f>'Income Statement'!J10</f>
        <v>3068721.7350129713</v>
      </c>
      <c r="J71" s="191">
        <f>'Income Statement'!K10</f>
        <v>3352129.263562154</v>
      </c>
      <c r="K71" s="191">
        <f>'Income Statement'!L10</f>
        <v>3604529.7177357315</v>
      </c>
      <c r="L71" s="191">
        <f>'Income Statement'!M10</f>
        <v>3881886.116239564</v>
      </c>
      <c r="M71" s="191">
        <f>'Income Statement'!N10</f>
        <v>4190073.4428049237</v>
      </c>
      <c r="N71" s="191">
        <f>'Income Statement'!O10</f>
        <v>4520937.4662060812</v>
      </c>
      <c r="O71" s="191">
        <f>'Income Statement'!P10</f>
        <v>4881166.569797093</v>
      </c>
      <c r="P71" s="191">
        <f>'Income Statement'!Q10</f>
        <v>5270328.7306498839</v>
      </c>
      <c r="Q71" s="191">
        <f>'Income Statement'!R10</f>
        <v>5687296.3597034728</v>
      </c>
      <c r="R71" s="191">
        <f>'Income Statement'!S10</f>
        <v>6134863.5717666429</v>
      </c>
      <c r="S71" s="191">
        <f>'Income Statement'!T10</f>
        <v>6619428.2552587092</v>
      </c>
      <c r="T71" s="191">
        <f>'Income Statement'!U10</f>
        <v>7193663.6564024016</v>
      </c>
      <c r="U71" s="191">
        <f>'Income Statement'!V10</f>
        <v>7817713.978595309</v>
      </c>
      <c r="V71" s="191">
        <f>'Income Statement'!W10</f>
        <v>8495900.6662384514</v>
      </c>
      <c r="W71" s="191">
        <f>'Income Statement'!X10</f>
        <v>9232920.0490346365</v>
      </c>
      <c r="X71" s="191">
        <f>'Income Statement'!Y10</f>
        <v>10033875.86328839</v>
      </c>
      <c r="Y71" s="191">
        <f>'Income Statement'!Z10</f>
        <v>10904314.594428657</v>
      </c>
      <c r="Z71" s="191">
        <f>'Income Statement'!AA10</f>
        <v>11850263.88549534</v>
      </c>
      <c r="AA71" s="191">
        <f>'Income Statement'!AB10</f>
        <v>12878274.277562059</v>
      </c>
      <c r="AB71" s="191">
        <f>'Income Statement'!AC10</f>
        <v>12878274.277562059</v>
      </c>
      <c r="AC71" s="193"/>
    </row>
    <row r="72" spans="2:29" ht="13.8" thickBot="1">
      <c r="B72" s="190" t="s">
        <v>16</v>
      </c>
      <c r="C72" s="191"/>
      <c r="D72" s="191"/>
      <c r="E72" s="191"/>
      <c r="F72" s="192"/>
      <c r="G72" s="191">
        <f>'Income Statement'!H17</f>
        <v>0</v>
      </c>
      <c r="H72" s="191">
        <f>'Income Statement'!I17</f>
        <v>0</v>
      </c>
      <c r="I72" s="191">
        <f>'Income Statement'!J17</f>
        <v>0</v>
      </c>
      <c r="J72" s="191">
        <f>'Income Statement'!K17</f>
        <v>0</v>
      </c>
      <c r="K72" s="191">
        <f>'Income Statement'!L17</f>
        <v>0</v>
      </c>
      <c r="L72" s="191">
        <f>'Income Statement'!M17</f>
        <v>0</v>
      </c>
      <c r="M72" s="191">
        <f>'Income Statement'!N17</f>
        <v>0</v>
      </c>
      <c r="N72" s="191">
        <f>'Income Statement'!O17</f>
        <v>0</v>
      </c>
      <c r="O72" s="191">
        <f>'Income Statement'!P17</f>
        <v>0</v>
      </c>
      <c r="P72" s="191">
        <f>'Income Statement'!Q17</f>
        <v>0</v>
      </c>
      <c r="Q72" s="191">
        <f>'Income Statement'!R17</f>
        <v>0</v>
      </c>
      <c r="R72" s="191">
        <f>'Income Statement'!S17</f>
        <v>0</v>
      </c>
      <c r="S72" s="191">
        <f>'Income Statement'!T17</f>
        <v>0</v>
      </c>
      <c r="T72" s="191">
        <f>'Income Statement'!U17</f>
        <v>0</v>
      </c>
      <c r="U72" s="191">
        <f>'Income Statement'!V17</f>
        <v>0</v>
      </c>
      <c r="V72" s="191">
        <f>'Income Statement'!W17</f>
        <v>0</v>
      </c>
      <c r="W72" s="191">
        <f>'Income Statement'!X17</f>
        <v>0</v>
      </c>
      <c r="X72" s="191">
        <f>'Income Statement'!Y17</f>
        <v>0</v>
      </c>
      <c r="Y72" s="191">
        <f>'Income Statement'!Z17</f>
        <v>0</v>
      </c>
      <c r="Z72" s="191">
        <f>'Income Statement'!AA17</f>
        <v>0</v>
      </c>
      <c r="AA72" s="191">
        <f>'Income Statement'!AB17</f>
        <v>0</v>
      </c>
      <c r="AB72" s="191">
        <f>'Income Statement'!AC17</f>
        <v>0</v>
      </c>
      <c r="AC72" s="193"/>
    </row>
    <row r="73" spans="2:29" ht="13.8" thickBot="1">
      <c r="B73" s="182" t="s">
        <v>125</v>
      </c>
      <c r="C73" s="183"/>
      <c r="D73" s="183"/>
      <c r="E73" s="183"/>
      <c r="F73" s="188"/>
      <c r="G73" s="183">
        <f>'Income Statement'!H24</f>
        <v>2434971</v>
      </c>
      <c r="H73" s="183">
        <f>'Income Statement'!I24</f>
        <v>2853511</v>
      </c>
      <c r="I73" s="183">
        <f>'Income Statement'!J24</f>
        <v>3068721.7350129713</v>
      </c>
      <c r="J73" s="183">
        <f>'Income Statement'!K24</f>
        <v>3352129.263562154</v>
      </c>
      <c r="K73" s="183">
        <f>'Income Statement'!L24</f>
        <v>3604529.7177357315</v>
      </c>
      <c r="L73" s="183">
        <f>'Income Statement'!M24</f>
        <v>3881886.116239564</v>
      </c>
      <c r="M73" s="183">
        <f>'Income Statement'!N24</f>
        <v>4190073.4428049237</v>
      </c>
      <c r="N73" s="183">
        <f>'Income Statement'!O24</f>
        <v>4520937.4662060812</v>
      </c>
      <c r="O73" s="183">
        <f>'Income Statement'!P24</f>
        <v>4881166.569797093</v>
      </c>
      <c r="P73" s="183">
        <f>'Income Statement'!Q24</f>
        <v>5270328.7306498839</v>
      </c>
      <c r="Q73" s="183">
        <f>'Income Statement'!R24</f>
        <v>5687296.3597034728</v>
      </c>
      <c r="R73" s="183">
        <f>'Income Statement'!S24</f>
        <v>6134863.5717666429</v>
      </c>
      <c r="S73" s="183">
        <f>'Income Statement'!T24</f>
        <v>6619428.2552587092</v>
      </c>
      <c r="T73" s="183">
        <f>'Income Statement'!U24</f>
        <v>7193663.6564024016</v>
      </c>
      <c r="U73" s="183">
        <f>'Income Statement'!V24</f>
        <v>7817713.978595309</v>
      </c>
      <c r="V73" s="183">
        <f>'Income Statement'!W24</f>
        <v>8495900.6662384514</v>
      </c>
      <c r="W73" s="183">
        <f>'Income Statement'!X24</f>
        <v>9232920.0490346365</v>
      </c>
      <c r="X73" s="183">
        <f>'Income Statement'!Y24</f>
        <v>10033875.86328839</v>
      </c>
      <c r="Y73" s="183">
        <f>'Income Statement'!Z24</f>
        <v>10904314.594428657</v>
      </c>
      <c r="Z73" s="183">
        <f>'Income Statement'!AA24</f>
        <v>11850263.88549534</v>
      </c>
      <c r="AA73" s="183">
        <f>'Income Statement'!AB24</f>
        <v>12878274.277562059</v>
      </c>
      <c r="AB73" s="183">
        <f>'Income Statement'!AC24</f>
        <v>12878274.277562059</v>
      </c>
    </row>
    <row r="74" spans="2:29" ht="13.8" thickBot="1">
      <c r="B74" s="190" t="s">
        <v>5</v>
      </c>
      <c r="C74" s="191"/>
      <c r="D74" s="191"/>
      <c r="E74" s="191"/>
      <c r="F74" s="192"/>
      <c r="G74" s="191">
        <f>'Income Statement'!H26</f>
        <v>1897818</v>
      </c>
      <c r="H74" s="191">
        <f>'Income Statement'!I26</f>
        <v>2250776</v>
      </c>
      <c r="I74" s="191">
        <f>'Income Statement'!J26</f>
        <v>2425322.2757875966</v>
      </c>
      <c r="J74" s="191">
        <f>'Income Statement'!K26</f>
        <v>2652824.3857947863</v>
      </c>
      <c r="K74" s="191">
        <f>'Income Statement'!L26</f>
        <v>2825774.9285272355</v>
      </c>
      <c r="L74" s="191">
        <f>'Income Statement'!M26</f>
        <v>3061587.3703190088</v>
      </c>
      <c r="M74" s="191">
        <f>'Income Statement'!N26</f>
        <v>3356477.8982603401</v>
      </c>
      <c r="N74" s="191">
        <f>'Income Statement'!O26</f>
        <v>3628553.8504518666</v>
      </c>
      <c r="O74" s="191">
        <f>'Income Statement'!P26</f>
        <v>3924326.8517051614</v>
      </c>
      <c r="P74" s="191">
        <f>'Income Statement'!Q26</f>
        <v>4140696.6150816083</v>
      </c>
      <c r="Q74" s="191">
        <f>'Income Statement'!R26</f>
        <v>4520362.8807474999</v>
      </c>
      <c r="R74" s="191">
        <f>'Income Statement'!S26</f>
        <v>4848012.9360048929</v>
      </c>
      <c r="S74" s="191">
        <f>'Income Statement'!T26</f>
        <v>5246086.4291975768</v>
      </c>
      <c r="T74" s="191">
        <f>'Income Statement'!U26</f>
        <v>5692951.6282699732</v>
      </c>
      <c r="U74" s="191">
        <f>'Income Statement'!V26</f>
        <v>6191288.6789945373</v>
      </c>
      <c r="V74" s="191">
        <f>'Income Statement'!W26</f>
        <v>6725952.185480074</v>
      </c>
      <c r="W74" s="191">
        <f>'Income Statement'!X26</f>
        <v>7310749.3661399363</v>
      </c>
      <c r="X74" s="191">
        <f>'Income Statement'!Y26</f>
        <v>7944239.1684286408</v>
      </c>
      <c r="Y74" s="191">
        <f>'Income Statement'!Z26</f>
        <v>8633791.8993658796</v>
      </c>
      <c r="Z74" s="191">
        <f>'Income Statement'!AA26</f>
        <v>9382561.4395819176</v>
      </c>
      <c r="AA74" s="191">
        <f>'Income Statement'!AB26</f>
        <v>10196613.789461087</v>
      </c>
      <c r="AB74" s="191">
        <f>'Income Statement'!AC26</f>
        <v>10196556.216963368</v>
      </c>
      <c r="AC74" s="193"/>
    </row>
    <row r="75" spans="2:29" ht="13.8" thickBot="1">
      <c r="B75" s="190" t="s">
        <v>423</v>
      </c>
      <c r="C75" s="191"/>
      <c r="D75" s="191"/>
      <c r="E75" s="191"/>
      <c r="F75" s="192"/>
      <c r="G75" s="439">
        <f>G74/G73</f>
        <v>0.77940065815978921</v>
      </c>
      <c r="H75" s="439">
        <f t="shared" ref="H75:P75" si="49">H74/H73</f>
        <v>0.78877425038838123</v>
      </c>
      <c r="I75" s="439">
        <f t="shared" si="49"/>
        <v>0.79033633063420949</v>
      </c>
      <c r="J75" s="439">
        <f t="shared" si="49"/>
        <v>0.79138487129095714</v>
      </c>
      <c r="K75" s="439">
        <f t="shared" si="49"/>
        <v>0.7839510698506077</v>
      </c>
      <c r="L75" s="439">
        <f t="shared" si="49"/>
        <v>0.78868552003911185</v>
      </c>
      <c r="M75" s="439">
        <f t="shared" si="49"/>
        <v>0.80105466982302886</v>
      </c>
      <c r="N75" s="439">
        <f t="shared" si="49"/>
        <v>0.80261093580153131</v>
      </c>
      <c r="O75" s="439">
        <f t="shared" si="49"/>
        <v>0.8039731477281451</v>
      </c>
      <c r="P75" s="439">
        <f t="shared" si="49"/>
        <v>0.78566192484373154</v>
      </c>
      <c r="Q75" s="439">
        <f t="shared" ref="Q75" si="50">Q74/Q73</f>
        <v>0.79481753628593832</v>
      </c>
      <c r="R75" s="439">
        <f t="shared" ref="R75" si="51">R74/R73</f>
        <v>0.79023973056483499</v>
      </c>
      <c r="S75" s="439">
        <f t="shared" ref="S75" si="52">S74/S73</f>
        <v>0.79252863342538671</v>
      </c>
      <c r="T75" s="439">
        <f t="shared" ref="T75" si="53">T74/T73</f>
        <v>0.79138418199511096</v>
      </c>
      <c r="U75" s="439">
        <f t="shared" ref="U75" si="54">U74/U73</f>
        <v>0.79195640771024878</v>
      </c>
      <c r="V75" s="439">
        <f t="shared" ref="V75" si="55">V74/V73</f>
        <v>0.79167029485267981</v>
      </c>
      <c r="W75" s="439">
        <f t="shared" ref="W75" si="56">W74/W73</f>
        <v>0.79181335128146424</v>
      </c>
      <c r="X75" s="439">
        <f t="shared" ref="X75" si="57">X74/X73</f>
        <v>0.79174182306707208</v>
      </c>
      <c r="Y75" s="439">
        <f t="shared" ref="Y75" si="58">Y74/Y73</f>
        <v>0.79177758717426805</v>
      </c>
      <c r="Z75" s="439">
        <f t="shared" ref="Z75" si="59">Z74/Z73</f>
        <v>0.79175970512067018</v>
      </c>
      <c r="AA75" s="439">
        <f t="shared" ref="AA75" si="60">AA74/AA73</f>
        <v>0.79176864614746911</v>
      </c>
      <c r="AB75" s="439">
        <f t="shared" ref="AB75" si="61">AB74/AB73</f>
        <v>0.79176417563406964</v>
      </c>
      <c r="AC75" s="193"/>
    </row>
    <row r="76" spans="2:29" ht="13.8" thickBot="1">
      <c r="B76" s="182" t="s">
        <v>127</v>
      </c>
      <c r="C76" s="183"/>
      <c r="D76" s="183"/>
      <c r="E76" s="183"/>
      <c r="F76" s="188"/>
      <c r="G76" s="183">
        <f>'Income Statement'!H33</f>
        <v>537153</v>
      </c>
      <c r="H76" s="183">
        <f>'Income Statement'!I33</f>
        <v>602735</v>
      </c>
      <c r="I76" s="183">
        <f>'Income Statement'!J33</f>
        <v>643399.45922537474</v>
      </c>
      <c r="J76" s="183">
        <f>'Income Statement'!K33</f>
        <v>699304.87776736775</v>
      </c>
      <c r="K76" s="183">
        <f>'Income Statement'!L33</f>
        <v>778754.78920849599</v>
      </c>
      <c r="L76" s="183">
        <f>'Income Statement'!M33</f>
        <v>820298.7459205552</v>
      </c>
      <c r="M76" s="183">
        <f>'Income Statement'!N33</f>
        <v>833595.54454458365</v>
      </c>
      <c r="N76" s="183">
        <f>'Income Statement'!O33</f>
        <v>892383.61575421458</v>
      </c>
      <c r="O76" s="183">
        <f>'Income Statement'!P33</f>
        <v>956839.71809193166</v>
      </c>
      <c r="P76" s="183">
        <f>'Income Statement'!Q33</f>
        <v>1129632.1155682756</v>
      </c>
      <c r="Q76" s="183">
        <f>'Income Statement'!R33</f>
        <v>1166933.4789559729</v>
      </c>
      <c r="R76" s="183">
        <f>'Income Statement'!S33</f>
        <v>1286850.6357617499</v>
      </c>
      <c r="S76" s="183">
        <f>'Income Statement'!T33</f>
        <v>1373341.8260611324</v>
      </c>
      <c r="T76" s="183">
        <f>'Income Statement'!U33</f>
        <v>1500712.0281324284</v>
      </c>
      <c r="U76" s="183">
        <f>'Income Statement'!V33</f>
        <v>1626425.2996007716</v>
      </c>
      <c r="V76" s="183">
        <f>'Income Statement'!W33</f>
        <v>1769948.4807583774</v>
      </c>
      <c r="W76" s="183">
        <f>'Income Statement'!X33</f>
        <v>1922170.6828947002</v>
      </c>
      <c r="X76" s="183">
        <f>'Income Statement'!Y33</f>
        <v>2089636.6948597487</v>
      </c>
      <c r="Y76" s="183">
        <f>'Income Statement'!Z33</f>
        <v>2270522.695062777</v>
      </c>
      <c r="Z76" s="183">
        <f>'Income Statement'!AA33</f>
        <v>2467702.4459134229</v>
      </c>
      <c r="AA76" s="183">
        <f>'Income Statement'!AB33</f>
        <v>2681660.488100972</v>
      </c>
      <c r="AB76" s="183">
        <f>'Income Statement'!AC33</f>
        <v>2681718.0605986919</v>
      </c>
    </row>
    <row r="77" spans="2:29" ht="13.8" thickBot="1">
      <c r="B77" s="190" t="s">
        <v>128</v>
      </c>
      <c r="C77" s="191"/>
      <c r="D77" s="191"/>
      <c r="E77" s="191"/>
      <c r="F77" s="192"/>
      <c r="G77" s="439">
        <f>G76/G73</f>
        <v>0.22059934184021082</v>
      </c>
      <c r="H77" s="439">
        <f t="shared" ref="H77:AB77" si="62">H76/H73</f>
        <v>0.2112257496116188</v>
      </c>
      <c r="I77" s="439">
        <f t="shared" si="62"/>
        <v>0.20966366936579056</v>
      </c>
      <c r="J77" s="439">
        <f t="shared" si="62"/>
        <v>0.20861512870904284</v>
      </c>
      <c r="K77" s="439">
        <f t="shared" si="62"/>
        <v>0.21604893014939236</v>
      </c>
      <c r="L77" s="439">
        <f t="shared" si="62"/>
        <v>0.21131447996088812</v>
      </c>
      <c r="M77" s="439">
        <f t="shared" si="62"/>
        <v>0.19894533017697111</v>
      </c>
      <c r="N77" s="439">
        <f t="shared" si="62"/>
        <v>0.19738906419846869</v>
      </c>
      <c r="O77" s="439">
        <f t="shared" si="62"/>
        <v>0.19602685227185493</v>
      </c>
      <c r="P77" s="439">
        <f t="shared" si="62"/>
        <v>0.21433807515626843</v>
      </c>
      <c r="Q77" s="439">
        <f t="shared" si="62"/>
        <v>0.20518246371406168</v>
      </c>
      <c r="R77" s="439">
        <f t="shared" si="62"/>
        <v>0.20976026943516504</v>
      </c>
      <c r="S77" s="439">
        <f t="shared" si="62"/>
        <v>0.20747136657461326</v>
      </c>
      <c r="T77" s="439">
        <f t="shared" si="62"/>
        <v>0.2086158180048891</v>
      </c>
      <c r="U77" s="439">
        <f t="shared" si="62"/>
        <v>0.20804359228975125</v>
      </c>
      <c r="V77" s="439">
        <f t="shared" si="62"/>
        <v>0.20832970514732013</v>
      </c>
      <c r="W77" s="439">
        <f t="shared" si="62"/>
        <v>0.20818664871853579</v>
      </c>
      <c r="X77" s="439">
        <f t="shared" si="62"/>
        <v>0.20825817693292797</v>
      </c>
      <c r="Y77" s="439">
        <f t="shared" si="62"/>
        <v>0.2082224128257319</v>
      </c>
      <c r="Z77" s="439">
        <f t="shared" si="62"/>
        <v>0.20824029487932985</v>
      </c>
      <c r="AA77" s="439">
        <f t="shared" si="62"/>
        <v>0.20823135385253091</v>
      </c>
      <c r="AB77" s="439">
        <f t="shared" si="62"/>
        <v>0.20823582436593038</v>
      </c>
      <c r="AC77" s="193"/>
    </row>
    <row r="78" spans="2:29" ht="13.8" thickBot="1">
      <c r="B78" s="190" t="s">
        <v>4</v>
      </c>
      <c r="C78" s="191"/>
      <c r="D78" s="191"/>
      <c r="E78" s="191"/>
      <c r="F78" s="192"/>
      <c r="G78" s="191">
        <f>'Income Statement'!H35</f>
        <v>492128</v>
      </c>
      <c r="H78" s="191">
        <f>'Income Statement'!I35</f>
        <v>535439</v>
      </c>
      <c r="I78" s="191">
        <f>'Income Statement'!J35</f>
        <v>575821.60961482557</v>
      </c>
      <c r="J78" s="191">
        <f>'Income Statement'!K35</f>
        <v>629000.81364762783</v>
      </c>
      <c r="K78" s="191">
        <f>'Income Statement'!L35</f>
        <v>676361.7829175014</v>
      </c>
      <c r="L78" s="191">
        <f>'Income Statement'!M35</f>
        <v>728405.53976949665</v>
      </c>
      <c r="M78" s="191">
        <f>'Income Statement'!N35</f>
        <v>786234.47890757234</v>
      </c>
      <c r="N78" s="191">
        <f>'Income Statement'!O35</f>
        <v>848318.52267887455</v>
      </c>
      <c r="O78" s="191">
        <f>'Income Statement'!P35</f>
        <v>915912.69385875354</v>
      </c>
      <c r="P78" s="191">
        <f>'Income Statement'!Q35</f>
        <v>988935.92672691413</v>
      </c>
      <c r="Q78" s="191">
        <f>'Income Statement'!R35</f>
        <v>1067176.6380235674</v>
      </c>
      <c r="R78" s="191">
        <f>'Income Statement'!S35</f>
        <v>1151159.121518424</v>
      </c>
      <c r="S78" s="191">
        <f>'Income Statement'!T35</f>
        <v>1242083.8908865142</v>
      </c>
      <c r="T78" s="191">
        <f>'Income Statement'!U35</f>
        <v>1349834.6684209192</v>
      </c>
      <c r="U78" s="191">
        <f>'Income Statement'!V35</f>
        <v>1466932.8259064339</v>
      </c>
      <c r="V78" s="191">
        <f ca="1">'Income Statement'!W35</f>
        <v>1470298.2161899216</v>
      </c>
      <c r="W78" s="191">
        <f ca="1">'Income Statement'!X35</f>
        <v>1606315.5127317323</v>
      </c>
      <c r="X78" s="191">
        <f ca="1">'Income Statement'!Y35</f>
        <v>1756207.3340101712</v>
      </c>
      <c r="Y78" s="191">
        <f ca="1">'Income Statement'!Z35</f>
        <v>1918760.5891966606</v>
      </c>
      <c r="Z78" s="191">
        <f ca="1">'Income Statement'!AA35</f>
        <v>2095642.3722615791</v>
      </c>
      <c r="AA78" s="191">
        <f ca="1">'Income Statement'!AB35</f>
        <v>2289053.3210898777</v>
      </c>
      <c r="AB78" s="191">
        <f ca="1">'Income Statement'!AC35</f>
        <v>2290848.5126937083</v>
      </c>
      <c r="AC78" s="193"/>
    </row>
    <row r="79" spans="2:29" ht="13.8" thickBot="1">
      <c r="B79" s="190" t="s">
        <v>424</v>
      </c>
      <c r="C79" s="191"/>
      <c r="D79" s="191"/>
      <c r="E79" s="191"/>
      <c r="F79" s="192"/>
      <c r="G79" s="439">
        <f>G78/G73</f>
        <v>0.20210836186550066</v>
      </c>
      <c r="H79" s="439">
        <f t="shared" ref="H79:AB79" si="63">H78/H73</f>
        <v>0.18764217134610661</v>
      </c>
      <c r="I79" s="439">
        <f t="shared" si="63"/>
        <v>0.18764217134610661</v>
      </c>
      <c r="J79" s="439">
        <f t="shared" si="63"/>
        <v>0.18764217134610658</v>
      </c>
      <c r="K79" s="439">
        <f t="shared" si="63"/>
        <v>0.18764217134610661</v>
      </c>
      <c r="L79" s="439">
        <f t="shared" si="63"/>
        <v>0.18764217134610661</v>
      </c>
      <c r="M79" s="439">
        <f t="shared" si="63"/>
        <v>0.18764217134610661</v>
      </c>
      <c r="N79" s="439">
        <f t="shared" si="63"/>
        <v>0.18764217134610661</v>
      </c>
      <c r="O79" s="439">
        <f t="shared" si="63"/>
        <v>0.18764217134610661</v>
      </c>
      <c r="P79" s="439">
        <f t="shared" si="63"/>
        <v>0.18764217134610661</v>
      </c>
      <c r="Q79" s="439">
        <f t="shared" si="63"/>
        <v>0.18764217134610661</v>
      </c>
      <c r="R79" s="439">
        <f t="shared" si="63"/>
        <v>0.18764217134610661</v>
      </c>
      <c r="S79" s="439">
        <f t="shared" si="63"/>
        <v>0.18764217134610661</v>
      </c>
      <c r="T79" s="439">
        <f t="shared" si="63"/>
        <v>0.18764217134610661</v>
      </c>
      <c r="U79" s="439">
        <f t="shared" si="63"/>
        <v>0.18764217134610661</v>
      </c>
      <c r="V79" s="439">
        <f t="shared" ca="1" si="63"/>
        <v>0.17305972303003564</v>
      </c>
      <c r="W79" s="439">
        <f t="shared" ca="1" si="63"/>
        <v>0.17397697631960793</v>
      </c>
      <c r="X79" s="439">
        <f t="shared" ca="1" si="63"/>
        <v>0.17502781157934433</v>
      </c>
      <c r="Y79" s="439">
        <f t="shared" ca="1" si="63"/>
        <v>0.17596342920783056</v>
      </c>
      <c r="Z79" s="439">
        <f t="shared" ca="1" si="63"/>
        <v>0.17684351947863661</v>
      </c>
      <c r="AA79" s="439">
        <f t="shared" ca="1" si="63"/>
        <v>0.17774534629054431</v>
      </c>
      <c r="AB79" s="439">
        <f t="shared" ca="1" si="63"/>
        <v>0.17788474319770278</v>
      </c>
      <c r="AC79" s="193"/>
    </row>
    <row r="80" spans="2:29" ht="13.8" thickBot="1">
      <c r="B80" s="182" t="s">
        <v>23</v>
      </c>
      <c r="C80" s="183"/>
      <c r="D80" s="183"/>
      <c r="E80" s="183"/>
      <c r="F80" s="188"/>
      <c r="G80" s="183">
        <f>'Income Statement'!H42</f>
        <v>82461</v>
      </c>
      <c r="H80" s="183">
        <f>'Income Statement'!I42</f>
        <v>115501</v>
      </c>
      <c r="I80" s="183">
        <f ca="1">'Income Statement'!J42</f>
        <v>95584.449610549171</v>
      </c>
      <c r="J80" s="183">
        <f ca="1">'Income Statement'!K42</f>
        <v>118167.80697688277</v>
      </c>
      <c r="K80" s="183">
        <f ca="1">'Income Statement'!L42</f>
        <v>165665.85527058641</v>
      </c>
      <c r="L80" s="183">
        <f ca="1">'Income Statement'!M42</f>
        <v>164205.03355630636</v>
      </c>
      <c r="M80" s="183">
        <f ca="1">'Income Statement'!N42</f>
        <v>130003.15410015167</v>
      </c>
      <c r="N80" s="183">
        <f ca="1">'Income Statement'!O42</f>
        <v>138513.19417607188</v>
      </c>
      <c r="O80" s="183">
        <f ca="1">'Income Statement'!P42</f>
        <v>148867.71120544308</v>
      </c>
      <c r="P80" s="183">
        <f ca="1">'Income Statement'!Q42</f>
        <v>264056.9739525214</v>
      </c>
      <c r="Q80" s="183">
        <f ca="1">'Income Statement'!R42</f>
        <v>220883.45248801695</v>
      </c>
      <c r="R80" s="183">
        <f ca="1">'Income Statement'!S42</f>
        <v>258712.82132728994</v>
      </c>
      <c r="S80" s="183">
        <f ca="1">'Income Statement'!T42</f>
        <v>262814.73627349245</v>
      </c>
      <c r="T80" s="183">
        <f ca="1">'Income Statement'!U42</f>
        <v>290897.72848090157</v>
      </c>
      <c r="U80" s="183">
        <f ca="1">'Income Statement'!V42</f>
        <v>279703.13965033757</v>
      </c>
      <c r="V80" s="183">
        <f ca="1">'Income Statement'!W42</f>
        <v>423541.29693235102</v>
      </c>
      <c r="W80" s="183">
        <f ca="1">'Income Statement'!X42</f>
        <v>442024.82329709601</v>
      </c>
      <c r="X80" s="183">
        <f ca="1">'Income Statement'!Y42</f>
        <v>460000.28084412968</v>
      </c>
      <c r="Y80" s="183">
        <f ca="1">'Income Statement'!Z42</f>
        <v>479110.78420908877</v>
      </c>
      <c r="Z80" s="183">
        <f ca="1">'Income Statement'!AA42</f>
        <v>500026.94788896001</v>
      </c>
      <c r="AA80" s="183">
        <f ca="1">'Income Statement'!AB42</f>
        <v>520061.19455367373</v>
      </c>
      <c r="AB80" s="183">
        <f ca="1">'Income Statement'!AC42</f>
        <v>516528.38384373271</v>
      </c>
    </row>
    <row r="81" spans="2:29" ht="13.8" thickBot="1">
      <c r="B81" s="190" t="s">
        <v>129</v>
      </c>
      <c r="C81" s="191"/>
      <c r="D81" s="191"/>
      <c r="E81" s="191"/>
      <c r="F81" s="192"/>
      <c r="G81" s="439">
        <f t="shared" ref="G81" si="64">G80/G73</f>
        <v>3.3865290387441987E-2</v>
      </c>
      <c r="H81" s="439">
        <f t="shared" ref="H81:AB81" si="65">H80/H73</f>
        <v>4.0476802086972859E-2</v>
      </c>
      <c r="I81" s="439">
        <f t="shared" ca="1" si="65"/>
        <v>3.1147969045210656E-2</v>
      </c>
      <c r="J81" s="439">
        <f t="shared" ca="1" si="65"/>
        <v>3.5251566298881702E-2</v>
      </c>
      <c r="K81" s="439">
        <f t="shared" ca="1" si="65"/>
        <v>4.5960463151529581E-2</v>
      </c>
      <c r="L81" s="439">
        <f t="shared" ca="1" si="65"/>
        <v>4.2300322224644242E-2</v>
      </c>
      <c r="M81" s="439">
        <f t="shared" ca="1" si="65"/>
        <v>3.10264619164109E-2</v>
      </c>
      <c r="N81" s="439">
        <f t="shared" ca="1" si="65"/>
        <v>3.0638157508582078E-2</v>
      </c>
      <c r="O81" s="439">
        <f t="shared" ca="1" si="65"/>
        <v>3.0498387849860122E-2</v>
      </c>
      <c r="P81" s="439">
        <f t="shared" ca="1" si="65"/>
        <v>5.0102562372795395E-2</v>
      </c>
      <c r="Q81" s="439">
        <f t="shared" ca="1" si="65"/>
        <v>3.8838041578605813E-2</v>
      </c>
      <c r="R81" s="439">
        <f t="shared" ca="1" si="65"/>
        <v>4.2170916810263963E-2</v>
      </c>
      <c r="S81" s="439">
        <f t="shared" ca="1" si="65"/>
        <v>3.9703540266442662E-2</v>
      </c>
      <c r="T81" s="439">
        <f t="shared" ca="1" si="65"/>
        <v>4.0438049702532439E-2</v>
      </c>
      <c r="U81" s="439">
        <f t="shared" ca="1" si="65"/>
        <v>3.577812393957585E-2</v>
      </c>
      <c r="V81" s="439">
        <f t="shared" ca="1" si="65"/>
        <v>4.98524304333555E-2</v>
      </c>
      <c r="W81" s="439">
        <f t="shared" ca="1" si="65"/>
        <v>4.787486742542655E-2</v>
      </c>
      <c r="X81" s="439">
        <f t="shared" ca="1" si="65"/>
        <v>4.5844725120345903E-2</v>
      </c>
      <c r="Y81" s="439">
        <f t="shared" ca="1" si="65"/>
        <v>4.3937725756177368E-2</v>
      </c>
      <c r="Z81" s="439">
        <f t="shared" ca="1" si="65"/>
        <v>4.2195427268163228E-2</v>
      </c>
      <c r="AA81" s="439">
        <f t="shared" ca="1" si="65"/>
        <v>4.0382832617548867E-2</v>
      </c>
      <c r="AB81" s="439">
        <f t="shared" ca="1" si="65"/>
        <v>4.0108509316631423E-2</v>
      </c>
      <c r="AC81" s="193"/>
    </row>
    <row r="82" spans="2:29" ht="13.8" thickBot="1">
      <c r="B82" s="190" t="s">
        <v>24</v>
      </c>
      <c r="C82" s="191"/>
      <c r="D82" s="191"/>
      <c r="E82" s="191"/>
      <c r="F82" s="192"/>
      <c r="G82" s="191">
        <f>'Income Statement'!H44</f>
        <v>37436</v>
      </c>
      <c r="H82" s="191">
        <f>'Income Statement'!I44</f>
        <v>48205</v>
      </c>
      <c r="I82" s="191">
        <f ca="1">'Income Statement'!J44</f>
        <v>28006.6</v>
      </c>
      <c r="J82" s="191">
        <f ca="1">'Income Statement'!K44</f>
        <v>47863.742857142854</v>
      </c>
      <c r="K82" s="191">
        <f ca="1">'Income Statement'!L44</f>
        <v>63272.848979591829</v>
      </c>
      <c r="L82" s="191">
        <f ca="1">'Income Statement'!M44</f>
        <v>72311.827405247808</v>
      </c>
      <c r="M82" s="191">
        <f ca="1">'Income Statement'!N44</f>
        <v>82642.088463140361</v>
      </c>
      <c r="N82" s="191">
        <f ca="1">'Income Statement'!O44</f>
        <v>94448.101100731845</v>
      </c>
      <c r="O82" s="191">
        <f ca="1">'Income Statement'!P44</f>
        <v>107940.68697226496</v>
      </c>
      <c r="P82" s="191">
        <f ca="1">'Income Statement'!Q44</f>
        <v>123360.78511115996</v>
      </c>
      <c r="Q82" s="191">
        <f ca="1">'Income Statement'!R44</f>
        <v>121126.61155561139</v>
      </c>
      <c r="R82" s="191">
        <f ca="1">'Income Statement'!S44</f>
        <v>123021.30708396403</v>
      </c>
      <c r="S82" s="191">
        <f ca="1">'Income Statement'!T44</f>
        <v>131556.80109887433</v>
      </c>
      <c r="T82" s="191">
        <f ca="1">'Income Statement'!U44</f>
        <v>140020.3687693924</v>
      </c>
      <c r="U82" s="191">
        <f ca="1">'Income Statement'!V44</f>
        <v>120210.66595599982</v>
      </c>
      <c r="V82" s="191">
        <f ca="1">'Income Statement'!W44</f>
        <v>123891.03236389525</v>
      </c>
      <c r="W82" s="191">
        <f ca="1">'Income Statement'!X44</f>
        <v>126169.65313412815</v>
      </c>
      <c r="X82" s="191">
        <f ca="1">'Income Statement'!Y44</f>
        <v>126570.9199945522</v>
      </c>
      <c r="Y82" s="191">
        <f ca="1">'Income Statement'!Z44</f>
        <v>127348.67834297231</v>
      </c>
      <c r="Z82" s="191">
        <f ca="1">'Income Statement'!AA44</f>
        <v>127966.87423711634</v>
      </c>
      <c r="AA82" s="191">
        <f ca="1">'Income Statement'!AB44</f>
        <v>127454.02754257948</v>
      </c>
      <c r="AB82" s="191">
        <f ca="1">'Income Statement'!AC44</f>
        <v>125658.83593874906</v>
      </c>
      <c r="AC82" s="193"/>
    </row>
    <row r="83" spans="2:29" ht="13.8" thickBot="1">
      <c r="B83" s="190" t="s">
        <v>30</v>
      </c>
      <c r="C83" s="191"/>
      <c r="D83" s="191"/>
      <c r="E83" s="191"/>
      <c r="F83" s="192"/>
      <c r="G83" s="191">
        <f>'Income Statement'!I46</f>
        <v>0</v>
      </c>
      <c r="H83" s="191">
        <f>'Income Statement'!J46</f>
        <v>0</v>
      </c>
      <c r="I83" s="191">
        <f>'Income Statement'!K46</f>
        <v>0</v>
      </c>
      <c r="J83" s="191">
        <f>'Income Statement'!L46</f>
        <v>0</v>
      </c>
      <c r="K83" s="191">
        <f>'Income Statement'!M46</f>
        <v>0</v>
      </c>
      <c r="L83" s="191">
        <f>'Income Statement'!N46</f>
        <v>0</v>
      </c>
      <c r="M83" s="191">
        <f>'Income Statement'!O46</f>
        <v>0</v>
      </c>
      <c r="N83" s="191">
        <f>'Income Statement'!P46</f>
        <v>0</v>
      </c>
      <c r="O83" s="191">
        <f>'Income Statement'!Q46</f>
        <v>0</v>
      </c>
      <c r="P83" s="191">
        <f>'Income Statement'!R46</f>
        <v>0</v>
      </c>
      <c r="Q83" s="191">
        <f>'Income Statement'!S46</f>
        <v>0</v>
      </c>
      <c r="R83" s="191">
        <f>'Income Statement'!T46</f>
        <v>0</v>
      </c>
      <c r="S83" s="191">
        <f>'Income Statement'!U46</f>
        <v>0</v>
      </c>
      <c r="T83" s="191">
        <f>'Income Statement'!V46</f>
        <v>0</v>
      </c>
      <c r="U83" s="191">
        <f>'Income Statement'!W46</f>
        <v>0</v>
      </c>
      <c r="V83" s="191">
        <f>'Income Statement'!X46</f>
        <v>0</v>
      </c>
      <c r="W83" s="191">
        <f>'Income Statement'!Y46</f>
        <v>0</v>
      </c>
      <c r="X83" s="191">
        <f>'Income Statement'!Z46</f>
        <v>0</v>
      </c>
      <c r="Y83" s="191">
        <f>'Income Statement'!AA46</f>
        <v>0</v>
      </c>
      <c r="Z83" s="191">
        <f>'Income Statement'!AB46</f>
        <v>0</v>
      </c>
      <c r="AA83" s="191">
        <f>'Income Statement'!AC46</f>
        <v>0</v>
      </c>
      <c r="AB83" s="191">
        <f>'Income Statement'!AD46</f>
        <v>0</v>
      </c>
      <c r="AC83" s="193"/>
    </row>
    <row r="84" spans="2:29" ht="13.8" thickBot="1">
      <c r="B84" s="190" t="s">
        <v>130</v>
      </c>
      <c r="C84" s="191"/>
      <c r="D84" s="191"/>
      <c r="E84" s="191"/>
      <c r="F84" s="192"/>
      <c r="G84" s="191">
        <f>'Income Statement'!I48+'Income Statement'!I53</f>
        <v>0</v>
      </c>
      <c r="H84" s="191">
        <f>'Income Statement'!J48+'Income Statement'!J53</f>
        <v>0</v>
      </c>
      <c r="I84" s="191">
        <f>'Income Statement'!K48+'Income Statement'!K53</f>
        <v>0</v>
      </c>
      <c r="J84" s="191">
        <f>'Income Statement'!L48+'Income Statement'!L53</f>
        <v>0</v>
      </c>
      <c r="K84" s="191">
        <f>'Income Statement'!M48+'Income Statement'!M53</f>
        <v>0</v>
      </c>
      <c r="L84" s="191">
        <f>'Income Statement'!N48+'Income Statement'!N53</f>
        <v>0</v>
      </c>
      <c r="M84" s="191">
        <f>'Income Statement'!O48+'Income Statement'!O53</f>
        <v>0</v>
      </c>
      <c r="N84" s="191">
        <f>'Income Statement'!P48+'Income Statement'!P53</f>
        <v>0</v>
      </c>
      <c r="O84" s="191">
        <f>'Income Statement'!Q48+'Income Statement'!Q53</f>
        <v>0</v>
      </c>
      <c r="P84" s="191">
        <f>'Income Statement'!R48+'Income Statement'!R53</f>
        <v>0</v>
      </c>
      <c r="Q84" s="191">
        <f>'Income Statement'!S48+'Income Statement'!S53</f>
        <v>0</v>
      </c>
      <c r="R84" s="191">
        <f>'Income Statement'!T48+'Income Statement'!T53</f>
        <v>0</v>
      </c>
      <c r="S84" s="191">
        <f>'Income Statement'!U48+'Income Statement'!U53</f>
        <v>0</v>
      </c>
      <c r="T84" s="191">
        <f>'Income Statement'!V48+'Income Statement'!V53</f>
        <v>0</v>
      </c>
      <c r="U84" s="191">
        <f>'Income Statement'!W48+'Income Statement'!W53</f>
        <v>0</v>
      </c>
      <c r="V84" s="191">
        <f>'Income Statement'!X48+'Income Statement'!X53</f>
        <v>0</v>
      </c>
      <c r="W84" s="191">
        <f>'Income Statement'!Y48+'Income Statement'!Y53</f>
        <v>0</v>
      </c>
      <c r="X84" s="191">
        <f>'Income Statement'!Z48+'Income Statement'!Z53</f>
        <v>0</v>
      </c>
      <c r="Y84" s="191">
        <f>'Income Statement'!AA48+'Income Statement'!AA53</f>
        <v>0</v>
      </c>
      <c r="Z84" s="191">
        <f>'Income Statement'!AB48+'Income Statement'!AB53</f>
        <v>0</v>
      </c>
      <c r="AA84" s="191">
        <f>'Income Statement'!AC48+'Income Statement'!AC53</f>
        <v>0</v>
      </c>
      <c r="AB84" s="191">
        <f>'Income Statement'!AD48+'Income Statement'!AD53</f>
        <v>0</v>
      </c>
      <c r="AC84" s="193"/>
    </row>
    <row r="85" spans="2:29" ht="13.8" thickBot="1">
      <c r="B85" s="411" t="s">
        <v>432</v>
      </c>
      <c r="C85" s="191"/>
      <c r="D85" s="191"/>
      <c r="E85" s="191"/>
      <c r="F85" s="192"/>
      <c r="G85" s="191">
        <f>'Income Statement'!H55+'Income Statement'!H58</f>
        <v>0</v>
      </c>
      <c r="H85" s="191">
        <f>'Income Statement'!I55+'Income Statement'!I58</f>
        <v>0</v>
      </c>
      <c r="I85" s="191">
        <f>'Income Statement'!J55+'Income Statement'!J58</f>
        <v>0</v>
      </c>
      <c r="J85" s="191">
        <f>'Income Statement'!K55+'Income Statement'!K58</f>
        <v>0</v>
      </c>
      <c r="K85" s="191">
        <f>'Income Statement'!L55+'Income Statement'!L58</f>
        <v>0</v>
      </c>
      <c r="L85" s="191">
        <f>'Income Statement'!M55+'Income Statement'!M58</f>
        <v>0</v>
      </c>
      <c r="M85" s="191">
        <f>'Income Statement'!N55+'Income Statement'!N58</f>
        <v>0</v>
      </c>
      <c r="N85" s="191">
        <f>'Income Statement'!O55+'Income Statement'!O58</f>
        <v>0</v>
      </c>
      <c r="O85" s="191">
        <f>'Income Statement'!P55+'Income Statement'!P58</f>
        <v>0</v>
      </c>
      <c r="P85" s="191">
        <f>'Income Statement'!Q55+'Income Statement'!Q58</f>
        <v>0</v>
      </c>
      <c r="Q85" s="191">
        <f>'Income Statement'!R55+'Income Statement'!R58</f>
        <v>0</v>
      </c>
      <c r="R85" s="191">
        <f>'Income Statement'!S55+'Income Statement'!S58</f>
        <v>0</v>
      </c>
      <c r="S85" s="191">
        <f>'Income Statement'!T55+'Income Statement'!T58</f>
        <v>0</v>
      </c>
      <c r="T85" s="191">
        <f>'Income Statement'!U55+'Income Statement'!U58</f>
        <v>0</v>
      </c>
      <c r="U85" s="191">
        <f>'Income Statement'!V55+'Income Statement'!V58</f>
        <v>0</v>
      </c>
      <c r="V85" s="191">
        <f>'Income Statement'!W55+'Income Statement'!W58</f>
        <v>0</v>
      </c>
      <c r="W85" s="191">
        <f>'Income Statement'!X55+'Income Statement'!X58</f>
        <v>0</v>
      </c>
      <c r="X85" s="191">
        <f>'Income Statement'!Y55+'Income Statement'!Y58</f>
        <v>0</v>
      </c>
      <c r="Y85" s="191">
        <f>'Income Statement'!Z55+'Income Statement'!Z58</f>
        <v>0</v>
      </c>
      <c r="Z85" s="191">
        <f>'Income Statement'!AA55+'Income Statement'!AA58</f>
        <v>0</v>
      </c>
      <c r="AA85" s="191">
        <f>'Income Statement'!AB55+'Income Statement'!AB58</f>
        <v>0</v>
      </c>
      <c r="AB85" s="191">
        <f>'Income Statement'!AC55+'Income Statement'!AC58</f>
        <v>0</v>
      </c>
      <c r="AC85" s="193"/>
    </row>
    <row r="86" spans="2:29" ht="13.8" thickBot="1">
      <c r="B86" s="182" t="s">
        <v>28</v>
      </c>
      <c r="C86" s="183"/>
      <c r="D86" s="183"/>
      <c r="E86" s="183"/>
      <c r="F86" s="188"/>
      <c r="G86" s="183">
        <f>'Income Statement'!H61</f>
        <v>45025</v>
      </c>
      <c r="H86" s="183">
        <f>'Income Statement'!I61</f>
        <v>67296</v>
      </c>
      <c r="I86" s="183">
        <f ca="1">'Income Statement'!J61</f>
        <v>67577.849610549165</v>
      </c>
      <c r="J86" s="183">
        <f ca="1">'Income Statement'!K61</f>
        <v>70304.064119739924</v>
      </c>
      <c r="K86" s="183">
        <f ca="1">'Income Statement'!L61</f>
        <v>102393.00629099458</v>
      </c>
      <c r="L86" s="183">
        <f ca="1">'Income Statement'!M61</f>
        <v>91893.206151058548</v>
      </c>
      <c r="M86" s="183">
        <f ca="1">'Income Statement'!N61</f>
        <v>47361.065637011314</v>
      </c>
      <c r="N86" s="183">
        <f ca="1">'Income Statement'!O61</f>
        <v>44065.093075340032</v>
      </c>
      <c r="O86" s="183">
        <f ca="1">'Income Statement'!P61</f>
        <v>40927.024233178119</v>
      </c>
      <c r="P86" s="183">
        <f ca="1">'Income Statement'!Q61</f>
        <v>140696.18884136144</v>
      </c>
      <c r="Q86" s="183">
        <f ca="1">'Income Statement'!R61</f>
        <v>99756.840932405554</v>
      </c>
      <c r="R86" s="183">
        <f ca="1">'Income Statement'!S61</f>
        <v>135691.51424332592</v>
      </c>
      <c r="S86" s="183">
        <f ca="1">'Income Statement'!T61</f>
        <v>131257.93517461812</v>
      </c>
      <c r="T86" s="183">
        <f ca="1">'Income Statement'!U61</f>
        <v>150877.35971150917</v>
      </c>
      <c r="U86" s="183">
        <f ca="1">'Income Statement'!V61</f>
        <v>159492.47369433776</v>
      </c>
      <c r="V86" s="183">
        <f ca="1">'Income Statement'!W61</f>
        <v>299650.26456845575</v>
      </c>
      <c r="W86" s="183">
        <f ca="1">'Income Statement'!X61</f>
        <v>315855.17016296787</v>
      </c>
      <c r="X86" s="183">
        <f ca="1">'Income Statement'!Y61</f>
        <v>333429.36084957747</v>
      </c>
      <c r="Y86" s="183">
        <f ca="1">'Income Statement'!Z61</f>
        <v>351762.10586611647</v>
      </c>
      <c r="Z86" s="183">
        <f ca="1">'Income Statement'!AA61</f>
        <v>372060.0736518437</v>
      </c>
      <c r="AA86" s="183">
        <f ca="1">'Income Statement'!AB61</f>
        <v>392607.16701109428</v>
      </c>
      <c r="AB86" s="183">
        <f ca="1">'Income Statement'!AC61</f>
        <v>390869.54790498363</v>
      </c>
    </row>
    <row r="87" spans="2:29" ht="13.8" thickBot="1">
      <c r="B87" s="190" t="s">
        <v>131</v>
      </c>
      <c r="C87" s="191"/>
      <c r="D87" s="191"/>
      <c r="E87" s="191"/>
      <c r="F87" s="192"/>
      <c r="G87" s="439">
        <f t="shared" ref="G87" si="66">G86/G73</f>
        <v>1.8490979974710171E-2</v>
      </c>
      <c r="H87" s="439">
        <f t="shared" ref="H87:AB87" si="67">H86/H73</f>
        <v>2.3583578265512207E-2</v>
      </c>
      <c r="I87" s="439">
        <f t="shared" ca="1" si="67"/>
        <v>2.2021498019683925E-2</v>
      </c>
      <c r="J87" s="439">
        <f t="shared" ca="1" si="67"/>
        <v>2.0972957362936244E-2</v>
      </c>
      <c r="K87" s="439">
        <f t="shared" ca="1" si="67"/>
        <v>2.8406758803285748E-2</v>
      </c>
      <c r="L87" s="439">
        <f t="shared" ca="1" si="67"/>
        <v>2.3672308614781503E-2</v>
      </c>
      <c r="M87" s="439">
        <f t="shared" ca="1" si="67"/>
        <v>1.1303158830864505E-2</v>
      </c>
      <c r="N87" s="439">
        <f t="shared" ca="1" si="67"/>
        <v>9.7468928523620907E-3</v>
      </c>
      <c r="O87" s="439">
        <f t="shared" ca="1" si="67"/>
        <v>8.3846809257483359E-3</v>
      </c>
      <c r="P87" s="439">
        <f t="shared" ca="1" si="67"/>
        <v>2.6695903810161799E-2</v>
      </c>
      <c r="Q87" s="439">
        <f t="shared" ca="1" si="67"/>
        <v>1.7540292367955082E-2</v>
      </c>
      <c r="R87" s="439">
        <f t="shared" ca="1" si="67"/>
        <v>2.2118098089058423E-2</v>
      </c>
      <c r="S87" s="439">
        <f t="shared" ca="1" si="67"/>
        <v>1.9829195228506655E-2</v>
      </c>
      <c r="T87" s="439">
        <f t="shared" ca="1" si="67"/>
        <v>2.0973646658782479E-2</v>
      </c>
      <c r="U87" s="439">
        <f t="shared" ca="1" si="67"/>
        <v>2.0401420943644635E-2</v>
      </c>
      <c r="V87" s="439">
        <f t="shared" ca="1" si="67"/>
        <v>3.5269982117284514E-2</v>
      </c>
      <c r="W87" s="439">
        <f t="shared" ca="1" si="67"/>
        <v>3.4209672398927859E-2</v>
      </c>
      <c r="X87" s="439">
        <f t="shared" ca="1" si="67"/>
        <v>3.3230365353583625E-2</v>
      </c>
      <c r="Y87" s="439">
        <f t="shared" ca="1" si="67"/>
        <v>3.2258983617901332E-2</v>
      </c>
      <c r="Z87" s="439">
        <f t="shared" ca="1" si="67"/>
        <v>3.1396775400693251E-2</v>
      </c>
      <c r="AA87" s="439">
        <f t="shared" ca="1" si="67"/>
        <v>3.0486007561986585E-2</v>
      </c>
      <c r="AB87" s="439">
        <f t="shared" ca="1" si="67"/>
        <v>3.0351081168227594E-2</v>
      </c>
      <c r="AC87" s="193"/>
    </row>
    <row r="88" spans="2:29" ht="13.8" thickBot="1">
      <c r="B88" s="190" t="s">
        <v>25</v>
      </c>
      <c r="C88" s="191"/>
      <c r="D88" s="191"/>
      <c r="E88" s="191"/>
      <c r="F88" s="192"/>
      <c r="G88" s="191">
        <f>'ST Inv. &amp; Debt'!F20</f>
        <v>0</v>
      </c>
      <c r="H88" s="191">
        <f>'Income Statement'!I64</f>
        <v>-40962</v>
      </c>
      <c r="I88" s="191">
        <f>'Income Statement'!J64</f>
        <v>-52413.041772111283</v>
      </c>
      <c r="J88" s="191">
        <f ca="1">'Income Statement'!K64</f>
        <v>-44494.359112556078</v>
      </c>
      <c r="K88" s="191">
        <f ca="1">'Income Statement'!L64</f>
        <v>-47368.431556893251</v>
      </c>
      <c r="L88" s="191">
        <f ca="1">'Income Statement'!M64</f>
        <v>-44815.328254360786</v>
      </c>
      <c r="M88" s="191">
        <f ca="1">'Income Statement'!N64</f>
        <v>-40575.355556921662</v>
      </c>
      <c r="N88" s="191">
        <f ca="1">'Income Statement'!O64</f>
        <v>-44102.340221149869</v>
      </c>
      <c r="O88" s="191">
        <f ca="1">'Income Statement'!P64</f>
        <v>-47823.728200449717</v>
      </c>
      <c r="P88" s="191">
        <f ca="1">'Income Statement'!Q64</f>
        <v>-53718.068232881029</v>
      </c>
      <c r="Q88" s="191">
        <f ca="1">'Income Statement'!R64</f>
        <v>-47260.60410109767</v>
      </c>
      <c r="R88" s="191">
        <f ca="1">'Income Statement'!S64</f>
        <v>-45039.245997466474</v>
      </c>
      <c r="S88" s="191">
        <f ca="1">'Income Statement'!T64</f>
        <v>-39698.518612942156</v>
      </c>
      <c r="T88" s="191" t="e">
        <f ca="1">'Income Statement'!U64</f>
        <v>#VALUE!</v>
      </c>
      <c r="U88" s="191" t="e">
        <f ca="1">'Income Statement'!V64</f>
        <v>#VALUE!</v>
      </c>
      <c r="V88" s="191" t="e">
        <f ca="1">'Income Statement'!W64</f>
        <v>#VALUE!</v>
      </c>
      <c r="W88" s="191" t="e">
        <f ca="1">'Income Statement'!X64</f>
        <v>#VALUE!</v>
      </c>
      <c r="X88" s="191" t="e">
        <f ca="1">'Income Statement'!Y64</f>
        <v>#VALUE!</v>
      </c>
      <c r="Y88" s="191" t="e">
        <f ca="1">'Income Statement'!Z64</f>
        <v>#VALUE!</v>
      </c>
      <c r="Z88" s="191" t="e">
        <f ca="1">'Income Statement'!AA64</f>
        <v>#VALUE!</v>
      </c>
      <c r="AA88" s="191" t="e">
        <f ca="1">'Income Statement'!AB64</f>
        <v>#VALUE!</v>
      </c>
      <c r="AB88" s="191" t="e">
        <f ca="1">'Income Statement'!AC64</f>
        <v>#VALUE!</v>
      </c>
      <c r="AC88" s="193"/>
    </row>
    <row r="89" spans="2:29" ht="13.8" thickBot="1">
      <c r="B89" s="190" t="s">
        <v>26</v>
      </c>
      <c r="C89" s="191"/>
      <c r="D89" s="191"/>
      <c r="E89" s="191"/>
      <c r="F89" s="192"/>
      <c r="G89" s="191">
        <f>'Income Statement'!H66</f>
        <v>26443</v>
      </c>
      <c r="H89" s="191">
        <f>'Income Statement'!I66</f>
        <v>36484</v>
      </c>
      <c r="I89" s="191">
        <f>'Income Statement'!J66</f>
        <v>15094.127992320076</v>
      </c>
      <c r="J89" s="191">
        <f ca="1">'Income Statement'!K66</f>
        <v>9627.4445665643016</v>
      </c>
      <c r="K89" s="191">
        <f ca="1">'Income Statement'!L66</f>
        <v>5616.1585812064877</v>
      </c>
      <c r="L89" s="191">
        <f ca="1">'Income Statement'!M66</f>
        <v>5106.2911068992953</v>
      </c>
      <c r="M89" s="191">
        <f ca="1">'Income Statement'!N66</f>
        <v>2048.8105431516365</v>
      </c>
      <c r="N89" s="191">
        <f ca="1">'Income Statement'!O66</f>
        <v>0</v>
      </c>
      <c r="O89" s="191">
        <f ca="1">'Income Statement'!P66</f>
        <v>0</v>
      </c>
      <c r="P89" s="191">
        <f ca="1">'Income Statement'!Q66</f>
        <v>0</v>
      </c>
      <c r="Q89" s="191">
        <f ca="1">'Income Statement'!R66</f>
        <v>0</v>
      </c>
      <c r="R89" s="191">
        <f ca="1">'Income Statement'!S66</f>
        <v>0</v>
      </c>
      <c r="S89" s="191">
        <f ca="1">'Income Statement'!T66</f>
        <v>0</v>
      </c>
      <c r="T89" s="191">
        <f ca="1">'Income Statement'!U66</f>
        <v>0</v>
      </c>
      <c r="U89" s="191" t="e">
        <f ca="1">'Income Statement'!V66</f>
        <v>#VALUE!</v>
      </c>
      <c r="V89" s="191" t="e">
        <f ca="1">'Income Statement'!W66</f>
        <v>#VALUE!</v>
      </c>
      <c r="W89" s="191" t="e">
        <f ca="1">'Income Statement'!X66</f>
        <v>#VALUE!</v>
      </c>
      <c r="X89" s="191" t="e">
        <f ca="1">'Income Statement'!Y66</f>
        <v>#VALUE!</v>
      </c>
      <c r="Y89" s="191" t="e">
        <f ca="1">'Income Statement'!Z66</f>
        <v>#VALUE!</v>
      </c>
      <c r="Z89" s="191" t="e">
        <f ca="1">'Income Statement'!AA66</f>
        <v>#VALUE!</v>
      </c>
      <c r="AA89" s="191" t="e">
        <f ca="1">'Income Statement'!AB66</f>
        <v>#VALUE!</v>
      </c>
      <c r="AB89" s="191" t="e">
        <f ca="1">'Income Statement'!AC66</f>
        <v>#VALUE!</v>
      </c>
      <c r="AC89" s="193"/>
    </row>
    <row r="90" spans="2:29" ht="13.8" thickBot="1">
      <c r="B90" s="182" t="s">
        <v>29</v>
      </c>
      <c r="C90" s="183"/>
      <c r="D90" s="183"/>
      <c r="E90" s="183"/>
      <c r="F90" s="188"/>
      <c r="G90" s="183">
        <f>'Income Statement'!H70</f>
        <v>36321</v>
      </c>
      <c r="H90" s="183">
        <f>'Income Statement'!I70</f>
        <v>62818</v>
      </c>
      <c r="I90" s="183">
        <f ca="1">'Income Statement'!J70</f>
        <v>30258.935830757961</v>
      </c>
      <c r="J90" s="183">
        <f ca="1">'Income Statement'!K70</f>
        <v>35437.149573748145</v>
      </c>
      <c r="K90" s="183">
        <f ca="1">'Income Statement'!L70</f>
        <v>60640.733315307822</v>
      </c>
      <c r="L90" s="183">
        <f ca="1">'Income Statement'!M70</f>
        <v>52184.169003597061</v>
      </c>
      <c r="M90" s="183">
        <f ca="1">'Income Statement'!N70</f>
        <v>8834.5206232412893</v>
      </c>
      <c r="N90" s="183">
        <f ca="1">'Income Statement'!O70</f>
        <v>-37.247145809837093</v>
      </c>
      <c r="O90" s="183">
        <f ca="1">'Income Statement'!P70</f>
        <v>-6896.7039672715982</v>
      </c>
      <c r="P90" s="183">
        <f ca="1">'Income Statement'!Q70</f>
        <v>86978.120608480414</v>
      </c>
      <c r="Q90" s="183">
        <f ca="1">'Income Statement'!R70</f>
        <v>52496.236831307884</v>
      </c>
      <c r="R90" s="183">
        <f ca="1">'Income Statement'!S70</f>
        <v>90652.26824585945</v>
      </c>
      <c r="S90" s="183">
        <f ca="1">'Income Statement'!T70</f>
        <v>91559.416561675956</v>
      </c>
      <c r="T90" s="183" t="e">
        <f ca="1">'Income Statement'!U70</f>
        <v>#VALUE!</v>
      </c>
      <c r="U90" s="183" t="e">
        <f ca="1">'Income Statement'!V70</f>
        <v>#VALUE!</v>
      </c>
      <c r="V90" s="183" t="e">
        <f ca="1">'Income Statement'!W70</f>
        <v>#VALUE!</v>
      </c>
      <c r="W90" s="183" t="e">
        <f ca="1">'Income Statement'!X70</f>
        <v>#VALUE!</v>
      </c>
      <c r="X90" s="183" t="e">
        <f ca="1">'Income Statement'!Y70</f>
        <v>#VALUE!</v>
      </c>
      <c r="Y90" s="183" t="e">
        <f ca="1">'Income Statement'!Z70</f>
        <v>#VALUE!</v>
      </c>
      <c r="Z90" s="183" t="e">
        <f ca="1">'Income Statement'!AA70</f>
        <v>#VALUE!</v>
      </c>
      <c r="AA90" s="183" t="e">
        <f ca="1">'Income Statement'!AB70</f>
        <v>#VALUE!</v>
      </c>
      <c r="AB90" s="183" t="e">
        <f ca="1">'Income Statement'!AC70</f>
        <v>#VALUE!</v>
      </c>
    </row>
    <row r="91" spans="2:29" ht="13.8" thickBot="1">
      <c r="B91" s="190" t="s">
        <v>86</v>
      </c>
      <c r="C91" s="191"/>
      <c r="D91" s="191"/>
      <c r="E91" s="191"/>
      <c r="F91" s="192"/>
      <c r="G91" s="191">
        <f>'Income Statement'!H73</f>
        <v>4362</v>
      </c>
      <c r="H91" s="191">
        <f>'Income Statement'!I73</f>
        <v>-4228</v>
      </c>
      <c r="I91" s="191">
        <f ca="1">'Income Statement'!J73</f>
        <v>-10288.038182457707</v>
      </c>
      <c r="J91" s="191">
        <f ca="1">'Income Statement'!K73</f>
        <v>-12048.630855074371</v>
      </c>
      <c r="K91" s="191">
        <f ca="1">'Income Statement'!L73</f>
        <v>-20617.849327204662</v>
      </c>
      <c r="L91" s="191">
        <f ca="1">'Income Statement'!M73</f>
        <v>-17742.617461223002</v>
      </c>
      <c r="M91" s="191">
        <f ca="1">'Income Statement'!N73</f>
        <v>-3003.7370119020384</v>
      </c>
      <c r="N91" s="191">
        <f ca="1">'Income Statement'!O73</f>
        <v>12.664029575344612</v>
      </c>
      <c r="O91" s="191">
        <f ca="1">'Income Statement'!P73</f>
        <v>2344.8793488723436</v>
      </c>
      <c r="P91" s="191">
        <f ca="1">'Income Statement'!Q73</f>
        <v>-29572.561006883345</v>
      </c>
      <c r="Q91" s="191">
        <f ca="1">'Income Statement'!R73</f>
        <v>-17848.720522644682</v>
      </c>
      <c r="R91" s="191">
        <f ca="1">'Income Statement'!S73</f>
        <v>-30821.771203592216</v>
      </c>
      <c r="S91" s="191">
        <f ca="1">'Income Statement'!T73</f>
        <v>-31130.201630969827</v>
      </c>
      <c r="T91" s="191" t="e">
        <f ca="1">'Income Statement'!U73</f>
        <v>#VALUE!</v>
      </c>
      <c r="U91" s="191" t="e">
        <f ca="1">'Income Statement'!V73</f>
        <v>#VALUE!</v>
      </c>
      <c r="V91" s="191" t="e">
        <f ca="1">'Income Statement'!W73</f>
        <v>#VALUE!</v>
      </c>
      <c r="W91" s="191" t="e">
        <f ca="1">'Income Statement'!X73</f>
        <v>#VALUE!</v>
      </c>
      <c r="X91" s="191" t="e">
        <f ca="1">'Income Statement'!Y73</f>
        <v>#VALUE!</v>
      </c>
      <c r="Y91" s="191" t="e">
        <f ca="1">'Income Statement'!Z73</f>
        <v>#VALUE!</v>
      </c>
      <c r="Z91" s="191" t="e">
        <f ca="1">'Income Statement'!AA73</f>
        <v>#VALUE!</v>
      </c>
      <c r="AA91" s="191" t="e">
        <f ca="1">'Income Statement'!AB73</f>
        <v>#VALUE!</v>
      </c>
      <c r="AB91" s="191" t="e">
        <f ca="1">'Income Statement'!AC73</f>
        <v>#VALUE!</v>
      </c>
      <c r="AC91" s="193"/>
    </row>
    <row r="92" spans="2:29" ht="13.8" thickBot="1">
      <c r="B92" s="190" t="s">
        <v>122</v>
      </c>
      <c r="C92" s="191"/>
      <c r="D92" s="191"/>
      <c r="E92" s="191"/>
      <c r="F92" s="192"/>
      <c r="G92" s="191">
        <f>'Income Statement'!I74</f>
        <v>-9141</v>
      </c>
      <c r="H92" s="191">
        <f>'Income Statement'!J74</f>
        <v>0</v>
      </c>
      <c r="I92" s="191">
        <f>'Income Statement'!K74</f>
        <v>0</v>
      </c>
      <c r="J92" s="191">
        <f>'Income Statement'!L74</f>
        <v>0</v>
      </c>
      <c r="K92" s="191">
        <f>'Income Statement'!M74</f>
        <v>0</v>
      </c>
      <c r="L92" s="191">
        <f>'Income Statement'!N74</f>
        <v>0</v>
      </c>
      <c r="M92" s="191">
        <f>'Income Statement'!O74</f>
        <v>0</v>
      </c>
      <c r="N92" s="191">
        <f>'Income Statement'!P74</f>
        <v>0</v>
      </c>
      <c r="O92" s="191">
        <f>'Income Statement'!Q74</f>
        <v>0</v>
      </c>
      <c r="P92" s="191">
        <f>'Income Statement'!R74</f>
        <v>0</v>
      </c>
      <c r="Q92" s="191">
        <f>'Income Statement'!S74</f>
        <v>0</v>
      </c>
      <c r="R92" s="191">
        <f>'Income Statement'!T74</f>
        <v>0</v>
      </c>
      <c r="S92" s="191">
        <f>'Income Statement'!U74</f>
        <v>0</v>
      </c>
      <c r="T92" s="191">
        <f>'Income Statement'!V74</f>
        <v>0</v>
      </c>
      <c r="U92" s="191">
        <f>'Income Statement'!W74</f>
        <v>0</v>
      </c>
      <c r="V92" s="191">
        <f>'Income Statement'!X74</f>
        <v>0</v>
      </c>
      <c r="W92" s="191">
        <f>'Income Statement'!Y74</f>
        <v>0</v>
      </c>
      <c r="X92" s="191">
        <f>'Income Statement'!Z74</f>
        <v>0</v>
      </c>
      <c r="Y92" s="191">
        <f>'Income Statement'!AA74</f>
        <v>0</v>
      </c>
      <c r="Z92" s="191">
        <f>'Income Statement'!AB74</f>
        <v>0</v>
      </c>
      <c r="AA92" s="191">
        <f>'Income Statement'!AC74</f>
        <v>0</v>
      </c>
      <c r="AB92" s="191">
        <f>'Income Statement'!AD74</f>
        <v>0</v>
      </c>
      <c r="AC92" s="193"/>
    </row>
    <row r="93" spans="2:29" ht="13.8" thickBot="1">
      <c r="B93" s="190" t="s">
        <v>62</v>
      </c>
      <c r="C93" s="191"/>
      <c r="D93" s="191"/>
      <c r="E93" s="191"/>
      <c r="F93" s="192"/>
      <c r="G93" s="191">
        <f>'Income Statement'!I76</f>
        <v>2356</v>
      </c>
      <c r="H93" s="191">
        <f>'Income Statement'!J76</f>
        <v>0</v>
      </c>
      <c r="I93" s="191">
        <f>'Income Statement'!K76</f>
        <v>0</v>
      </c>
      <c r="J93" s="191">
        <f>'Income Statement'!L76</f>
        <v>0</v>
      </c>
      <c r="K93" s="191">
        <f>'Income Statement'!M76</f>
        <v>0</v>
      </c>
      <c r="L93" s="191">
        <f>'Income Statement'!N76</f>
        <v>0</v>
      </c>
      <c r="M93" s="191">
        <f>'Income Statement'!O76</f>
        <v>0</v>
      </c>
      <c r="N93" s="191">
        <f>'Income Statement'!P76</f>
        <v>0</v>
      </c>
      <c r="O93" s="191">
        <f>'Income Statement'!Q76</f>
        <v>0</v>
      </c>
      <c r="P93" s="191">
        <f>'Income Statement'!R76</f>
        <v>0</v>
      </c>
      <c r="Q93" s="191">
        <f>'Income Statement'!S76</f>
        <v>0</v>
      </c>
      <c r="R93" s="191">
        <f>'Income Statement'!T76</f>
        <v>0</v>
      </c>
      <c r="S93" s="191">
        <f>'Income Statement'!U76</f>
        <v>0</v>
      </c>
      <c r="T93" s="191">
        <f>'Income Statement'!V76</f>
        <v>0</v>
      </c>
      <c r="U93" s="191">
        <f>'Income Statement'!W76</f>
        <v>0</v>
      </c>
      <c r="V93" s="191">
        <f>'Income Statement'!X76</f>
        <v>0</v>
      </c>
      <c r="W93" s="191">
        <f>'Income Statement'!Y76</f>
        <v>0</v>
      </c>
      <c r="X93" s="191">
        <f>'Income Statement'!Z76</f>
        <v>0</v>
      </c>
      <c r="Y93" s="191">
        <f>'Income Statement'!AA76</f>
        <v>0</v>
      </c>
      <c r="Z93" s="191">
        <f>'Income Statement'!AB76</f>
        <v>0</v>
      </c>
      <c r="AA93" s="191">
        <f>'Income Statement'!AC76</f>
        <v>0</v>
      </c>
      <c r="AB93" s="191">
        <f>'Income Statement'!AD76</f>
        <v>0</v>
      </c>
      <c r="AC93" s="193"/>
    </row>
    <row r="94" spans="2:29" ht="13.8" thickBot="1">
      <c r="B94" s="182" t="s">
        <v>89</v>
      </c>
      <c r="C94" s="183"/>
      <c r="D94" s="183"/>
      <c r="E94" s="183"/>
      <c r="F94" s="188"/>
      <c r="G94" s="183">
        <f>'Income Statement'!H81</f>
        <v>32615</v>
      </c>
      <c r="H94" s="183">
        <f>'Income Statement'!I81</f>
        <v>51805</v>
      </c>
      <c r="I94" s="183">
        <f ca="1">'Income Statement'!J81</f>
        <v>19970.897648300255</v>
      </c>
      <c r="J94" s="183">
        <f ca="1">'Income Statement'!K81</f>
        <v>23388.518718673775</v>
      </c>
      <c r="K94" s="183">
        <f ca="1">'Income Statement'!L81</f>
        <v>40022.88398810316</v>
      </c>
      <c r="L94" s="183">
        <f ca="1">'Income Statement'!M81</f>
        <v>34441.551542374058</v>
      </c>
      <c r="M94" s="183">
        <f ca="1">'Income Statement'!N81</f>
        <v>5830.7836113392514</v>
      </c>
      <c r="N94" s="183">
        <f ca="1">'Income Statement'!O81</f>
        <v>-24.583116234492479</v>
      </c>
      <c r="O94" s="183">
        <f ca="1">'Income Statement'!P81</f>
        <v>-4551.8246183992542</v>
      </c>
      <c r="P94" s="183">
        <f ca="1">'Income Statement'!Q81</f>
        <v>57405.559601597066</v>
      </c>
      <c r="Q94" s="183">
        <f ca="1">'Income Statement'!R81</f>
        <v>34647.516308663202</v>
      </c>
      <c r="R94" s="183">
        <f ca="1">'Income Statement'!S81</f>
        <v>59830.497042267234</v>
      </c>
      <c r="S94" s="183">
        <f ca="1">'Income Statement'!T81</f>
        <v>60429.214930706134</v>
      </c>
      <c r="T94" s="183" t="e">
        <f ca="1">'Income Statement'!U81</f>
        <v>#VALUE!</v>
      </c>
      <c r="U94" s="183" t="e">
        <f ca="1">'Income Statement'!V81</f>
        <v>#VALUE!</v>
      </c>
      <c r="V94" s="183" t="e">
        <f ca="1">'Income Statement'!W81</f>
        <v>#VALUE!</v>
      </c>
      <c r="W94" s="183" t="e">
        <f ca="1">'Income Statement'!X81</f>
        <v>#VALUE!</v>
      </c>
      <c r="X94" s="183" t="e">
        <f ca="1">'Income Statement'!Y81</f>
        <v>#VALUE!</v>
      </c>
      <c r="Y94" s="183" t="e">
        <f ca="1">'Income Statement'!Z81</f>
        <v>#VALUE!</v>
      </c>
      <c r="Z94" s="183" t="e">
        <f ca="1">'Income Statement'!AA81</f>
        <v>#VALUE!</v>
      </c>
      <c r="AA94" s="183" t="e">
        <f ca="1">'Income Statement'!AB81</f>
        <v>#VALUE!</v>
      </c>
      <c r="AB94" s="183" t="e">
        <f ca="1">'Income Statement'!AC81</f>
        <v>#VALUE!</v>
      </c>
    </row>
    <row r="95" spans="2:29" ht="13.8" thickBot="1">
      <c r="B95" s="190" t="s">
        <v>132</v>
      </c>
      <c r="C95" s="191"/>
      <c r="D95" s="191"/>
      <c r="E95" s="191"/>
      <c r="F95" s="192"/>
      <c r="G95" s="439">
        <f t="shared" ref="G95:AB95" si="68">G94/G73</f>
        <v>1.3394410036094886E-2</v>
      </c>
      <c r="H95" s="439">
        <f t="shared" si="68"/>
        <v>1.8154827508988051E-2</v>
      </c>
      <c r="I95" s="439">
        <f t="shared" ca="1" si="68"/>
        <v>6.5078880956978783E-3</v>
      </c>
      <c r="J95" s="439">
        <f t="shared" ca="1" si="68"/>
        <v>6.9772126549260422E-3</v>
      </c>
      <c r="K95" s="439">
        <f t="shared" ca="1" si="68"/>
        <v>1.1103496744991316E-2</v>
      </c>
      <c r="L95" s="439">
        <f t="shared" ca="1" si="68"/>
        <v>8.8723755697753589E-3</v>
      </c>
      <c r="M95" s="439">
        <f t="shared" ca="1" si="68"/>
        <v>1.3915707423581582E-3</v>
      </c>
      <c r="N95" s="439">
        <f t="shared" ca="1" si="68"/>
        <v>-5.4376147465544019E-6</v>
      </c>
      <c r="O95" s="439">
        <f t="shared" ca="1" si="68"/>
        <v>-9.3252802446126533E-4</v>
      </c>
      <c r="P95" s="439">
        <f t="shared" ca="1" si="68"/>
        <v>1.0892216128332168E-2</v>
      </c>
      <c r="Q95" s="439">
        <f t="shared" ca="1" si="68"/>
        <v>6.0920891258899809E-3</v>
      </c>
      <c r="R95" s="439">
        <f t="shared" ca="1" si="68"/>
        <v>9.7525391302284454E-3</v>
      </c>
      <c r="S95" s="439">
        <f t="shared" ca="1" si="68"/>
        <v>9.1290686446671605E-3</v>
      </c>
      <c r="T95" s="439" t="e">
        <f t="shared" ca="1" si="68"/>
        <v>#VALUE!</v>
      </c>
      <c r="U95" s="439" t="e">
        <f t="shared" ca="1" si="68"/>
        <v>#VALUE!</v>
      </c>
      <c r="V95" s="439" t="e">
        <f t="shared" ca="1" si="68"/>
        <v>#VALUE!</v>
      </c>
      <c r="W95" s="439" t="e">
        <f t="shared" ca="1" si="68"/>
        <v>#VALUE!</v>
      </c>
      <c r="X95" s="439" t="e">
        <f t="shared" ca="1" si="68"/>
        <v>#VALUE!</v>
      </c>
      <c r="Y95" s="439" t="e">
        <f t="shared" ca="1" si="68"/>
        <v>#VALUE!</v>
      </c>
      <c r="Z95" s="439" t="e">
        <f t="shared" ca="1" si="68"/>
        <v>#VALUE!</v>
      </c>
      <c r="AA95" s="439" t="e">
        <f t="shared" ca="1" si="68"/>
        <v>#VALUE!</v>
      </c>
      <c r="AB95" s="439" t="e">
        <f t="shared" ca="1" si="68"/>
        <v>#VALUE!</v>
      </c>
      <c r="AC95" s="193"/>
    </row>
    <row r="98" spans="2:29" ht="16.2" thickBot="1">
      <c r="B98" s="177" t="s">
        <v>455</v>
      </c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</row>
    <row r="99" spans="2:29" ht="14.4" thickBot="1">
      <c r="B99" s="396" t="s">
        <v>124</v>
      </c>
      <c r="C99" s="397"/>
      <c r="D99" s="397"/>
      <c r="E99" s="397"/>
      <c r="F99" s="397"/>
      <c r="G99" s="397">
        <f>G70</f>
        <v>2010</v>
      </c>
      <c r="H99" s="397">
        <f t="shared" ref="H99:AB99" si="69">H70</f>
        <v>2011</v>
      </c>
      <c r="I99" s="397">
        <f t="shared" si="69"/>
        <v>2012</v>
      </c>
      <c r="J99" s="397">
        <f t="shared" si="69"/>
        <v>2013</v>
      </c>
      <c r="K99" s="397">
        <f t="shared" si="69"/>
        <v>2014</v>
      </c>
      <c r="L99" s="397">
        <f t="shared" si="69"/>
        <v>2015</v>
      </c>
      <c r="M99" s="397">
        <f t="shared" si="69"/>
        <v>2016</v>
      </c>
      <c r="N99" s="397">
        <f t="shared" si="69"/>
        <v>2017</v>
      </c>
      <c r="O99" s="397">
        <f t="shared" si="69"/>
        <v>2018</v>
      </c>
      <c r="P99" s="397">
        <f t="shared" si="69"/>
        <v>2019</v>
      </c>
      <c r="Q99" s="397">
        <f t="shared" si="69"/>
        <v>2020</v>
      </c>
      <c r="R99" s="397">
        <f t="shared" si="69"/>
        <v>2021</v>
      </c>
      <c r="S99" s="397">
        <f t="shared" si="69"/>
        <v>2022</v>
      </c>
      <c r="T99" s="397">
        <f t="shared" si="69"/>
        <v>2023</v>
      </c>
      <c r="U99" s="397">
        <f t="shared" si="69"/>
        <v>2024</v>
      </c>
      <c r="V99" s="397">
        <f t="shared" si="69"/>
        <v>2025</v>
      </c>
      <c r="W99" s="397">
        <f t="shared" si="69"/>
        <v>2026</v>
      </c>
      <c r="X99" s="397">
        <f t="shared" si="69"/>
        <v>2027</v>
      </c>
      <c r="Y99" s="397">
        <f t="shared" si="69"/>
        <v>2028</v>
      </c>
      <c r="Z99" s="397">
        <f t="shared" si="69"/>
        <v>2029</v>
      </c>
      <c r="AA99" s="397">
        <f t="shared" si="69"/>
        <v>2030</v>
      </c>
      <c r="AB99" s="397">
        <f t="shared" si="69"/>
        <v>2031</v>
      </c>
    </row>
    <row r="100" spans="2:29" ht="13.8" thickBot="1">
      <c r="B100" s="182" t="s">
        <v>57</v>
      </c>
      <c r="C100" s="183"/>
      <c r="D100" s="183"/>
      <c r="E100" s="183"/>
      <c r="F100" s="188"/>
      <c r="G100" s="183">
        <f>'Cash Flow'!G12</f>
        <v>0</v>
      </c>
      <c r="H100" s="183">
        <f>'Cash Flow'!G12</f>
        <v>0</v>
      </c>
      <c r="I100" s="183">
        <f ca="1">'Cash Flow'!H12</f>
        <v>19970.897648300255</v>
      </c>
      <c r="J100" s="183">
        <f ca="1">'Cash Flow'!I12</f>
        <v>23388.518718673775</v>
      </c>
      <c r="K100" s="183">
        <f ca="1">'Cash Flow'!J12</f>
        <v>40022.88398810316</v>
      </c>
      <c r="L100" s="183">
        <f ca="1">'Cash Flow'!K12</f>
        <v>34441.551542374058</v>
      </c>
      <c r="M100" s="183">
        <f ca="1">'Cash Flow'!L12</f>
        <v>5830.7836113392514</v>
      </c>
      <c r="N100" s="183">
        <f ca="1">'Cash Flow'!M12</f>
        <v>-24.583116234492479</v>
      </c>
      <c r="O100" s="183">
        <f ca="1">'Cash Flow'!N12</f>
        <v>-4551.8246183992542</v>
      </c>
      <c r="P100" s="183">
        <f ca="1">'Cash Flow'!O12</f>
        <v>57405.559601597066</v>
      </c>
      <c r="Q100" s="183">
        <f ca="1">'Cash Flow'!P12</f>
        <v>34647.516308663202</v>
      </c>
      <c r="R100" s="183">
        <f ca="1">'Cash Flow'!Q12</f>
        <v>59830.497042267234</v>
      </c>
      <c r="S100" s="183">
        <f ca="1">'Cash Flow'!R12</f>
        <v>60429.214930706134</v>
      </c>
      <c r="T100" s="183" t="e">
        <f ca="1">'Cash Flow'!S12</f>
        <v>#VALUE!</v>
      </c>
      <c r="U100" s="183" t="e">
        <f ca="1">'Cash Flow'!T12</f>
        <v>#VALUE!</v>
      </c>
      <c r="V100" s="183" t="e">
        <f ca="1">'Cash Flow'!U12</f>
        <v>#VALUE!</v>
      </c>
      <c r="W100" s="183" t="e">
        <f ca="1">'Cash Flow'!V12</f>
        <v>#VALUE!</v>
      </c>
      <c r="X100" s="183" t="e">
        <f ca="1">'Cash Flow'!W12</f>
        <v>#VALUE!</v>
      </c>
      <c r="Y100" s="183" t="e">
        <f ca="1">'Cash Flow'!X12</f>
        <v>#VALUE!</v>
      </c>
      <c r="Z100" s="183" t="e">
        <f ca="1">'Cash Flow'!Y12</f>
        <v>#VALUE!</v>
      </c>
      <c r="AA100" s="183" t="e">
        <f ca="1">'Cash Flow'!Z12</f>
        <v>#VALUE!</v>
      </c>
      <c r="AB100" s="183" t="e">
        <f ca="1">'Cash Flow'!AA12</f>
        <v>#VALUE!</v>
      </c>
    </row>
    <row r="101" spans="2:29" ht="13.8" thickBot="1">
      <c r="B101" s="190" t="s">
        <v>122</v>
      </c>
      <c r="C101" s="191"/>
      <c r="D101" s="191"/>
      <c r="E101" s="191"/>
      <c r="F101" s="192"/>
      <c r="G101" s="191">
        <f>'Cash Flow'!G13</f>
        <v>0</v>
      </c>
      <c r="H101" s="191">
        <f>'Cash Flow'!G13</f>
        <v>0</v>
      </c>
      <c r="I101" s="191">
        <f>'Cash Flow'!H13</f>
        <v>0</v>
      </c>
      <c r="J101" s="191">
        <f>'Cash Flow'!I13</f>
        <v>0</v>
      </c>
      <c r="K101" s="191">
        <f>'Cash Flow'!J13</f>
        <v>0</v>
      </c>
      <c r="L101" s="191">
        <f>'Cash Flow'!K13</f>
        <v>0</v>
      </c>
      <c r="M101" s="191">
        <f>'Cash Flow'!L13</f>
        <v>0</v>
      </c>
      <c r="N101" s="191">
        <f>'Cash Flow'!M13</f>
        <v>0</v>
      </c>
      <c r="O101" s="191">
        <f>'Cash Flow'!N13</f>
        <v>0</v>
      </c>
      <c r="P101" s="191">
        <f>'Cash Flow'!O13</f>
        <v>0</v>
      </c>
      <c r="Q101" s="191">
        <f>'Cash Flow'!P13</f>
        <v>0</v>
      </c>
      <c r="R101" s="191">
        <f>'Cash Flow'!Q13</f>
        <v>0</v>
      </c>
      <c r="S101" s="191">
        <f>'Cash Flow'!R13</f>
        <v>0</v>
      </c>
      <c r="T101" s="191">
        <f>'Cash Flow'!S13</f>
        <v>0</v>
      </c>
      <c r="U101" s="191">
        <f>'Cash Flow'!T13</f>
        <v>0</v>
      </c>
      <c r="V101" s="191">
        <f>'Cash Flow'!U13</f>
        <v>0</v>
      </c>
      <c r="W101" s="191">
        <f>'Cash Flow'!V13</f>
        <v>0</v>
      </c>
      <c r="X101" s="191">
        <f>'Cash Flow'!W13</f>
        <v>0</v>
      </c>
      <c r="Y101" s="191">
        <f>'Cash Flow'!X13</f>
        <v>0</v>
      </c>
      <c r="Z101" s="191">
        <f>'Cash Flow'!Y13</f>
        <v>0</v>
      </c>
      <c r="AA101" s="191">
        <f>'Cash Flow'!Z13</f>
        <v>0</v>
      </c>
      <c r="AB101" s="191">
        <f>'Cash Flow'!AA13</f>
        <v>0</v>
      </c>
      <c r="AC101" s="193"/>
    </row>
    <row r="102" spans="2:29" ht="13.8" thickBot="1">
      <c r="B102" s="190" t="s">
        <v>54</v>
      </c>
      <c r="C102" s="191"/>
      <c r="D102" s="191"/>
      <c r="E102" s="191"/>
      <c r="F102" s="192"/>
      <c r="G102" s="191">
        <f>'Cash Flow'!G14</f>
        <v>0</v>
      </c>
      <c r="H102" s="191">
        <f>'Cash Flow'!G14</f>
        <v>0</v>
      </c>
      <c r="I102" s="191">
        <f ca="1">'Cash Flow'!H14</f>
        <v>28006.6</v>
      </c>
      <c r="J102" s="191">
        <f ca="1">'Cash Flow'!I14</f>
        <v>47863.742857142854</v>
      </c>
      <c r="K102" s="191">
        <f ca="1">'Cash Flow'!J14</f>
        <v>63272.848979591829</v>
      </c>
      <c r="L102" s="191">
        <f ca="1">'Cash Flow'!K14</f>
        <v>72311.827405247808</v>
      </c>
      <c r="M102" s="191">
        <f ca="1">'Cash Flow'!L14</f>
        <v>82642.088463140361</v>
      </c>
      <c r="N102" s="191">
        <f ca="1">'Cash Flow'!M14</f>
        <v>94448.101100731845</v>
      </c>
      <c r="O102" s="191">
        <f ca="1">'Cash Flow'!N14</f>
        <v>107940.68697226496</v>
      </c>
      <c r="P102" s="191">
        <f ca="1">'Cash Flow'!O14</f>
        <v>123360.78511115996</v>
      </c>
      <c r="Q102" s="191">
        <f ca="1">'Cash Flow'!P14</f>
        <v>121126.61155561139</v>
      </c>
      <c r="R102" s="191">
        <f ca="1">'Cash Flow'!Q14</f>
        <v>123021.30708396403</v>
      </c>
      <c r="S102" s="191">
        <f ca="1">'Cash Flow'!R14</f>
        <v>131556.80109887433</v>
      </c>
      <c r="T102" s="191">
        <f ca="1">'Cash Flow'!S14</f>
        <v>140020.3687693924</v>
      </c>
      <c r="U102" s="191">
        <f ca="1">'Cash Flow'!T14</f>
        <v>120210.66595599982</v>
      </c>
      <c r="V102" s="191">
        <f ca="1">'Cash Flow'!U14</f>
        <v>123891.03236389525</v>
      </c>
      <c r="W102" s="191">
        <f ca="1">'Cash Flow'!V14</f>
        <v>126169.65313412815</v>
      </c>
      <c r="X102" s="191">
        <f ca="1">'Cash Flow'!W14</f>
        <v>126570.9199945522</v>
      </c>
      <c r="Y102" s="191">
        <f ca="1">'Cash Flow'!X14</f>
        <v>127348.67834297231</v>
      </c>
      <c r="Z102" s="191">
        <f ca="1">'Cash Flow'!Y14</f>
        <v>127966.87423711634</v>
      </c>
      <c r="AA102" s="191">
        <f ca="1">'Cash Flow'!Z14</f>
        <v>127454.02754257948</v>
      </c>
      <c r="AB102" s="191">
        <f ca="1">'Cash Flow'!AA14</f>
        <v>125658.83593874906</v>
      </c>
      <c r="AC102" s="193"/>
    </row>
    <row r="103" spans="2:29" ht="13.8" thickBot="1">
      <c r="B103" s="190" t="s">
        <v>58</v>
      </c>
      <c r="C103" s="191"/>
      <c r="D103" s="191"/>
      <c r="E103" s="191"/>
      <c r="F103" s="192"/>
      <c r="G103" s="191">
        <f>'Cash Flow'!G15</f>
        <v>0</v>
      </c>
      <c r="H103" s="191">
        <f>'Cash Flow'!G15</f>
        <v>0</v>
      </c>
      <c r="I103" s="191">
        <f>'Cash Flow'!H15</f>
        <v>0</v>
      </c>
      <c r="J103" s="191">
        <f>'Cash Flow'!I15</f>
        <v>0</v>
      </c>
      <c r="K103" s="191">
        <f>'Cash Flow'!J15</f>
        <v>0</v>
      </c>
      <c r="L103" s="191">
        <f>'Cash Flow'!K15</f>
        <v>0</v>
      </c>
      <c r="M103" s="191">
        <f>'Cash Flow'!L15</f>
        <v>0</v>
      </c>
      <c r="N103" s="191">
        <f>'Cash Flow'!M15</f>
        <v>0</v>
      </c>
      <c r="O103" s="191">
        <f>'Cash Flow'!N15</f>
        <v>0</v>
      </c>
      <c r="P103" s="191">
        <f>'Cash Flow'!O15</f>
        <v>0</v>
      </c>
      <c r="Q103" s="191">
        <f>'Cash Flow'!P15</f>
        <v>0</v>
      </c>
      <c r="R103" s="191">
        <f>'Cash Flow'!Q15</f>
        <v>0</v>
      </c>
      <c r="S103" s="191">
        <f>'Cash Flow'!R15</f>
        <v>0</v>
      </c>
      <c r="T103" s="191">
        <f>'Cash Flow'!S15</f>
        <v>0</v>
      </c>
      <c r="U103" s="191">
        <f>'Cash Flow'!T15</f>
        <v>0</v>
      </c>
      <c r="V103" s="191">
        <f>'Cash Flow'!U15</f>
        <v>0</v>
      </c>
      <c r="W103" s="191">
        <f>'Cash Flow'!V15</f>
        <v>0</v>
      </c>
      <c r="X103" s="191">
        <f>'Cash Flow'!W15</f>
        <v>0</v>
      </c>
      <c r="Y103" s="191">
        <f>'Cash Flow'!X15</f>
        <v>0</v>
      </c>
      <c r="Z103" s="191">
        <f>'Cash Flow'!Y15</f>
        <v>0</v>
      </c>
      <c r="AA103" s="191">
        <f>'Cash Flow'!Z15</f>
        <v>0</v>
      </c>
      <c r="AB103" s="191">
        <f>'Cash Flow'!AA15</f>
        <v>0</v>
      </c>
      <c r="AC103" s="193"/>
    </row>
    <row r="104" spans="2:29" ht="13.8" thickBot="1">
      <c r="B104" s="190" t="s">
        <v>175</v>
      </c>
      <c r="C104" s="191"/>
      <c r="D104" s="191"/>
      <c r="E104" s="191"/>
      <c r="F104" s="192"/>
      <c r="G104" s="191">
        <f>'Cash Flow'!G16</f>
        <v>0</v>
      </c>
      <c r="H104" s="191">
        <f>'Cash Flow'!G16</f>
        <v>0</v>
      </c>
      <c r="I104" s="191">
        <f>'Cash Flow'!H16</f>
        <v>0</v>
      </c>
      <c r="J104" s="191">
        <f>'Cash Flow'!I16</f>
        <v>0</v>
      </c>
      <c r="K104" s="191">
        <f>'Cash Flow'!J16</f>
        <v>0</v>
      </c>
      <c r="L104" s="191">
        <f>'Cash Flow'!K16</f>
        <v>0</v>
      </c>
      <c r="M104" s="191">
        <f>'Cash Flow'!L16</f>
        <v>0</v>
      </c>
      <c r="N104" s="191">
        <f>'Cash Flow'!M16</f>
        <v>0</v>
      </c>
      <c r="O104" s="191">
        <f>'Cash Flow'!N16</f>
        <v>0</v>
      </c>
      <c r="P104" s="191">
        <f>'Cash Flow'!O16</f>
        <v>0</v>
      </c>
      <c r="Q104" s="191">
        <f>'Cash Flow'!P16</f>
        <v>0</v>
      </c>
      <c r="R104" s="191">
        <f>'Cash Flow'!Q16</f>
        <v>0</v>
      </c>
      <c r="S104" s="191">
        <f>'Cash Flow'!R16</f>
        <v>0</v>
      </c>
      <c r="T104" s="191">
        <f>'Cash Flow'!S16</f>
        <v>0</v>
      </c>
      <c r="U104" s="191">
        <f>'Cash Flow'!T16</f>
        <v>0</v>
      </c>
      <c r="V104" s="191">
        <f>'Cash Flow'!U16</f>
        <v>0</v>
      </c>
      <c r="W104" s="191">
        <f>'Cash Flow'!V16</f>
        <v>0</v>
      </c>
      <c r="X104" s="191">
        <f>'Cash Flow'!W16</f>
        <v>0</v>
      </c>
      <c r="Y104" s="191">
        <f>'Cash Flow'!X16</f>
        <v>0</v>
      </c>
      <c r="Z104" s="191">
        <f>'Cash Flow'!Y16</f>
        <v>0</v>
      </c>
      <c r="AA104" s="191">
        <f>'Cash Flow'!Z16</f>
        <v>0</v>
      </c>
      <c r="AB104" s="191">
        <f>'Cash Flow'!AA16</f>
        <v>0</v>
      </c>
      <c r="AC104" s="193"/>
    </row>
    <row r="105" spans="2:29" ht="13.8" thickBot="1">
      <c r="B105" s="190" t="s">
        <v>68</v>
      </c>
      <c r="C105" s="191"/>
      <c r="D105" s="191"/>
      <c r="E105" s="191"/>
      <c r="F105" s="192"/>
      <c r="G105" s="191">
        <f>'Cash Flow'!G17</f>
        <v>0</v>
      </c>
      <c r="H105" s="191">
        <f>'Cash Flow'!G17</f>
        <v>0</v>
      </c>
      <c r="I105" s="191">
        <f>'Cash Flow'!H17</f>
        <v>0</v>
      </c>
      <c r="J105" s="191">
        <f>'Cash Flow'!I17</f>
        <v>0</v>
      </c>
      <c r="K105" s="191">
        <f>'Cash Flow'!J17</f>
        <v>0</v>
      </c>
      <c r="L105" s="191">
        <f>'Cash Flow'!K17</f>
        <v>0</v>
      </c>
      <c r="M105" s="191">
        <f>'Cash Flow'!L17</f>
        <v>0</v>
      </c>
      <c r="N105" s="191">
        <f>'Cash Flow'!M17</f>
        <v>0</v>
      </c>
      <c r="O105" s="191">
        <f>'Cash Flow'!N17</f>
        <v>0</v>
      </c>
      <c r="P105" s="191">
        <f>'Cash Flow'!O17</f>
        <v>0</v>
      </c>
      <c r="Q105" s="191">
        <f>'Cash Flow'!P17</f>
        <v>0</v>
      </c>
      <c r="R105" s="191">
        <f>'Cash Flow'!Q17</f>
        <v>0</v>
      </c>
      <c r="S105" s="191">
        <f>'Cash Flow'!R17</f>
        <v>0</v>
      </c>
      <c r="T105" s="191">
        <f>'Cash Flow'!S17</f>
        <v>0</v>
      </c>
      <c r="U105" s="191">
        <f>'Cash Flow'!T17</f>
        <v>0</v>
      </c>
      <c r="V105" s="191">
        <f>'Cash Flow'!U17</f>
        <v>0</v>
      </c>
      <c r="W105" s="191">
        <f>'Cash Flow'!V17</f>
        <v>0</v>
      </c>
      <c r="X105" s="191">
        <f>'Cash Flow'!W17</f>
        <v>0</v>
      </c>
      <c r="Y105" s="191">
        <f>'Cash Flow'!X17</f>
        <v>0</v>
      </c>
      <c r="Z105" s="191">
        <f>'Cash Flow'!Y17</f>
        <v>0</v>
      </c>
      <c r="AA105" s="191">
        <f>'Cash Flow'!Z17</f>
        <v>0</v>
      </c>
      <c r="AB105" s="191">
        <f>'Cash Flow'!AA17</f>
        <v>0</v>
      </c>
      <c r="AC105" s="193"/>
    </row>
    <row r="106" spans="2:29" ht="13.8" thickBot="1">
      <c r="B106" s="190" t="s">
        <v>150</v>
      </c>
      <c r="C106" s="191"/>
      <c r="D106" s="191"/>
      <c r="E106" s="191"/>
      <c r="F106" s="192"/>
      <c r="G106" s="191">
        <f>'Cash Flow'!G18</f>
        <v>0</v>
      </c>
      <c r="H106" s="191">
        <f>'Cash Flow'!H18</f>
        <v>0</v>
      </c>
      <c r="I106" s="191">
        <f>'Cash Flow'!I18</f>
        <v>0</v>
      </c>
      <c r="J106" s="191">
        <f>'Cash Flow'!J18</f>
        <v>0</v>
      </c>
      <c r="K106" s="191">
        <f>'Cash Flow'!K18</f>
        <v>0</v>
      </c>
      <c r="L106" s="191">
        <f>'Cash Flow'!L18</f>
        <v>0</v>
      </c>
      <c r="M106" s="191">
        <f>'Cash Flow'!M18</f>
        <v>0</v>
      </c>
      <c r="N106" s="191">
        <f>'Cash Flow'!N18</f>
        <v>0</v>
      </c>
      <c r="O106" s="191">
        <f>'Cash Flow'!O18</f>
        <v>0</v>
      </c>
      <c r="P106" s="191">
        <f>'Cash Flow'!P18</f>
        <v>0</v>
      </c>
      <c r="Q106" s="191">
        <f>'Cash Flow'!Q18</f>
        <v>0</v>
      </c>
      <c r="R106" s="191">
        <f>'Cash Flow'!R18</f>
        <v>0</v>
      </c>
      <c r="S106" s="191">
        <f>'Cash Flow'!S18</f>
        <v>0</v>
      </c>
      <c r="T106" s="191">
        <f>'Cash Flow'!T18</f>
        <v>0</v>
      </c>
      <c r="U106" s="191">
        <f>'Cash Flow'!U18</f>
        <v>0</v>
      </c>
      <c r="V106" s="191">
        <f>'Cash Flow'!V18</f>
        <v>0</v>
      </c>
      <c r="W106" s="191">
        <f>'Cash Flow'!W18</f>
        <v>0</v>
      </c>
      <c r="X106" s="191">
        <f>'Cash Flow'!X18</f>
        <v>0</v>
      </c>
      <c r="Y106" s="191">
        <f>'Cash Flow'!Y18</f>
        <v>0</v>
      </c>
      <c r="Z106" s="191">
        <f>'Cash Flow'!Z18</f>
        <v>0</v>
      </c>
      <c r="AA106" s="191">
        <f>'Cash Flow'!AA18</f>
        <v>0</v>
      </c>
      <c r="AB106" s="191">
        <f>'Cash Flow'!AB18</f>
        <v>0</v>
      </c>
      <c r="AC106" s="193"/>
    </row>
    <row r="107" spans="2:29" ht="13.8" thickBot="1">
      <c r="B107" s="190" t="s">
        <v>55</v>
      </c>
      <c r="C107" s="191"/>
      <c r="D107" s="191"/>
      <c r="E107" s="191"/>
      <c r="F107" s="192"/>
      <c r="G107" s="191">
        <f>'Cash Flow'!G19</f>
        <v>0</v>
      </c>
      <c r="H107" s="191">
        <f>'Cash Flow'!G19</f>
        <v>0</v>
      </c>
      <c r="I107" s="191">
        <f>'Cash Flow'!H19</f>
        <v>-5892.98796849684</v>
      </c>
      <c r="J107" s="191">
        <f>'Cash Flow'!I19</f>
        <v>-7760.3803352147806</v>
      </c>
      <c r="K107" s="191">
        <f>'Cash Flow'!J19</f>
        <v>-6911.3320002293985</v>
      </c>
      <c r="L107" s="191">
        <f>'Cash Flow'!K19</f>
        <v>-7594.6858286144416</v>
      </c>
      <c r="M107" s="191">
        <f>'Cash Flow'!L19</f>
        <v>-8438.9108535102714</v>
      </c>
      <c r="N107" s="191">
        <f>'Cash Flow'!M19</f>
        <v>-9059.8533990136493</v>
      </c>
      <c r="O107" s="191">
        <f>'Cash Flow'!N19</f>
        <v>-9863.9399806720103</v>
      </c>
      <c r="P107" s="191">
        <f>'Cash Flow'!O19</f>
        <v>-10656.196734616977</v>
      </c>
      <c r="Q107" s="191">
        <f>'Cash Flow'!P19</f>
        <v>-11417.577385799807</v>
      </c>
      <c r="R107" s="191">
        <f>'Cash Flow'!Q19</f>
        <v>-12255.467626291917</v>
      </c>
      <c r="S107" s="191">
        <f>'Cash Flow'!R19</f>
        <v>-13268.547452361789</v>
      </c>
      <c r="T107" s="191">
        <f>'Cash Flow'!S19</f>
        <v>-15723.947552248268</v>
      </c>
      <c r="U107" s="191">
        <f>'Cash Flow'!T19</f>
        <v>-17088.000002405781</v>
      </c>
      <c r="V107" s="191">
        <f>'Cash Flow'!U19</f>
        <v>-18570.384002614563</v>
      </c>
      <c r="W107" s="191">
        <f>'Cash Flow'!V19</f>
        <v>-20181.364814841319</v>
      </c>
      <c r="X107" s="191">
        <f>'Cash Flow'!W19</f>
        <v>-21932.098212528872</v>
      </c>
      <c r="Y107" s="191">
        <f>'Cash Flow'!X19</f>
        <v>-23834.707732465642</v>
      </c>
      <c r="Z107" s="191">
        <f>'Cash Flow'!Y19</f>
        <v>-25902.368628256983</v>
      </c>
      <c r="AA107" s="191">
        <f>'Cash Flow'!Z19</f>
        <v>-28149.399106758327</v>
      </c>
      <c r="AB107" s="191">
        <f>'Cash Flow'!AA19</f>
        <v>0</v>
      </c>
      <c r="AC107" s="193"/>
    </row>
    <row r="108" spans="2:29" ht="13.8" thickBot="1">
      <c r="B108" s="182" t="s">
        <v>96</v>
      </c>
      <c r="C108" s="183"/>
      <c r="D108" s="183"/>
      <c r="E108" s="183"/>
      <c r="F108" s="188"/>
      <c r="G108" s="183">
        <f>'Cash Flow'!G10</f>
        <v>0</v>
      </c>
      <c r="H108" s="183">
        <f>'Cash Flow'!G10</f>
        <v>0</v>
      </c>
      <c r="I108" s="183">
        <f ca="1">'Cash Flow'!H10</f>
        <v>42084.509679803414</v>
      </c>
      <c r="J108" s="183">
        <f ca="1">'Cash Flow'!I10</f>
        <v>63491.881240601855</v>
      </c>
      <c r="K108" s="183">
        <f ca="1">'Cash Flow'!J10</f>
        <v>96384.400967465597</v>
      </c>
      <c r="L108" s="183">
        <f ca="1">'Cash Flow'!K10</f>
        <v>99158.693119007425</v>
      </c>
      <c r="M108" s="183">
        <f ca="1">'Cash Flow'!L10</f>
        <v>80033.961220969344</v>
      </c>
      <c r="N108" s="183">
        <f ca="1">'Cash Flow'!M10</f>
        <v>85363.664585483697</v>
      </c>
      <c r="O108" s="183">
        <f ca="1">'Cash Flow'!N10</f>
        <v>93524.922373193695</v>
      </c>
      <c r="P108" s="183">
        <f ca="1">'Cash Flow'!O10</f>
        <v>170110.14797814007</v>
      </c>
      <c r="Q108" s="183">
        <f ca="1">'Cash Flow'!P10</f>
        <v>144356.55047847479</v>
      </c>
      <c r="R108" s="183">
        <f ca="1">'Cash Flow'!Q10</f>
        <v>170596.33649993935</v>
      </c>
      <c r="S108" s="183">
        <f ca="1">'Cash Flow'!R10</f>
        <v>178717.46857721868</v>
      </c>
      <c r="T108" s="183" t="e">
        <f ca="1">'Cash Flow'!S10</f>
        <v>#VALUE!</v>
      </c>
      <c r="U108" s="183" t="e">
        <f ca="1">'Cash Flow'!T10</f>
        <v>#VALUE!</v>
      </c>
      <c r="V108" s="183" t="e">
        <f ca="1">'Cash Flow'!U10</f>
        <v>#VALUE!</v>
      </c>
      <c r="W108" s="183" t="e">
        <f ca="1">'Cash Flow'!V10</f>
        <v>#VALUE!</v>
      </c>
      <c r="X108" s="183" t="e">
        <f ca="1">'Cash Flow'!W10</f>
        <v>#VALUE!</v>
      </c>
      <c r="Y108" s="183" t="e">
        <f ca="1">'Cash Flow'!X10</f>
        <v>#VALUE!</v>
      </c>
      <c r="Z108" s="183" t="e">
        <f ca="1">'Cash Flow'!Y10</f>
        <v>#VALUE!</v>
      </c>
      <c r="AA108" s="183" t="e">
        <f ca="1">'Cash Flow'!Z10</f>
        <v>#VALUE!</v>
      </c>
      <c r="AB108" s="183" t="e">
        <f ca="1">'Cash Flow'!AA10</f>
        <v>#VALUE!</v>
      </c>
    </row>
    <row r="109" spans="2:29" ht="13.8" thickBot="1">
      <c r="B109" s="190" t="s">
        <v>237</v>
      </c>
      <c r="C109" s="191"/>
      <c r="D109" s="191"/>
      <c r="E109" s="191"/>
      <c r="F109" s="192"/>
      <c r="G109" s="191">
        <f>'Cash Flow'!G36</f>
        <v>0</v>
      </c>
      <c r="H109" s="191">
        <f>'Cash Flow'!G36</f>
        <v>0</v>
      </c>
      <c r="I109" s="191">
        <f>'Cash Flow'!H36</f>
        <v>-139000</v>
      </c>
      <c r="J109" s="191">
        <f ca="1">'Cash Flow'!I36</f>
        <v>-107863.74285714285</v>
      </c>
      <c r="K109" s="191">
        <f ca="1">'Cash Flow'!J36</f>
        <v>-63272.848979591829</v>
      </c>
      <c r="L109" s="191">
        <f ca="1">'Cash Flow'!K36</f>
        <v>-72311.827405247808</v>
      </c>
      <c r="M109" s="191">
        <f ca="1">'Cash Flow'!L36</f>
        <v>-82642.088463140361</v>
      </c>
      <c r="N109" s="191">
        <f ca="1">'Cash Flow'!M36</f>
        <v>-94448.101100731845</v>
      </c>
      <c r="O109" s="191">
        <f ca="1">'Cash Flow'!N36</f>
        <v>-107940.68697226496</v>
      </c>
      <c r="P109" s="191">
        <f ca="1">'Cash Flow'!O36</f>
        <v>-123360.78511115996</v>
      </c>
      <c r="Q109" s="191">
        <f ca="1">'Cash Flow'!P36</f>
        <v>-121126.61155561139</v>
      </c>
      <c r="R109" s="191">
        <f ca="1">'Cash Flow'!Q36</f>
        <v>-123021.30708396403</v>
      </c>
      <c r="S109" s="191">
        <f ca="1">'Cash Flow'!R36</f>
        <v>-131556.80109887433</v>
      </c>
      <c r="T109" s="191">
        <f ca="1">'Cash Flow'!S36</f>
        <v>-140020.3687693924</v>
      </c>
      <c r="U109" s="191">
        <f ca="1">'Cash Flow'!T36</f>
        <v>-120210.66595599982</v>
      </c>
      <c r="V109" s="191">
        <f ca="1">'Cash Flow'!U36</f>
        <v>-123891.03236389525</v>
      </c>
      <c r="W109" s="191">
        <f ca="1">'Cash Flow'!V36</f>
        <v>-126169.65313412815</v>
      </c>
      <c r="X109" s="191">
        <f ca="1">'Cash Flow'!W36</f>
        <v>-126570.9199945522</v>
      </c>
      <c r="Y109" s="191">
        <f ca="1">'Cash Flow'!X36</f>
        <v>-127348.67834297231</v>
      </c>
      <c r="Z109" s="191">
        <f ca="1">'Cash Flow'!Y36</f>
        <v>-127966.87423711634</v>
      </c>
      <c r="AA109" s="191">
        <f ca="1">'Cash Flow'!Z36</f>
        <v>-127454.02754257948</v>
      </c>
      <c r="AB109" s="191">
        <f ca="1">'Cash Flow'!AA36</f>
        <v>-125658.83593874906</v>
      </c>
      <c r="AC109" s="193"/>
    </row>
    <row r="110" spans="2:29" ht="13.8" thickBot="1">
      <c r="B110" s="190" t="s">
        <v>56</v>
      </c>
      <c r="C110" s="191"/>
      <c r="D110" s="191"/>
      <c r="E110" s="191"/>
      <c r="F110" s="192"/>
      <c r="G110" s="191">
        <f>'Cash Flow'!G37</f>
        <v>0</v>
      </c>
      <c r="H110" s="191">
        <f>'Cash Flow'!G37</f>
        <v>0</v>
      </c>
      <c r="I110" s="191">
        <f>'Cash Flow'!H37</f>
        <v>0</v>
      </c>
      <c r="J110" s="191">
        <f>'Cash Flow'!I37</f>
        <v>0</v>
      </c>
      <c r="K110" s="191">
        <f>'Cash Flow'!J37</f>
        <v>0</v>
      </c>
      <c r="L110" s="191">
        <f>'Cash Flow'!K37</f>
        <v>0</v>
      </c>
      <c r="M110" s="191">
        <f>'Cash Flow'!L37</f>
        <v>0</v>
      </c>
      <c r="N110" s="191">
        <f>'Cash Flow'!M37</f>
        <v>0</v>
      </c>
      <c r="O110" s="191">
        <f>'Cash Flow'!N37</f>
        <v>0</v>
      </c>
      <c r="P110" s="191">
        <f>'Cash Flow'!O37</f>
        <v>0</v>
      </c>
      <c r="Q110" s="191">
        <f>'Cash Flow'!P37</f>
        <v>0</v>
      </c>
      <c r="R110" s="191">
        <f>'Cash Flow'!Q37</f>
        <v>0</v>
      </c>
      <c r="S110" s="191">
        <f>'Cash Flow'!R37</f>
        <v>0</v>
      </c>
      <c r="T110" s="191">
        <f>'Cash Flow'!S37</f>
        <v>0</v>
      </c>
      <c r="U110" s="191">
        <f>'Cash Flow'!T37</f>
        <v>0</v>
      </c>
      <c r="V110" s="191">
        <f>'Cash Flow'!U37</f>
        <v>0</v>
      </c>
      <c r="W110" s="191">
        <f>'Cash Flow'!V37</f>
        <v>0</v>
      </c>
      <c r="X110" s="191">
        <f>'Cash Flow'!W37</f>
        <v>0</v>
      </c>
      <c r="Y110" s="191">
        <f>'Cash Flow'!X37</f>
        <v>0</v>
      </c>
      <c r="Z110" s="191">
        <f>'Cash Flow'!Y37</f>
        <v>0</v>
      </c>
      <c r="AA110" s="191">
        <f>'Cash Flow'!Z37</f>
        <v>0</v>
      </c>
      <c r="AB110" s="191">
        <f>'Cash Flow'!AA37</f>
        <v>0</v>
      </c>
      <c r="AC110" s="193"/>
    </row>
    <row r="111" spans="2:29" ht="13.8" thickBot="1">
      <c r="B111" s="190" t="s">
        <v>40</v>
      </c>
      <c r="C111" s="191"/>
      <c r="D111" s="191"/>
      <c r="E111" s="191"/>
      <c r="F111" s="192"/>
      <c r="G111" s="191">
        <f>'Cash Flow'!G38</f>
        <v>0</v>
      </c>
      <c r="H111" s="191">
        <f>'Cash Flow'!G38</f>
        <v>0</v>
      </c>
      <c r="I111" s="191">
        <f>'Cash Flow'!H38</f>
        <v>0</v>
      </c>
      <c r="J111" s="191">
        <f>'Cash Flow'!I38</f>
        <v>0</v>
      </c>
      <c r="K111" s="191">
        <f>'Cash Flow'!J38</f>
        <v>0</v>
      </c>
      <c r="L111" s="191">
        <f>'Cash Flow'!K38</f>
        <v>0</v>
      </c>
      <c r="M111" s="191">
        <f>'Cash Flow'!L38</f>
        <v>0</v>
      </c>
      <c r="N111" s="191">
        <f>'Cash Flow'!M38</f>
        <v>0</v>
      </c>
      <c r="O111" s="191">
        <f>'Cash Flow'!N38</f>
        <v>0</v>
      </c>
      <c r="P111" s="191">
        <f>'Cash Flow'!O38</f>
        <v>0</v>
      </c>
      <c r="Q111" s="191">
        <f>'Cash Flow'!P38</f>
        <v>0</v>
      </c>
      <c r="R111" s="191">
        <f>'Cash Flow'!Q38</f>
        <v>0</v>
      </c>
      <c r="S111" s="191">
        <f>'Cash Flow'!R38</f>
        <v>0</v>
      </c>
      <c r="T111" s="191">
        <f>'Cash Flow'!S38</f>
        <v>0</v>
      </c>
      <c r="U111" s="191">
        <f>'Cash Flow'!T38</f>
        <v>0</v>
      </c>
      <c r="V111" s="191">
        <f>'Cash Flow'!U38</f>
        <v>0</v>
      </c>
      <c r="W111" s="191">
        <f>'Cash Flow'!V38</f>
        <v>0</v>
      </c>
      <c r="X111" s="191">
        <f>'Cash Flow'!W38</f>
        <v>0</v>
      </c>
      <c r="Y111" s="191">
        <f>'Cash Flow'!X38</f>
        <v>0</v>
      </c>
      <c r="Z111" s="191">
        <f>'Cash Flow'!Y38</f>
        <v>0</v>
      </c>
      <c r="AA111" s="191">
        <f>'Cash Flow'!Z38</f>
        <v>0</v>
      </c>
      <c r="AB111" s="191">
        <f>'Cash Flow'!AA38</f>
        <v>0</v>
      </c>
      <c r="AC111" s="193"/>
    </row>
    <row r="112" spans="2:29" ht="13.8" thickBot="1">
      <c r="B112" s="190" t="s">
        <v>61</v>
      </c>
      <c r="C112" s="191"/>
      <c r="D112" s="191"/>
      <c r="E112" s="191"/>
      <c r="F112" s="192"/>
      <c r="G112" s="191">
        <f>'Cash Flow'!G39</f>
        <v>0</v>
      </c>
      <c r="H112" s="191">
        <f>'Cash Flow'!G39</f>
        <v>0</v>
      </c>
      <c r="I112" s="191">
        <f>'Cash Flow'!H39</f>
        <v>0</v>
      </c>
      <c r="J112" s="191">
        <f>'Cash Flow'!I39</f>
        <v>0</v>
      </c>
      <c r="K112" s="191">
        <f>'Cash Flow'!J39</f>
        <v>0</v>
      </c>
      <c r="L112" s="191">
        <f>'Cash Flow'!K39</f>
        <v>0</v>
      </c>
      <c r="M112" s="191">
        <f>'Cash Flow'!L39</f>
        <v>0</v>
      </c>
      <c r="N112" s="191">
        <f>'Cash Flow'!M39</f>
        <v>0</v>
      </c>
      <c r="O112" s="191">
        <f>'Cash Flow'!N39</f>
        <v>0</v>
      </c>
      <c r="P112" s="191">
        <f>'Cash Flow'!O39</f>
        <v>0</v>
      </c>
      <c r="Q112" s="191">
        <f>'Cash Flow'!P39</f>
        <v>0</v>
      </c>
      <c r="R112" s="191">
        <f>'Cash Flow'!Q39</f>
        <v>0</v>
      </c>
      <c r="S112" s="191">
        <f>'Cash Flow'!R39</f>
        <v>0</v>
      </c>
      <c r="T112" s="191">
        <f>'Cash Flow'!S39</f>
        <v>0</v>
      </c>
      <c r="U112" s="191">
        <f>'Cash Flow'!T39</f>
        <v>0</v>
      </c>
      <c r="V112" s="191">
        <f>'Cash Flow'!U39</f>
        <v>0</v>
      </c>
      <c r="W112" s="191">
        <f>'Cash Flow'!V39</f>
        <v>0</v>
      </c>
      <c r="X112" s="191">
        <f>'Cash Flow'!W39</f>
        <v>0</v>
      </c>
      <c r="Y112" s="191">
        <f>'Cash Flow'!X39</f>
        <v>0</v>
      </c>
      <c r="Z112" s="191">
        <f>'Cash Flow'!Y39</f>
        <v>0</v>
      </c>
      <c r="AA112" s="191">
        <f>'Cash Flow'!Z39</f>
        <v>0</v>
      </c>
      <c r="AB112" s="191">
        <f>'Cash Flow'!AA39</f>
        <v>0</v>
      </c>
      <c r="AC112" s="193"/>
    </row>
    <row r="113" spans="2:29" ht="13.8" thickBot="1">
      <c r="B113" s="182" t="s">
        <v>97</v>
      </c>
      <c r="C113" s="183"/>
      <c r="D113" s="183"/>
      <c r="E113" s="183"/>
      <c r="F113" s="188"/>
      <c r="G113" s="183">
        <f>'Cash Flow'!G34</f>
        <v>0</v>
      </c>
      <c r="H113" s="183">
        <f>'Cash Flow'!G34</f>
        <v>0</v>
      </c>
      <c r="I113" s="183">
        <f>'Cash Flow'!H34</f>
        <v>-139000</v>
      </c>
      <c r="J113" s="183">
        <f ca="1">'Cash Flow'!I34</f>
        <v>-107863.74285714285</v>
      </c>
      <c r="K113" s="183">
        <f ca="1">'Cash Flow'!J34</f>
        <v>-63272.848979591829</v>
      </c>
      <c r="L113" s="183">
        <f ca="1">'Cash Flow'!K34</f>
        <v>-72311.827405247808</v>
      </c>
      <c r="M113" s="183">
        <f ca="1">'Cash Flow'!L34</f>
        <v>-82642.088463140361</v>
      </c>
      <c r="N113" s="183">
        <f ca="1">'Cash Flow'!M34</f>
        <v>-94448.101100731845</v>
      </c>
      <c r="O113" s="183">
        <f ca="1">'Cash Flow'!N34</f>
        <v>-107940.68697226496</v>
      </c>
      <c r="P113" s="183">
        <f ca="1">'Cash Flow'!O34</f>
        <v>-123360.78511115996</v>
      </c>
      <c r="Q113" s="183">
        <f ca="1">'Cash Flow'!P34</f>
        <v>-121126.61155561139</v>
      </c>
      <c r="R113" s="183">
        <f ca="1">'Cash Flow'!Q34</f>
        <v>-123021.30708396403</v>
      </c>
      <c r="S113" s="183">
        <f ca="1">'Cash Flow'!R34</f>
        <v>-131556.80109887433</v>
      </c>
      <c r="T113" s="183">
        <f ca="1">'Cash Flow'!S34</f>
        <v>-140020.3687693924</v>
      </c>
      <c r="U113" s="183">
        <f ca="1">'Cash Flow'!T34</f>
        <v>-120210.66595599982</v>
      </c>
      <c r="V113" s="183">
        <f ca="1">'Cash Flow'!U34</f>
        <v>-123891.03236389525</v>
      </c>
      <c r="W113" s="183">
        <f ca="1">'Cash Flow'!V34</f>
        <v>-126169.65313412815</v>
      </c>
      <c r="X113" s="183">
        <f ca="1">'Cash Flow'!W34</f>
        <v>-126570.9199945522</v>
      </c>
      <c r="Y113" s="183">
        <f ca="1">'Cash Flow'!X34</f>
        <v>-127348.67834297231</v>
      </c>
      <c r="Z113" s="183">
        <f ca="1">'Cash Flow'!Y34</f>
        <v>-127966.87423711634</v>
      </c>
      <c r="AA113" s="183">
        <f ca="1">'Cash Flow'!Z34</f>
        <v>-127454.02754257948</v>
      </c>
      <c r="AB113" s="183">
        <f ca="1">'Cash Flow'!AA34</f>
        <v>-125658.83593874906</v>
      </c>
    </row>
    <row r="114" spans="2:29" ht="13.8" thickBot="1">
      <c r="B114" s="448" t="s">
        <v>64</v>
      </c>
      <c r="C114" s="183"/>
      <c r="D114" s="183"/>
      <c r="E114" s="183"/>
      <c r="F114" s="188"/>
      <c r="G114" s="183"/>
      <c r="H114" s="183"/>
      <c r="I114" s="183">
        <f ca="1">'Cash Flow'!H41</f>
        <v>-96915.490320196579</v>
      </c>
      <c r="J114" s="183">
        <f ca="1">'Cash Flow'!I41</f>
        <v>-44371.861616540991</v>
      </c>
      <c r="K114" s="183">
        <f ca="1">'Cash Flow'!J41</f>
        <v>33111.551987873769</v>
      </c>
      <c r="L114" s="183">
        <f ca="1">'Cash Flow'!K41</f>
        <v>26846.865713759616</v>
      </c>
      <c r="M114" s="183">
        <f ca="1">'Cash Flow'!L41</f>
        <v>-2608.1272421710164</v>
      </c>
      <c r="N114" s="183">
        <f ca="1">'Cash Flow'!M41</f>
        <v>-9084.4365152481478</v>
      </c>
      <c r="O114" s="183">
        <f ca="1">'Cash Flow'!N41</f>
        <v>-14415.764599071263</v>
      </c>
      <c r="P114" s="183">
        <f ca="1">'Cash Flow'!O41</f>
        <v>46749.362866980111</v>
      </c>
      <c r="Q114" s="183">
        <f ca="1">'Cash Flow'!P41</f>
        <v>23229.938922863395</v>
      </c>
      <c r="R114" s="183">
        <f ca="1">'Cash Flow'!Q41</f>
        <v>47575.029415975325</v>
      </c>
      <c r="S114" s="183">
        <f ca="1">'Cash Flow'!R41</f>
        <v>47160.667478344345</v>
      </c>
      <c r="T114" s="183" t="e">
        <f ca="1">'Cash Flow'!S41</f>
        <v>#VALUE!</v>
      </c>
      <c r="U114" s="183" t="e">
        <f ca="1">'Cash Flow'!T41</f>
        <v>#VALUE!</v>
      </c>
      <c r="V114" s="183" t="e">
        <f ca="1">'Cash Flow'!U41</f>
        <v>#VALUE!</v>
      </c>
      <c r="W114" s="183" t="e">
        <f ca="1">'Cash Flow'!V41</f>
        <v>#VALUE!</v>
      </c>
      <c r="X114" s="183" t="e">
        <f ca="1">'Cash Flow'!W41</f>
        <v>#VALUE!</v>
      </c>
      <c r="Y114" s="183" t="e">
        <f ca="1">'Cash Flow'!X41</f>
        <v>#VALUE!</v>
      </c>
      <c r="Z114" s="183" t="e">
        <f ca="1">'Cash Flow'!Y41</f>
        <v>#VALUE!</v>
      </c>
      <c r="AA114" s="183" t="e">
        <f ca="1">'Cash Flow'!Z41</f>
        <v>#VALUE!</v>
      </c>
      <c r="AB114" s="183" t="e">
        <f ca="1">'Cash Flow'!AA41</f>
        <v>#VALUE!</v>
      </c>
    </row>
    <row r="115" spans="2:29" ht="13.8" thickBot="1">
      <c r="B115" s="190" t="s">
        <v>65</v>
      </c>
      <c r="C115" s="191"/>
      <c r="D115" s="191"/>
      <c r="E115" s="191"/>
      <c r="F115" s="192"/>
      <c r="G115" s="191">
        <f>'Cash Flow'!G45</f>
        <v>0</v>
      </c>
      <c r="H115" s="191">
        <f>'Cash Flow'!G45</f>
        <v>0</v>
      </c>
      <c r="I115" s="191">
        <f>'Cash Flow'!H45</f>
        <v>0</v>
      </c>
      <c r="J115" s="191">
        <f ca="1">'Cash Flow'!I45</f>
        <v>0</v>
      </c>
      <c r="K115" s="191">
        <f ca="1">'Cash Flow'!J45</f>
        <v>0</v>
      </c>
      <c r="L115" s="191">
        <f ca="1">'Cash Flow'!K45</f>
        <v>0</v>
      </c>
      <c r="M115" s="191">
        <f ca="1">'Cash Flow'!L45</f>
        <v>0</v>
      </c>
      <c r="N115" s="191">
        <f ca="1">'Cash Flow'!M45</f>
        <v>0</v>
      </c>
      <c r="O115" s="191">
        <f ca="1">'Cash Flow'!N45</f>
        <v>0</v>
      </c>
      <c r="P115" s="191">
        <f ca="1">'Cash Flow'!O45</f>
        <v>0</v>
      </c>
      <c r="Q115" s="191">
        <f ca="1">'Cash Flow'!P45</f>
        <v>0</v>
      </c>
      <c r="R115" s="191">
        <f ca="1">'Cash Flow'!Q45</f>
        <v>0</v>
      </c>
      <c r="S115" s="191">
        <f ca="1">'Cash Flow'!R45</f>
        <v>0</v>
      </c>
      <c r="T115" s="191">
        <f ca="1">'Cash Flow'!S45</f>
        <v>0</v>
      </c>
      <c r="U115" s="191" t="e">
        <f ca="1">'Cash Flow'!T45</f>
        <v>#VALUE!</v>
      </c>
      <c r="V115" s="191" t="e">
        <f ca="1">'Cash Flow'!U45</f>
        <v>#VALUE!</v>
      </c>
      <c r="W115" s="191" t="e">
        <f ca="1">'Cash Flow'!V45</f>
        <v>#VALUE!</v>
      </c>
      <c r="X115" s="191" t="e">
        <f ca="1">'Cash Flow'!W45</f>
        <v>#VALUE!</v>
      </c>
      <c r="Y115" s="191" t="e">
        <f ca="1">'Cash Flow'!X45</f>
        <v>#VALUE!</v>
      </c>
      <c r="Z115" s="191" t="e">
        <f ca="1">'Cash Flow'!Y45</f>
        <v>#VALUE!</v>
      </c>
      <c r="AA115" s="191" t="e">
        <f ca="1">'Cash Flow'!Z45</f>
        <v>#VALUE!</v>
      </c>
      <c r="AB115" s="191" t="e">
        <f ca="1">'Cash Flow'!AA45</f>
        <v>#VALUE!</v>
      </c>
      <c r="AC115" s="193"/>
    </row>
    <row r="116" spans="2:29" ht="13.8" thickBot="1">
      <c r="B116" s="190" t="s">
        <v>241</v>
      </c>
      <c r="C116" s="191"/>
      <c r="D116" s="191"/>
      <c r="E116" s="191"/>
      <c r="F116" s="192"/>
      <c r="G116" s="191">
        <f>'Cash Flow'!G46</f>
        <v>0</v>
      </c>
      <c r="H116" s="191">
        <f>'Cash Flow'!G46</f>
        <v>0</v>
      </c>
      <c r="I116" s="191">
        <f>'Cash Flow'!H46</f>
        <v>0</v>
      </c>
      <c r="J116" s="191">
        <f>'Cash Flow'!I46</f>
        <v>0</v>
      </c>
      <c r="K116" s="191">
        <f>'Cash Flow'!J46</f>
        <v>0</v>
      </c>
      <c r="L116" s="191">
        <f>'Cash Flow'!K46</f>
        <v>0</v>
      </c>
      <c r="M116" s="191">
        <f>'Cash Flow'!L46</f>
        <v>0</v>
      </c>
      <c r="N116" s="191">
        <f>'Cash Flow'!M46</f>
        <v>0</v>
      </c>
      <c r="O116" s="191">
        <f>'Cash Flow'!N46</f>
        <v>0</v>
      </c>
      <c r="P116" s="191">
        <f>'Cash Flow'!O46</f>
        <v>0</v>
      </c>
      <c r="Q116" s="191">
        <f>'Cash Flow'!P46</f>
        <v>0</v>
      </c>
      <c r="R116" s="191">
        <f>'Cash Flow'!Q46</f>
        <v>0</v>
      </c>
      <c r="S116" s="191">
        <f>'Cash Flow'!R46</f>
        <v>0</v>
      </c>
      <c r="T116" s="191">
        <f>'Cash Flow'!S46</f>
        <v>0</v>
      </c>
      <c r="U116" s="191">
        <f>'Cash Flow'!T46</f>
        <v>0</v>
      </c>
      <c r="V116" s="191">
        <f>'Cash Flow'!U46</f>
        <v>0</v>
      </c>
      <c r="W116" s="191">
        <f>'Cash Flow'!V46</f>
        <v>0</v>
      </c>
      <c r="X116" s="191">
        <f>'Cash Flow'!W46</f>
        <v>0</v>
      </c>
      <c r="Y116" s="191">
        <f>'Cash Flow'!X46</f>
        <v>0</v>
      </c>
      <c r="Z116" s="191">
        <f>'Cash Flow'!Y46</f>
        <v>0</v>
      </c>
      <c r="AA116" s="191">
        <f>'Cash Flow'!Z46</f>
        <v>0</v>
      </c>
      <c r="AB116" s="191">
        <f>'Cash Flow'!AA46</f>
        <v>0</v>
      </c>
      <c r="AC116" s="193"/>
    </row>
    <row r="117" spans="2:29" ht="13.8" thickBot="1">
      <c r="B117" s="190" t="s">
        <v>121</v>
      </c>
      <c r="C117" s="191"/>
      <c r="D117" s="191"/>
      <c r="E117" s="191"/>
      <c r="F117" s="192"/>
      <c r="G117" s="191">
        <f>G20</f>
        <v>0</v>
      </c>
      <c r="H117" s="191">
        <f t="shared" ref="H117:AB117" si="70">H20</f>
        <v>0</v>
      </c>
      <c r="I117" s="191">
        <f t="shared" ca="1" si="70"/>
        <v>0</v>
      </c>
      <c r="J117" s="191">
        <f t="shared" ca="1" si="70"/>
        <v>0</v>
      </c>
      <c r="K117" s="191">
        <f t="shared" ca="1" si="70"/>
        <v>0</v>
      </c>
      <c r="L117" s="191">
        <f t="shared" ca="1" si="70"/>
        <v>51880.55333131412</v>
      </c>
      <c r="M117" s="191">
        <f t="shared" ca="1" si="70"/>
        <v>154768.36630831781</v>
      </c>
      <c r="N117" s="191">
        <f t="shared" ca="1" si="70"/>
        <v>262913.99171779654</v>
      </c>
      <c r="O117" s="191">
        <f t="shared" ca="1" si="70"/>
        <v>372358.17939326738</v>
      </c>
      <c r="P117" s="191">
        <f t="shared" ca="1" si="70"/>
        <v>325981.37606938335</v>
      </c>
      <c r="Q117" s="191">
        <f t="shared" ca="1" si="70"/>
        <v>309686.21948148694</v>
      </c>
      <c r="R117" s="191">
        <f t="shared" ca="1" si="70"/>
        <v>272558.32477486163</v>
      </c>
      <c r="S117" s="191">
        <f t="shared" ca="1" si="70"/>
        <v>218464.44092936045</v>
      </c>
      <c r="T117" s="191" t="e">
        <f t="shared" ca="1" si="70"/>
        <v>#VALUE!</v>
      </c>
      <c r="U117" s="191" t="e">
        <f t="shared" ca="1" si="70"/>
        <v>#VALUE!</v>
      </c>
      <c r="V117" s="191" t="e">
        <f t="shared" ca="1" si="70"/>
        <v>#VALUE!</v>
      </c>
      <c r="W117" s="191" t="e">
        <f t="shared" ca="1" si="70"/>
        <v>#VALUE!</v>
      </c>
      <c r="X117" s="191" t="e">
        <f t="shared" ca="1" si="70"/>
        <v>#VALUE!</v>
      </c>
      <c r="Y117" s="191" t="e">
        <f t="shared" ca="1" si="70"/>
        <v>#VALUE!</v>
      </c>
      <c r="Z117" s="191" t="e">
        <f t="shared" ca="1" si="70"/>
        <v>#VALUE!</v>
      </c>
      <c r="AA117" s="191" t="e">
        <f t="shared" ca="1" si="70"/>
        <v>#VALUE!</v>
      </c>
      <c r="AB117" s="191" t="e">
        <f t="shared" ca="1" si="70"/>
        <v>#VALUE!</v>
      </c>
      <c r="AC117" s="193"/>
    </row>
    <row r="118" spans="2:29" ht="13.8" thickBot="1">
      <c r="B118" s="190" t="s">
        <v>92</v>
      </c>
      <c r="C118" s="191"/>
      <c r="D118" s="191"/>
      <c r="E118" s="191"/>
      <c r="F118" s="192"/>
      <c r="G118" s="191">
        <f>'Cash Flow'!G49</f>
        <v>0</v>
      </c>
      <c r="H118" s="191">
        <f>'Cash Flow'!G49</f>
        <v>0</v>
      </c>
      <c r="I118" s="191">
        <f>'Cash Flow'!H49</f>
        <v>0</v>
      </c>
      <c r="J118" s="191">
        <f>'Cash Flow'!I49</f>
        <v>0</v>
      </c>
      <c r="K118" s="191">
        <f>'Cash Flow'!J49</f>
        <v>0</v>
      </c>
      <c r="L118" s="191">
        <f>'Cash Flow'!K49</f>
        <v>0</v>
      </c>
      <c r="M118" s="191">
        <f>'Cash Flow'!L49</f>
        <v>0</v>
      </c>
      <c r="N118" s="191">
        <f>'Cash Flow'!M49</f>
        <v>0</v>
      </c>
      <c r="O118" s="191">
        <f>'Cash Flow'!N49</f>
        <v>0</v>
      </c>
      <c r="P118" s="191">
        <f>'Cash Flow'!O49</f>
        <v>0</v>
      </c>
      <c r="Q118" s="191">
        <f>'Cash Flow'!P49</f>
        <v>0</v>
      </c>
      <c r="R118" s="191">
        <f>'Cash Flow'!Q49</f>
        <v>0</v>
      </c>
      <c r="S118" s="191">
        <f>'Cash Flow'!R49</f>
        <v>0</v>
      </c>
      <c r="T118" s="191">
        <f>'Cash Flow'!S49</f>
        <v>0</v>
      </c>
      <c r="U118" s="191">
        <f>'Cash Flow'!T49</f>
        <v>0</v>
      </c>
      <c r="V118" s="191">
        <f>'Cash Flow'!U49</f>
        <v>0</v>
      </c>
      <c r="W118" s="191">
        <f>'Cash Flow'!V49</f>
        <v>0</v>
      </c>
      <c r="X118" s="191">
        <f>'Cash Flow'!W49</f>
        <v>0</v>
      </c>
      <c r="Y118" s="191">
        <f>'Cash Flow'!X49</f>
        <v>0</v>
      </c>
      <c r="Z118" s="191">
        <f>'Cash Flow'!Y49</f>
        <v>0</v>
      </c>
      <c r="AA118" s="191">
        <f>'Cash Flow'!Z49</f>
        <v>0</v>
      </c>
      <c r="AB118" s="191">
        <f>'Cash Flow'!AA49</f>
        <v>0</v>
      </c>
      <c r="AC118" s="193"/>
    </row>
    <row r="119" spans="2:29" ht="13.8" thickBot="1">
      <c r="B119" s="190" t="s">
        <v>69</v>
      </c>
      <c r="C119" s="191"/>
      <c r="D119" s="191"/>
      <c r="E119" s="191"/>
      <c r="F119" s="192"/>
      <c r="G119" s="191">
        <f>'Cash Flow'!G51</f>
        <v>0</v>
      </c>
      <c r="H119" s="191">
        <f>'Cash Flow'!G51</f>
        <v>0</v>
      </c>
      <c r="I119" s="191">
        <f>'Cash Flow'!H51</f>
        <v>95360</v>
      </c>
      <c r="J119" s="191">
        <f ca="1">'Cash Flow'!I51</f>
        <v>132359.12285714285</v>
      </c>
      <c r="K119" s="191">
        <f ca="1">'Cash Flow'!J51</f>
        <v>31636.424489795914</v>
      </c>
      <c r="L119" s="191">
        <f ca="1">'Cash Flow'!K51</f>
        <v>36155.913702623904</v>
      </c>
      <c r="M119" s="191">
        <f ca="1">'Cash Flow'!L51</f>
        <v>41321.04423157018</v>
      </c>
      <c r="N119" s="191">
        <f ca="1">'Cash Flow'!M51</f>
        <v>47224.050550365922</v>
      </c>
      <c r="O119" s="191">
        <f ca="1">'Cash Flow'!N51</f>
        <v>53970.343486132479</v>
      </c>
      <c r="P119" s="191">
        <f ca="1">'Cash Flow'!O51</f>
        <v>61680.39255557998</v>
      </c>
      <c r="Q119" s="191">
        <f ca="1">'Cash Flow'!P51</f>
        <v>60563.305777805697</v>
      </c>
      <c r="R119" s="191">
        <f ca="1">'Cash Flow'!Q51</f>
        <v>61510.653541982014</v>
      </c>
      <c r="S119" s="191">
        <f ca="1">'Cash Flow'!R51</f>
        <v>65778.400549437167</v>
      </c>
      <c r="T119" s="191">
        <f ca="1">'Cash Flow'!S51</f>
        <v>70010.1843846962</v>
      </c>
      <c r="U119" s="191">
        <f ca="1">'Cash Flow'!T51</f>
        <v>60105.332977999911</v>
      </c>
      <c r="V119" s="191">
        <f ca="1">'Cash Flow'!U51</f>
        <v>61945.516181947627</v>
      </c>
      <c r="W119" s="191">
        <f ca="1">'Cash Flow'!V51</f>
        <v>63084.826567064076</v>
      </c>
      <c r="X119" s="191">
        <f ca="1">'Cash Flow'!W51</f>
        <v>63285.459997276099</v>
      </c>
      <c r="Y119" s="191">
        <f ca="1">'Cash Flow'!X51</f>
        <v>63674.339171486157</v>
      </c>
      <c r="Z119" s="191">
        <f ca="1">'Cash Flow'!Y51</f>
        <v>63983.437118558169</v>
      </c>
      <c r="AA119" s="191">
        <f ca="1">'Cash Flow'!Z51</f>
        <v>63727.013771289741</v>
      </c>
      <c r="AB119" s="191">
        <f ca="1">'Cash Flow'!AA51</f>
        <v>62829.417969374532</v>
      </c>
      <c r="AC119" s="193"/>
    </row>
    <row r="120" spans="2:29" ht="13.8" thickBot="1">
      <c r="B120" s="190" t="s">
        <v>66</v>
      </c>
      <c r="C120" s="191"/>
      <c r="D120" s="191"/>
      <c r="E120" s="191"/>
      <c r="F120" s="192"/>
      <c r="G120" s="191">
        <f>'Cash Flow'!G52</f>
        <v>0</v>
      </c>
      <c r="H120" s="191">
        <f>'Cash Flow'!G52</f>
        <v>0</v>
      </c>
      <c r="I120" s="191">
        <f>'Cash Flow'!H52</f>
        <v>-53291</v>
      </c>
      <c r="J120" s="191">
        <f ca="1">'Cash Flow'!I52</f>
        <v>-48163.912285714287</v>
      </c>
      <c r="K120" s="191">
        <f ca="1">'Cash Flow'!J52</f>
        <v>-87412.467020408163</v>
      </c>
      <c r="L120" s="191">
        <f ca="1">'Cash Flow'!K52</f>
        <v>-141041.70083965015</v>
      </c>
      <c r="M120" s="191">
        <f ca="1">'Cash Flow'!L52</f>
        <v>-176494.28329771699</v>
      </c>
      <c r="N120" s="191">
        <f ca="1">'Cash Flow'!M52</f>
        <v>-284066.60575291433</v>
      </c>
      <c r="O120" s="191">
        <f ca="1">'Cash Flow'!N52</f>
        <v>-394925.75828032859</v>
      </c>
      <c r="P120" s="191">
        <f ca="1">'Cash Flow'!O52</f>
        <v>-417424.13149194344</v>
      </c>
      <c r="Q120" s="191">
        <f ca="1">'Cash Flow'!P52</f>
        <v>-376492.46418215602</v>
      </c>
      <c r="R120" s="191">
        <f ca="1">'Cash Flow'!Q52</f>
        <v>-364657.00773281895</v>
      </c>
      <c r="S120" s="191">
        <f ca="1">'Cash Flow'!R52</f>
        <v>-331403.50895714195</v>
      </c>
      <c r="T120" s="191">
        <f ca="1">'Cash Flow'!S52</f>
        <v>-280769.04420140432</v>
      </c>
      <c r="U120" s="191" t="e">
        <f ca="1">'Cash Flow'!T52</f>
        <v>#VALUE!</v>
      </c>
      <c r="V120" s="191" t="e">
        <f ca="1">'Cash Flow'!U52</f>
        <v>#VALUE!</v>
      </c>
      <c r="W120" s="191" t="e">
        <f ca="1">'Cash Flow'!V52</f>
        <v>#VALUE!</v>
      </c>
      <c r="X120" s="191" t="e">
        <f ca="1">'Cash Flow'!W52</f>
        <v>#VALUE!</v>
      </c>
      <c r="Y120" s="191" t="e">
        <f ca="1">'Cash Flow'!X52</f>
        <v>#VALUE!</v>
      </c>
      <c r="Z120" s="191" t="e">
        <f ca="1">'Cash Flow'!Y52</f>
        <v>#VALUE!</v>
      </c>
      <c r="AA120" s="191" t="e">
        <f ca="1">'Cash Flow'!Z52</f>
        <v>#VALUE!</v>
      </c>
      <c r="AB120" s="191" t="e">
        <f ca="1">'Cash Flow'!AA52</f>
        <v>#VALUE!</v>
      </c>
      <c r="AC120" s="193"/>
    </row>
    <row r="121" spans="2:29" ht="13.8" thickBot="1">
      <c r="B121" s="190" t="s">
        <v>120</v>
      </c>
      <c r="C121" s="191"/>
      <c r="D121" s="191"/>
      <c r="E121" s="191"/>
      <c r="F121" s="192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3"/>
    </row>
    <row r="122" spans="2:29" ht="13.8" thickBot="1">
      <c r="B122" s="182" t="s">
        <v>98</v>
      </c>
      <c r="C122" s="183"/>
      <c r="D122" s="183"/>
      <c r="E122" s="183"/>
      <c r="F122" s="188"/>
      <c r="G122" s="183">
        <f>'Cash Flow'!G43</f>
        <v>0</v>
      </c>
      <c r="H122" s="183">
        <f>'Cash Flow'!G43</f>
        <v>0</v>
      </c>
      <c r="I122" s="183">
        <f>'Cash Flow'!H43</f>
        <v>17873</v>
      </c>
      <c r="J122" s="183">
        <f ca="1">'Cash Flow'!I43</f>
        <v>60793.210571428557</v>
      </c>
      <c r="K122" s="183">
        <f ca="1">'Cash Flow'!J43</f>
        <v>-78382.042530612249</v>
      </c>
      <c r="L122" s="183">
        <f ca="1">'Cash Flow'!K43</f>
        <v>-129321.78713702624</v>
      </c>
      <c r="M122" s="183">
        <f ca="1">'Cash Flow'!L43</f>
        <v>-152160.23906614681</v>
      </c>
      <c r="N122" s="183">
        <f ca="1">'Cash Flow'!M43</f>
        <v>-253829.55520254839</v>
      </c>
      <c r="O122" s="183">
        <f ca="1">'Cash Flow'!N43</f>
        <v>-357942.41479419614</v>
      </c>
      <c r="P122" s="183">
        <f ca="1">'Cash Flow'!O43</f>
        <v>-372730.73893636349</v>
      </c>
      <c r="Q122" s="183">
        <f ca="1">'Cash Flow'!P43</f>
        <v>-332916.15840435034</v>
      </c>
      <c r="R122" s="183">
        <f ca="1">'Cash Flow'!Q43</f>
        <v>-320133.35419083695</v>
      </c>
      <c r="S122" s="183">
        <f ca="1">'Cash Flow'!R43</f>
        <v>-265625.1084077048</v>
      </c>
      <c r="T122" s="183">
        <f ca="1">'Cash Flow'!S43</f>
        <v>-210758.85981670814</v>
      </c>
      <c r="U122" s="183" t="e">
        <f ca="1">'Cash Flow'!T43</f>
        <v>#VALUE!</v>
      </c>
      <c r="V122" s="183" t="e">
        <f ca="1">'Cash Flow'!U43</f>
        <v>#VALUE!</v>
      </c>
      <c r="W122" s="183" t="e">
        <f ca="1">'Cash Flow'!V43</f>
        <v>#VALUE!</v>
      </c>
      <c r="X122" s="183" t="e">
        <f ca="1">'Cash Flow'!W43</f>
        <v>#VALUE!</v>
      </c>
      <c r="Y122" s="183" t="e">
        <f ca="1">'Cash Flow'!X43</f>
        <v>#VALUE!</v>
      </c>
      <c r="Z122" s="183" t="e">
        <f ca="1">'Cash Flow'!Y43</f>
        <v>#VALUE!</v>
      </c>
      <c r="AA122" s="183" t="e">
        <f ca="1">'Cash Flow'!Z43</f>
        <v>#VALUE!</v>
      </c>
      <c r="AB122" s="183" t="e">
        <f ca="1">'Cash Flow'!AA43</f>
        <v>#VALUE!</v>
      </c>
    </row>
    <row r="123" spans="2:29" ht="13.8" thickBot="1">
      <c r="B123" s="194" t="s">
        <v>67</v>
      </c>
      <c r="C123" s="219"/>
      <c r="D123" s="219"/>
      <c r="E123" s="219"/>
      <c r="F123" s="219"/>
      <c r="G123" s="219">
        <f>'Cash Flow'!G56</f>
        <v>0</v>
      </c>
      <c r="H123" s="219">
        <f>'Cash Flow'!G56</f>
        <v>0</v>
      </c>
      <c r="I123" s="219">
        <f ca="1">'Cash Flow'!H56</f>
        <v>-79042.490320196579</v>
      </c>
      <c r="J123" s="219">
        <f ca="1">'Cash Flow'!I56</f>
        <v>16421.348954887566</v>
      </c>
      <c r="K123" s="219">
        <f ca="1">'Cash Flow'!J56</f>
        <v>-45270.49054273848</v>
      </c>
      <c r="L123" s="219">
        <f ca="1">'Cash Flow'!K56</f>
        <v>-102474.92142326663</v>
      </c>
      <c r="M123" s="219">
        <f ca="1">'Cash Flow'!L56</f>
        <v>-154768.36630831781</v>
      </c>
      <c r="N123" s="219">
        <f ca="1">'Cash Flow'!M56</f>
        <v>-262913.99171779654</v>
      </c>
      <c r="O123" s="219">
        <f ca="1">'Cash Flow'!N56</f>
        <v>-372358.17939326738</v>
      </c>
      <c r="P123" s="219">
        <f ca="1">'Cash Flow'!O56</f>
        <v>-325981.37606938335</v>
      </c>
      <c r="Q123" s="219">
        <f ca="1">'Cash Flow'!P56</f>
        <v>-309686.21948148694</v>
      </c>
      <c r="R123" s="219">
        <f ca="1">'Cash Flow'!Q56</f>
        <v>-272558.32477486163</v>
      </c>
      <c r="S123" s="219">
        <f ca="1">'Cash Flow'!R56</f>
        <v>-218464.44092936045</v>
      </c>
      <c r="T123" s="219" t="e">
        <f ca="1">'Cash Flow'!S56</f>
        <v>#VALUE!</v>
      </c>
      <c r="U123" s="219" t="e">
        <f ca="1">'Cash Flow'!T56</f>
        <v>#VALUE!</v>
      </c>
      <c r="V123" s="219" t="e">
        <f ca="1">'Cash Flow'!U56</f>
        <v>#VALUE!</v>
      </c>
      <c r="W123" s="219" t="e">
        <f ca="1">'Cash Flow'!V56</f>
        <v>#VALUE!</v>
      </c>
      <c r="X123" s="219" t="e">
        <f ca="1">'Cash Flow'!W56</f>
        <v>#VALUE!</v>
      </c>
      <c r="Y123" s="219" t="e">
        <f ca="1">'Cash Flow'!X56</f>
        <v>#VALUE!</v>
      </c>
      <c r="Z123" s="219" t="e">
        <f ca="1">'Cash Flow'!Y56</f>
        <v>#VALUE!</v>
      </c>
      <c r="AA123" s="219" t="e">
        <f ca="1">'Cash Flow'!Z56</f>
        <v>#VALUE!</v>
      </c>
      <c r="AB123" s="219" t="e">
        <f ca="1">'Cash Flow'!AA56</f>
        <v>#VALUE!</v>
      </c>
    </row>
    <row r="124" spans="2:29" ht="13.8" thickBot="1">
      <c r="B124" s="190" t="s">
        <v>247</v>
      </c>
      <c r="C124" s="191"/>
      <c r="D124" s="191"/>
      <c r="E124" s="191"/>
      <c r="F124" s="192"/>
      <c r="G124" s="191">
        <f>'Cash Flow'!G58</f>
        <v>0</v>
      </c>
      <c r="H124" s="191">
        <f>'Cash Flow'!G58</f>
        <v>0</v>
      </c>
      <c r="I124" s="191">
        <f>'Cash Flow'!H58</f>
        <v>228486</v>
      </c>
      <c r="J124" s="191">
        <f ca="1">'Cash Flow'!I58</f>
        <v>149443.50967980342</v>
      </c>
      <c r="K124" s="191">
        <f ca="1">'Cash Flow'!J58</f>
        <v>165864.85863469099</v>
      </c>
      <c r="L124" s="191">
        <f ca="1">'Cash Flow'!K58</f>
        <v>120594.36809195251</v>
      </c>
      <c r="M124" s="191">
        <f ca="1">'Cash Flow'!L58</f>
        <v>70000</v>
      </c>
      <c r="N124" s="191">
        <f ca="1">'Cash Flow'!M58</f>
        <v>70000</v>
      </c>
      <c r="O124" s="191">
        <f ca="1">'Cash Flow'!N58</f>
        <v>70000</v>
      </c>
      <c r="P124" s="191">
        <f ca="1">'Cash Flow'!O58</f>
        <v>70000</v>
      </c>
      <c r="Q124" s="191">
        <f ca="1">'Cash Flow'!P58</f>
        <v>70000</v>
      </c>
      <c r="R124" s="191">
        <f ca="1">'Cash Flow'!Q58</f>
        <v>70000</v>
      </c>
      <c r="S124" s="191">
        <f ca="1">'Cash Flow'!R58</f>
        <v>70000</v>
      </c>
      <c r="T124" s="191">
        <f ca="1">'Cash Flow'!S58</f>
        <v>70000</v>
      </c>
      <c r="U124" s="191" t="e">
        <f ca="1">'Cash Flow'!T58</f>
        <v>#VALUE!</v>
      </c>
      <c r="V124" s="191" t="e">
        <f ca="1">'Cash Flow'!U58</f>
        <v>#VALUE!</v>
      </c>
      <c r="W124" s="191" t="e">
        <f ca="1">'Cash Flow'!V58</f>
        <v>#VALUE!</v>
      </c>
      <c r="X124" s="191" t="e">
        <f ca="1">'Cash Flow'!W58</f>
        <v>#VALUE!</v>
      </c>
      <c r="Y124" s="191" t="e">
        <f ca="1">'Cash Flow'!X58</f>
        <v>#VALUE!</v>
      </c>
      <c r="Z124" s="191" t="e">
        <f ca="1">'Cash Flow'!Y58</f>
        <v>#VALUE!</v>
      </c>
      <c r="AA124" s="191" t="e">
        <f ca="1">'Cash Flow'!Z58</f>
        <v>#VALUE!</v>
      </c>
      <c r="AB124" s="191" t="e">
        <f ca="1">'Cash Flow'!AA58</f>
        <v>#VALUE!</v>
      </c>
      <c r="AC124" s="193"/>
    </row>
    <row r="125" spans="2:29" ht="13.8" thickBot="1">
      <c r="B125" s="194" t="s">
        <v>248</v>
      </c>
      <c r="C125" s="219"/>
      <c r="D125" s="219"/>
      <c r="E125" s="219"/>
      <c r="F125" s="219"/>
      <c r="G125" s="219">
        <f>'Cash Flow'!G59</f>
        <v>0</v>
      </c>
      <c r="H125" s="219">
        <f>'Cash Flow'!G59</f>
        <v>0</v>
      </c>
      <c r="I125" s="219">
        <f ca="1">'Cash Flow'!H59</f>
        <v>149443.50967980342</v>
      </c>
      <c r="J125" s="219">
        <f ca="1">'Cash Flow'!I59</f>
        <v>165864.85863469099</v>
      </c>
      <c r="K125" s="219">
        <f ca="1">'Cash Flow'!J59</f>
        <v>120594.36809195251</v>
      </c>
      <c r="L125" s="219">
        <f ca="1">'Cash Flow'!K59</f>
        <v>70000</v>
      </c>
      <c r="M125" s="219">
        <f ca="1">'Cash Flow'!L59</f>
        <v>70000</v>
      </c>
      <c r="N125" s="219">
        <f ca="1">'Cash Flow'!M59</f>
        <v>70000</v>
      </c>
      <c r="O125" s="219">
        <f ca="1">'Cash Flow'!N59</f>
        <v>70000</v>
      </c>
      <c r="P125" s="219">
        <f ca="1">'Cash Flow'!O59</f>
        <v>70000</v>
      </c>
      <c r="Q125" s="219">
        <f ca="1">'Cash Flow'!P59</f>
        <v>70000</v>
      </c>
      <c r="R125" s="219">
        <f ca="1">'Cash Flow'!Q59</f>
        <v>70000</v>
      </c>
      <c r="S125" s="219">
        <f ca="1">'Cash Flow'!R59</f>
        <v>70000</v>
      </c>
      <c r="T125" s="219" t="e">
        <f ca="1">'Cash Flow'!S59</f>
        <v>#VALUE!</v>
      </c>
      <c r="U125" s="219" t="e">
        <f ca="1">'Cash Flow'!T59</f>
        <v>#VALUE!</v>
      </c>
      <c r="V125" s="219" t="e">
        <f ca="1">'Cash Flow'!U59</f>
        <v>#VALUE!</v>
      </c>
      <c r="W125" s="219" t="e">
        <f ca="1">'Cash Flow'!V59</f>
        <v>#VALUE!</v>
      </c>
      <c r="X125" s="219" t="e">
        <f ca="1">'Cash Flow'!W59</f>
        <v>#VALUE!</v>
      </c>
      <c r="Y125" s="219" t="e">
        <f ca="1">'Cash Flow'!X59</f>
        <v>#VALUE!</v>
      </c>
      <c r="Z125" s="219" t="e">
        <f ca="1">'Cash Flow'!Y59</f>
        <v>#VALUE!</v>
      </c>
      <c r="AA125" s="219" t="e">
        <f ca="1">'Cash Flow'!Z59</f>
        <v>#VALUE!</v>
      </c>
      <c r="AB125" s="219" t="e">
        <f ca="1">'Cash Flow'!AA59</f>
        <v>#VALUE!</v>
      </c>
    </row>
    <row r="126" spans="2:29"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</row>
    <row r="128" spans="2:29" ht="16.2" outlineLevel="1" thickBot="1">
      <c r="B128" s="177" t="s">
        <v>133</v>
      </c>
    </row>
    <row r="129" spans="2:28" ht="14.4" outlineLevel="1" thickBot="1">
      <c r="B129" s="396" t="s">
        <v>124</v>
      </c>
      <c r="C129" s="397"/>
      <c r="D129" s="397"/>
      <c r="E129" s="397"/>
      <c r="F129" s="397"/>
      <c r="G129" s="397">
        <f t="shared" ref="G129:AB129" si="71">+G$9</f>
        <v>2010</v>
      </c>
      <c r="H129" s="397">
        <f t="shared" si="71"/>
        <v>2011</v>
      </c>
      <c r="I129" s="397">
        <f t="shared" si="71"/>
        <v>2012</v>
      </c>
      <c r="J129" s="397">
        <f t="shared" si="71"/>
        <v>2013</v>
      </c>
      <c r="K129" s="397">
        <f t="shared" si="71"/>
        <v>2014</v>
      </c>
      <c r="L129" s="397">
        <f t="shared" si="71"/>
        <v>2015</v>
      </c>
      <c r="M129" s="397">
        <f t="shared" si="71"/>
        <v>2016</v>
      </c>
      <c r="N129" s="397">
        <f t="shared" si="71"/>
        <v>2017</v>
      </c>
      <c r="O129" s="397">
        <f t="shared" si="71"/>
        <v>2018</v>
      </c>
      <c r="P129" s="397">
        <f t="shared" si="71"/>
        <v>2019</v>
      </c>
      <c r="Q129" s="397">
        <f t="shared" si="71"/>
        <v>2020</v>
      </c>
      <c r="R129" s="397">
        <f t="shared" si="71"/>
        <v>2021</v>
      </c>
      <c r="S129" s="397">
        <f t="shared" si="71"/>
        <v>2022</v>
      </c>
      <c r="T129" s="397">
        <f t="shared" si="71"/>
        <v>2023</v>
      </c>
      <c r="U129" s="397">
        <f t="shared" si="71"/>
        <v>2024</v>
      </c>
      <c r="V129" s="397">
        <f t="shared" si="71"/>
        <v>2025</v>
      </c>
      <c r="W129" s="397">
        <f t="shared" si="71"/>
        <v>2026</v>
      </c>
      <c r="X129" s="397">
        <f t="shared" si="71"/>
        <v>2027</v>
      </c>
      <c r="Y129" s="397">
        <f t="shared" si="71"/>
        <v>2028</v>
      </c>
      <c r="Z129" s="397">
        <f t="shared" si="71"/>
        <v>2029</v>
      </c>
      <c r="AA129" s="397">
        <f t="shared" si="71"/>
        <v>2030</v>
      </c>
      <c r="AB129" s="397">
        <f t="shared" si="71"/>
        <v>2031</v>
      </c>
    </row>
    <row r="130" spans="2:28" ht="13.8" outlineLevel="1" thickBot="1">
      <c r="B130" s="194" t="e">
        <f>#REF!</f>
        <v>#REF!</v>
      </c>
      <c r="C130" s="201"/>
      <c r="D130" s="201"/>
      <c r="E130" s="201"/>
      <c r="F130" s="201"/>
      <c r="G130" s="201"/>
      <c r="H130" s="201"/>
      <c r="I130" s="201"/>
      <c r="J130" s="201"/>
      <c r="K130" s="201"/>
      <c r="L130" s="201"/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</row>
    <row r="131" spans="2:28" ht="13.8" outlineLevel="1" thickBot="1">
      <c r="B131" s="179" t="s">
        <v>134</v>
      </c>
      <c r="C131" s="163"/>
      <c r="D131" s="163"/>
      <c r="E131" s="163"/>
      <c r="F131" s="163"/>
      <c r="G131" s="163" t="s">
        <v>117</v>
      </c>
      <c r="H131" s="163" t="s">
        <v>117</v>
      </c>
      <c r="I131" s="163" t="s">
        <v>117</v>
      </c>
      <c r="J131" s="206">
        <v>0</v>
      </c>
      <c r="K131" s="206" t="e">
        <f>J135</f>
        <v>#REF!</v>
      </c>
      <c r="L131" s="206" t="e">
        <f>K135</f>
        <v>#REF!</v>
      </c>
      <c r="M131" s="206" t="e">
        <f>L135</f>
        <v>#REF!</v>
      </c>
      <c r="N131" s="206">
        <f>J131</f>
        <v>0</v>
      </c>
      <c r="O131" s="206" t="e">
        <f>M135</f>
        <v>#REF!</v>
      </c>
      <c r="P131" s="206" t="e">
        <f>O135</f>
        <v>#REF!</v>
      </c>
      <c r="Q131" s="206" t="e">
        <f>P135</f>
        <v>#REF!</v>
      </c>
      <c r="R131" s="206" t="e">
        <f>Q135</f>
        <v>#REF!</v>
      </c>
      <c r="S131" s="206" t="e">
        <f>O131</f>
        <v>#REF!</v>
      </c>
      <c r="T131" s="206" t="e">
        <f>R135</f>
        <v>#REF!</v>
      </c>
      <c r="U131" s="206" t="e">
        <f>T135</f>
        <v>#REF!</v>
      </c>
      <c r="V131" s="206" t="e">
        <f>U135</f>
        <v>#REF!</v>
      </c>
      <c r="W131" s="206" t="e">
        <f>V135</f>
        <v>#REF!</v>
      </c>
      <c r="X131" s="206" t="e">
        <f>T131</f>
        <v>#REF!</v>
      </c>
      <c r="Y131" s="206" t="e">
        <f>W135</f>
        <v>#REF!</v>
      </c>
      <c r="Z131" s="206" t="e">
        <f>Y135</f>
        <v>#REF!</v>
      </c>
      <c r="AA131" s="206" t="e">
        <f>Z135</f>
        <v>#REF!</v>
      </c>
      <c r="AB131" s="206" t="e">
        <f>AA135</f>
        <v>#REF!</v>
      </c>
    </row>
    <row r="132" spans="2:28" ht="13.8" outlineLevel="1" thickBot="1">
      <c r="B132" s="179" t="s">
        <v>135</v>
      </c>
      <c r="C132" s="163"/>
      <c r="D132" s="163"/>
      <c r="E132" s="163"/>
      <c r="F132" s="163"/>
      <c r="G132" s="163" t="s">
        <v>117</v>
      </c>
      <c r="H132" s="163" t="s">
        <v>117</v>
      </c>
      <c r="I132" s="163" t="s">
        <v>117</v>
      </c>
      <c r="J132" s="206" t="e">
        <f>IF(#REF!&gt;0,#REF!,0)/1000</f>
        <v>#REF!</v>
      </c>
      <c r="K132" s="206" t="e">
        <f>IF(#REF!&gt;0,#REF!,0)/1000</f>
        <v>#REF!</v>
      </c>
      <c r="L132" s="206" t="e">
        <f>IF(#REF!&gt;0,#REF!,0)/1000</f>
        <v>#REF!</v>
      </c>
      <c r="M132" s="206" t="e">
        <f>IF(#REF!&gt;0,#REF!,0)/1000</f>
        <v>#REF!</v>
      </c>
      <c r="N132" s="206" t="e">
        <f>SUM(J132:M132)</f>
        <v>#REF!</v>
      </c>
      <c r="O132" s="206" t="e">
        <f>IF(#REF!&gt;0,#REF!,0)/1000</f>
        <v>#REF!</v>
      </c>
      <c r="P132" s="206" t="e">
        <f>IF(#REF!&gt;0,#REF!,0)/1000</f>
        <v>#REF!</v>
      </c>
      <c r="Q132" s="206" t="e">
        <f>IF(#REF!&gt;0,#REF!,0)/1000</f>
        <v>#REF!</v>
      </c>
      <c r="R132" s="206" t="e">
        <f>IF(#REF!&gt;0,#REF!,0)/1000</f>
        <v>#REF!</v>
      </c>
      <c r="S132" s="206" t="e">
        <f>SUM(O132:R132)</f>
        <v>#REF!</v>
      </c>
      <c r="T132" s="206" t="e">
        <f>IF(#REF!&gt;0,#REF!,0)/1000</f>
        <v>#REF!</v>
      </c>
      <c r="U132" s="206" t="e">
        <f>IF(#REF!&gt;0,#REF!,0)/1000</f>
        <v>#REF!</v>
      </c>
      <c r="V132" s="206" t="e">
        <f>IF(#REF!&gt;0,#REF!,0)/1000</f>
        <v>#REF!</v>
      </c>
      <c r="W132" s="206" t="e">
        <f>IF(#REF!&gt;0,#REF!,0)/1000</f>
        <v>#REF!</v>
      </c>
      <c r="X132" s="206" t="e">
        <f>SUM(T132:W132)</f>
        <v>#REF!</v>
      </c>
      <c r="Y132" s="206" t="e">
        <f>IF(#REF!&gt;0,#REF!,0)/1000</f>
        <v>#REF!</v>
      </c>
      <c r="Z132" s="206" t="e">
        <f>IF(#REF!&gt;0,#REF!,0)/1000</f>
        <v>#REF!</v>
      </c>
      <c r="AA132" s="206" t="e">
        <f>IF(#REF!&gt;0,#REF!,0)/1000</f>
        <v>#REF!</v>
      </c>
      <c r="AB132" s="206" t="e">
        <f>IF(#REF!&gt;0,#REF!,0)/1000</f>
        <v>#REF!</v>
      </c>
    </row>
    <row r="133" spans="2:28" ht="13.8" outlineLevel="1" thickBot="1">
      <c r="B133" s="203" t="s">
        <v>243</v>
      </c>
      <c r="C133" s="217"/>
      <c r="D133" s="217"/>
      <c r="E133" s="217"/>
      <c r="F133" s="217"/>
      <c r="G133" s="217" t="s">
        <v>117</v>
      </c>
      <c r="H133" s="217" t="s">
        <v>117</v>
      </c>
      <c r="I133" s="217" t="s">
        <v>117</v>
      </c>
      <c r="J133" s="207" t="e">
        <f>#REF!/1000</f>
        <v>#REF!</v>
      </c>
      <c r="K133" s="207" t="e">
        <f>#REF!/1000</f>
        <v>#REF!</v>
      </c>
      <c r="L133" s="207" t="e">
        <f>#REF!/1000</f>
        <v>#REF!</v>
      </c>
      <c r="M133" s="207" t="e">
        <f>#REF!/1000</f>
        <v>#REF!</v>
      </c>
      <c r="N133" s="207" t="e">
        <f>SUM(J133:M133)</f>
        <v>#REF!</v>
      </c>
      <c r="O133" s="207" t="e">
        <f>#REF!/1000</f>
        <v>#REF!</v>
      </c>
      <c r="P133" s="207" t="e">
        <f>#REF!/1000</f>
        <v>#REF!</v>
      </c>
      <c r="Q133" s="207" t="e">
        <f>#REF!/1000</f>
        <v>#REF!</v>
      </c>
      <c r="R133" s="207" t="e">
        <f>#REF!/1000</f>
        <v>#REF!</v>
      </c>
      <c r="S133" s="207" t="e">
        <f>SUM(O133:R133)</f>
        <v>#REF!</v>
      </c>
      <c r="T133" s="207" t="e">
        <f>#REF!/1000</f>
        <v>#REF!</v>
      </c>
      <c r="U133" s="207" t="e">
        <f>#REF!/1000</f>
        <v>#REF!</v>
      </c>
      <c r="V133" s="207" t="e">
        <f>#REF!/1000</f>
        <v>#REF!</v>
      </c>
      <c r="W133" s="207" t="e">
        <f>#REF!/1000</f>
        <v>#REF!</v>
      </c>
      <c r="X133" s="207" t="e">
        <f>SUM(T133:W133)</f>
        <v>#REF!</v>
      </c>
      <c r="Y133" s="207" t="e">
        <f>#REF!/1000</f>
        <v>#REF!</v>
      </c>
      <c r="Z133" s="207" t="e">
        <f>#REF!/1000</f>
        <v>#REF!</v>
      </c>
      <c r="AA133" s="207" t="e">
        <f>#REF!/1000</f>
        <v>#REF!</v>
      </c>
      <c r="AB133" s="207" t="e">
        <f>#REF!/1000</f>
        <v>#REF!</v>
      </c>
    </row>
    <row r="134" spans="2:28" ht="13.8" outlineLevel="1" thickBot="1">
      <c r="B134" s="179" t="s">
        <v>136</v>
      </c>
      <c r="C134" s="163"/>
      <c r="D134" s="163"/>
      <c r="E134" s="163"/>
      <c r="F134" s="163"/>
      <c r="G134" s="163" t="s">
        <v>117</v>
      </c>
      <c r="H134" s="163" t="s">
        <v>117</v>
      </c>
      <c r="I134" s="163" t="s">
        <v>117</v>
      </c>
      <c r="J134" s="206" t="e">
        <f>-IF(#REF!&lt;0,#REF!,0)/1000</f>
        <v>#REF!</v>
      </c>
      <c r="K134" s="206" t="e">
        <f>-IF(#REF!&lt;0,#REF!,0)/1000</f>
        <v>#REF!</v>
      </c>
      <c r="L134" s="206" t="e">
        <f>-IF(#REF!&lt;0,#REF!,0)/1000</f>
        <v>#REF!</v>
      </c>
      <c r="M134" s="206" t="e">
        <f>-IF(#REF!&lt;0,#REF!,0)/1000</f>
        <v>#REF!</v>
      </c>
      <c r="N134" s="206" t="e">
        <f>SUM(J134:M134)</f>
        <v>#REF!</v>
      </c>
      <c r="O134" s="206" t="e">
        <f>-IF(#REF!&lt;0,#REF!,0)/1000</f>
        <v>#REF!</v>
      </c>
      <c r="P134" s="206" t="e">
        <f>-IF(#REF!&lt;0,#REF!,0)/1000</f>
        <v>#REF!</v>
      </c>
      <c r="Q134" s="206" t="e">
        <f>-IF(#REF!&lt;0,#REF!,0)/1000</f>
        <v>#REF!</v>
      </c>
      <c r="R134" s="206" t="e">
        <f>-IF(#REF!&lt;0,#REF!,0)/1000</f>
        <v>#REF!</v>
      </c>
      <c r="S134" s="206" t="e">
        <f>SUM(O134:R134)</f>
        <v>#REF!</v>
      </c>
      <c r="T134" s="206" t="e">
        <f>-IF(#REF!&lt;0,#REF!,0)/1000</f>
        <v>#REF!</v>
      </c>
      <c r="U134" s="206" t="e">
        <f>-IF(#REF!&lt;0,#REF!,0)/1000</f>
        <v>#REF!</v>
      </c>
      <c r="V134" s="206" t="e">
        <f>-IF(#REF!&lt;0,#REF!,0)/1000</f>
        <v>#REF!</v>
      </c>
      <c r="W134" s="206" t="e">
        <f>-IF(#REF!&lt;0,#REF!,0)/1000</f>
        <v>#REF!</v>
      </c>
      <c r="X134" s="206" t="e">
        <f>SUM(T134:W134)</f>
        <v>#REF!</v>
      </c>
      <c r="Y134" s="206" t="e">
        <f>-IF(#REF!&lt;0,#REF!,0)/1000</f>
        <v>#REF!</v>
      </c>
      <c r="Z134" s="206" t="e">
        <f>-IF(#REF!&lt;0,#REF!,0)/1000</f>
        <v>#REF!</v>
      </c>
      <c r="AA134" s="206" t="e">
        <f>-IF(#REF!&lt;0,#REF!,0)/1000</f>
        <v>#REF!</v>
      </c>
      <c r="AB134" s="206" t="e">
        <f>-IF(#REF!&lt;0,#REF!,0)/1000</f>
        <v>#REF!</v>
      </c>
    </row>
    <row r="135" spans="2:28" ht="13.8" outlineLevel="1" thickBot="1">
      <c r="B135" s="203" t="s">
        <v>137</v>
      </c>
      <c r="C135" s="217"/>
      <c r="D135" s="217"/>
      <c r="E135" s="217"/>
      <c r="F135" s="217"/>
      <c r="G135" s="217" t="s">
        <v>117</v>
      </c>
      <c r="H135" s="217" t="s">
        <v>117</v>
      </c>
      <c r="I135" s="217" t="s">
        <v>117</v>
      </c>
      <c r="J135" s="209" t="e">
        <f>J131+J132-J134</f>
        <v>#REF!</v>
      </c>
      <c r="K135" s="207" t="e">
        <f t="shared" ref="K135:AB135" si="72">K131+K132-K134</f>
        <v>#REF!</v>
      </c>
      <c r="L135" s="207" t="e">
        <f t="shared" si="72"/>
        <v>#REF!</v>
      </c>
      <c r="M135" s="207" t="e">
        <f t="shared" si="72"/>
        <v>#REF!</v>
      </c>
      <c r="N135" s="207" t="e">
        <f t="shared" si="72"/>
        <v>#REF!</v>
      </c>
      <c r="O135" s="207" t="e">
        <f t="shared" si="72"/>
        <v>#REF!</v>
      </c>
      <c r="P135" s="207" t="e">
        <f t="shared" si="72"/>
        <v>#REF!</v>
      </c>
      <c r="Q135" s="207" t="e">
        <f t="shared" si="72"/>
        <v>#REF!</v>
      </c>
      <c r="R135" s="207" t="e">
        <f t="shared" si="72"/>
        <v>#REF!</v>
      </c>
      <c r="S135" s="207" t="e">
        <f t="shared" si="72"/>
        <v>#REF!</v>
      </c>
      <c r="T135" s="207" t="e">
        <f t="shared" si="72"/>
        <v>#REF!</v>
      </c>
      <c r="U135" s="207" t="e">
        <f t="shared" si="72"/>
        <v>#REF!</v>
      </c>
      <c r="V135" s="207" t="e">
        <f t="shared" si="72"/>
        <v>#REF!</v>
      </c>
      <c r="W135" s="207" t="e">
        <f t="shared" si="72"/>
        <v>#REF!</v>
      </c>
      <c r="X135" s="207" t="e">
        <f t="shared" si="72"/>
        <v>#REF!</v>
      </c>
      <c r="Y135" s="207" t="e">
        <f t="shared" si="72"/>
        <v>#REF!</v>
      </c>
      <c r="Z135" s="207" t="e">
        <f t="shared" si="72"/>
        <v>#REF!</v>
      </c>
      <c r="AA135" s="207" t="e">
        <f t="shared" si="72"/>
        <v>#REF!</v>
      </c>
      <c r="AB135" s="207" t="e">
        <f t="shared" si="72"/>
        <v>#REF!</v>
      </c>
    </row>
    <row r="136" spans="2:28" ht="13.8" outlineLevel="1" thickBot="1">
      <c r="B136" s="194" t="e">
        <f>#REF!</f>
        <v>#REF!</v>
      </c>
      <c r="C136" s="218"/>
      <c r="D136" s="218"/>
      <c r="E136" s="218"/>
      <c r="F136" s="218"/>
      <c r="G136" s="218"/>
      <c r="H136" s="218"/>
      <c r="I136" s="21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208"/>
    </row>
    <row r="137" spans="2:28" ht="13.8" outlineLevel="1" thickBot="1">
      <c r="B137" s="179" t="s">
        <v>134</v>
      </c>
      <c r="C137" s="163"/>
      <c r="D137" s="163"/>
      <c r="E137" s="163"/>
      <c r="F137" s="163"/>
      <c r="G137" s="163" t="s">
        <v>117</v>
      </c>
      <c r="H137" s="163" t="s">
        <v>117</v>
      </c>
      <c r="I137" s="163" t="s">
        <v>117</v>
      </c>
      <c r="J137" s="206" t="e">
        <f>+HLOOKUP(J129,#REF!,#REF!,0)/1000</f>
        <v>#REF!</v>
      </c>
      <c r="K137" s="206" t="e">
        <f>J141</f>
        <v>#REF!</v>
      </c>
      <c r="L137" s="206" t="e">
        <f>K141</f>
        <v>#REF!</v>
      </c>
      <c r="M137" s="206" t="e">
        <f>L141</f>
        <v>#REF!</v>
      </c>
      <c r="N137" s="206" t="e">
        <f>+J137</f>
        <v>#REF!</v>
      </c>
      <c r="O137" s="206" t="e">
        <f>M141</f>
        <v>#REF!</v>
      </c>
      <c r="P137" s="206" t="e">
        <f>O141</f>
        <v>#REF!</v>
      </c>
      <c r="Q137" s="206" t="e">
        <f>P141</f>
        <v>#REF!</v>
      </c>
      <c r="R137" s="206" t="e">
        <f>Q141</f>
        <v>#REF!</v>
      </c>
      <c r="S137" s="206" t="e">
        <f>O137</f>
        <v>#REF!</v>
      </c>
      <c r="T137" s="206" t="e">
        <f>R141</f>
        <v>#REF!</v>
      </c>
      <c r="U137" s="206" t="e">
        <f>T141</f>
        <v>#REF!</v>
      </c>
      <c r="V137" s="206" t="e">
        <f>U141</f>
        <v>#REF!</v>
      </c>
      <c r="W137" s="206" t="e">
        <f>V141</f>
        <v>#REF!</v>
      </c>
      <c r="X137" s="206" t="e">
        <f>T137</f>
        <v>#REF!</v>
      </c>
      <c r="Y137" s="206" t="e">
        <f>W141</f>
        <v>#REF!</v>
      </c>
      <c r="Z137" s="206" t="e">
        <f>Y141</f>
        <v>#REF!</v>
      </c>
      <c r="AA137" s="206" t="e">
        <f>Z141</f>
        <v>#REF!</v>
      </c>
      <c r="AB137" s="206" t="e">
        <f>AA141</f>
        <v>#REF!</v>
      </c>
    </row>
    <row r="138" spans="2:28" ht="13.8" outlineLevel="1" thickBot="1">
      <c r="B138" s="179" t="s">
        <v>135</v>
      </c>
      <c r="C138" s="163"/>
      <c r="D138" s="163"/>
      <c r="E138" s="163"/>
      <c r="F138" s="163"/>
      <c r="G138" s="163" t="s">
        <v>117</v>
      </c>
      <c r="H138" s="163" t="s">
        <v>117</v>
      </c>
      <c r="I138" s="163" t="s">
        <v>117</v>
      </c>
      <c r="J138" s="206" t="e">
        <f>+HLOOKUP(J129,#REF!,#REF!,0)/1000</f>
        <v>#REF!</v>
      </c>
      <c r="K138" s="206" t="e">
        <f>+HLOOKUP(K129,#REF!,#REF!,0)/1000</f>
        <v>#REF!</v>
      </c>
      <c r="L138" s="206" t="e">
        <f>+HLOOKUP(L129,#REF!,#REF!,0)/1000</f>
        <v>#REF!</v>
      </c>
      <c r="M138" s="206" t="e">
        <f>+HLOOKUP(M129,#REF!,#REF!,0)/1000</f>
        <v>#REF!</v>
      </c>
      <c r="N138" s="206" t="e">
        <f>SUM(J138:M138)</f>
        <v>#REF!</v>
      </c>
      <c r="O138" s="206" t="e">
        <f>+HLOOKUP(O129,#REF!,#REF!,0)/1000</f>
        <v>#REF!</v>
      </c>
      <c r="P138" s="206" t="e">
        <f>+HLOOKUP(P129,#REF!,#REF!,0)/1000</f>
        <v>#REF!</v>
      </c>
      <c r="Q138" s="206" t="e">
        <f>+HLOOKUP(Q129,#REF!,#REF!,0)/1000</f>
        <v>#REF!</v>
      </c>
      <c r="R138" s="206" t="e">
        <f>+HLOOKUP(R129,#REF!,#REF!,0)/1000</f>
        <v>#REF!</v>
      </c>
      <c r="S138" s="206" t="e">
        <f>SUM(O138:R138)</f>
        <v>#REF!</v>
      </c>
      <c r="T138" s="206" t="e">
        <f>+HLOOKUP(T129,#REF!,#REF!,0)/1000</f>
        <v>#REF!</v>
      </c>
      <c r="U138" s="206" t="e">
        <f>+HLOOKUP(U129,#REF!,#REF!,0)/1000</f>
        <v>#REF!</v>
      </c>
      <c r="V138" s="206" t="e">
        <f>+HLOOKUP(V129,#REF!,#REF!,0)/1000</f>
        <v>#REF!</v>
      </c>
      <c r="W138" s="206" t="e">
        <f>+HLOOKUP(W129,#REF!,#REF!,0)/1000</f>
        <v>#REF!</v>
      </c>
      <c r="X138" s="206" t="e">
        <f>SUM(T138:W138)</f>
        <v>#REF!</v>
      </c>
      <c r="Y138" s="206" t="e">
        <f>+HLOOKUP(Y129,#REF!,#REF!,0)/1000</f>
        <v>#REF!</v>
      </c>
      <c r="Z138" s="206" t="e">
        <f>+HLOOKUP(Z129,#REF!,#REF!,0)/1000</f>
        <v>#REF!</v>
      </c>
      <c r="AA138" s="206" t="e">
        <f>+HLOOKUP(AA129,#REF!,#REF!,0)/1000</f>
        <v>#REF!</v>
      </c>
      <c r="AB138" s="206" t="e">
        <f>+HLOOKUP(AB129,#REF!,#REF!,0)/1000</f>
        <v>#REF!</v>
      </c>
    </row>
    <row r="139" spans="2:28" ht="13.8" outlineLevel="1" thickBot="1">
      <c r="B139" s="203" t="s">
        <v>243</v>
      </c>
      <c r="C139" s="217"/>
      <c r="D139" s="217"/>
      <c r="E139" s="217"/>
      <c r="F139" s="217"/>
      <c r="G139" s="217" t="s">
        <v>117</v>
      </c>
      <c r="H139" s="217" t="s">
        <v>117</v>
      </c>
      <c r="I139" s="217" t="s">
        <v>117</v>
      </c>
      <c r="J139" s="207" t="e">
        <f>#REF!/1000</f>
        <v>#REF!</v>
      </c>
      <c r="K139" s="207" t="e">
        <f>#REF!/1000</f>
        <v>#REF!</v>
      </c>
      <c r="L139" s="207" t="e">
        <f>#REF!/1000</f>
        <v>#REF!</v>
      </c>
      <c r="M139" s="207" t="e">
        <f>#REF!/1000</f>
        <v>#REF!</v>
      </c>
      <c r="N139" s="207" t="e">
        <f>SUM(J139:M139)</f>
        <v>#REF!</v>
      </c>
      <c r="O139" s="207" t="e">
        <f>#REF!/1000</f>
        <v>#REF!</v>
      </c>
      <c r="P139" s="207" t="e">
        <f>#REF!/1000</f>
        <v>#REF!</v>
      </c>
      <c r="Q139" s="207" t="e">
        <f>#REF!/1000</f>
        <v>#REF!</v>
      </c>
      <c r="R139" s="207" t="e">
        <f>#REF!/1000</f>
        <v>#REF!</v>
      </c>
      <c r="S139" s="207" t="e">
        <f>SUM(O139:R139)</f>
        <v>#REF!</v>
      </c>
      <c r="T139" s="207" t="e">
        <f>#REF!/1000</f>
        <v>#REF!</v>
      </c>
      <c r="U139" s="207" t="e">
        <f>#REF!/1000</f>
        <v>#REF!</v>
      </c>
      <c r="V139" s="207" t="e">
        <f>#REF!/1000</f>
        <v>#REF!</v>
      </c>
      <c r="W139" s="207" t="e">
        <f>#REF!/1000</f>
        <v>#REF!</v>
      </c>
      <c r="X139" s="207" t="e">
        <f>SUM(T139:W139)</f>
        <v>#REF!</v>
      </c>
      <c r="Y139" s="207" t="e">
        <f>#REF!/1000</f>
        <v>#REF!</v>
      </c>
      <c r="Z139" s="207" t="e">
        <f>#REF!/1000</f>
        <v>#REF!</v>
      </c>
      <c r="AA139" s="207" t="e">
        <f>#REF!/1000</f>
        <v>#REF!</v>
      </c>
      <c r="AB139" s="207" t="e">
        <f>#REF!/1000</f>
        <v>#REF!</v>
      </c>
    </row>
    <row r="140" spans="2:28" ht="13.8" outlineLevel="1" thickBot="1">
      <c r="B140" s="179" t="s">
        <v>136</v>
      </c>
      <c r="C140" s="163"/>
      <c r="D140" s="163"/>
      <c r="E140" s="163"/>
      <c r="F140" s="163"/>
      <c r="G140" s="163" t="s">
        <v>117</v>
      </c>
      <c r="H140" s="163" t="s">
        <v>117</v>
      </c>
      <c r="I140" s="163" t="s">
        <v>117</v>
      </c>
      <c r="J140" s="206" t="e">
        <f>+HLOOKUP(J129,#REF!,#REF!,0)/1000</f>
        <v>#REF!</v>
      </c>
      <c r="K140" s="206" t="e">
        <f>+HLOOKUP(K129,#REF!,#REF!,0)/1000</f>
        <v>#REF!</v>
      </c>
      <c r="L140" s="206" t="e">
        <f>+HLOOKUP(L129,#REF!,#REF!,0)/1000</f>
        <v>#REF!</v>
      </c>
      <c r="M140" s="206" t="e">
        <f>+HLOOKUP(M129,#REF!,#REF!,0)/1000</f>
        <v>#REF!</v>
      </c>
      <c r="N140" s="206" t="e">
        <f>SUM(J140:M140)</f>
        <v>#REF!</v>
      </c>
      <c r="O140" s="206" t="e">
        <f>+HLOOKUP(O129,#REF!,#REF!,0)/1000</f>
        <v>#REF!</v>
      </c>
      <c r="P140" s="206" t="e">
        <f>+HLOOKUP(P129,#REF!,#REF!,0)/1000</f>
        <v>#REF!</v>
      </c>
      <c r="Q140" s="206" t="e">
        <f>+HLOOKUP(Q129,#REF!,#REF!,0)/1000</f>
        <v>#REF!</v>
      </c>
      <c r="R140" s="206" t="e">
        <f>+HLOOKUP(R129,#REF!,#REF!,0)/1000</f>
        <v>#REF!</v>
      </c>
      <c r="S140" s="206" t="e">
        <f>SUM(O140:R140)</f>
        <v>#REF!</v>
      </c>
      <c r="T140" s="206" t="e">
        <f>+HLOOKUP(T129,#REF!,#REF!,0)/1000</f>
        <v>#REF!</v>
      </c>
      <c r="U140" s="206" t="e">
        <f>+HLOOKUP(U129,#REF!,#REF!,0)/1000</f>
        <v>#REF!</v>
      </c>
      <c r="V140" s="206" t="e">
        <f>+HLOOKUP(V129,#REF!,#REF!,0)/1000</f>
        <v>#REF!</v>
      </c>
      <c r="W140" s="206" t="e">
        <f>+HLOOKUP(W129,#REF!,#REF!,0)/1000</f>
        <v>#REF!</v>
      </c>
      <c r="X140" s="206" t="e">
        <f>SUM(T140:W140)</f>
        <v>#REF!</v>
      </c>
      <c r="Y140" s="206" t="e">
        <f>+HLOOKUP(Y129,#REF!,#REF!,0)/1000</f>
        <v>#REF!</v>
      </c>
      <c r="Z140" s="206" t="e">
        <f>+HLOOKUP(Z129,#REF!,#REF!,0)/1000</f>
        <v>#REF!</v>
      </c>
      <c r="AA140" s="206" t="e">
        <f>+HLOOKUP(AA129,#REF!,#REF!,0)/1000</f>
        <v>#REF!</v>
      </c>
      <c r="AB140" s="206" t="e">
        <f>+HLOOKUP(AB129,#REF!,#REF!,0)/1000</f>
        <v>#REF!</v>
      </c>
    </row>
    <row r="141" spans="2:28" ht="13.8" outlineLevel="1" thickBot="1">
      <c r="B141" s="203" t="s">
        <v>137</v>
      </c>
      <c r="C141" s="217"/>
      <c r="D141" s="217"/>
      <c r="E141" s="217"/>
      <c r="F141" s="217"/>
      <c r="G141" s="217" t="s">
        <v>117</v>
      </c>
      <c r="H141" s="217" t="s">
        <v>117</v>
      </c>
      <c r="I141" s="217" t="s">
        <v>117</v>
      </c>
      <c r="J141" s="207" t="e">
        <f t="shared" ref="J141:Z141" si="73">J137+J138-J140</f>
        <v>#REF!</v>
      </c>
      <c r="K141" s="207" t="e">
        <f t="shared" si="73"/>
        <v>#REF!</v>
      </c>
      <c r="L141" s="207" t="e">
        <f>L137+L138-L140</f>
        <v>#REF!</v>
      </c>
      <c r="M141" s="207" t="e">
        <f>M137+M138-M140</f>
        <v>#REF!</v>
      </c>
      <c r="N141" s="207" t="e">
        <f t="shared" si="73"/>
        <v>#REF!</v>
      </c>
      <c r="O141" s="207" t="e">
        <f t="shared" si="73"/>
        <v>#REF!</v>
      </c>
      <c r="P141" s="207" t="e">
        <f t="shared" si="73"/>
        <v>#REF!</v>
      </c>
      <c r="Q141" s="207" t="e">
        <f>Q137+Q138-Q140</f>
        <v>#REF!</v>
      </c>
      <c r="R141" s="207" t="e">
        <f>R137+R138-R140</f>
        <v>#REF!</v>
      </c>
      <c r="S141" s="207" t="e">
        <f t="shared" si="73"/>
        <v>#REF!</v>
      </c>
      <c r="T141" s="207" t="e">
        <f t="shared" si="73"/>
        <v>#REF!</v>
      </c>
      <c r="U141" s="207" t="e">
        <f t="shared" si="73"/>
        <v>#REF!</v>
      </c>
      <c r="V141" s="207" t="e">
        <f>V137+V138-V140</f>
        <v>#REF!</v>
      </c>
      <c r="W141" s="207" t="e">
        <f>W137+W138-W140</f>
        <v>#REF!</v>
      </c>
      <c r="X141" s="207" t="e">
        <f t="shared" si="73"/>
        <v>#REF!</v>
      </c>
      <c r="Y141" s="207" t="e">
        <f t="shared" si="73"/>
        <v>#REF!</v>
      </c>
      <c r="Z141" s="207" t="e">
        <f t="shared" si="73"/>
        <v>#REF!</v>
      </c>
      <c r="AA141" s="207" t="e">
        <f>AA137+AA138-AA140</f>
        <v>#REF!</v>
      </c>
      <c r="AB141" s="207" t="e">
        <f>AB137+AB138-AB140</f>
        <v>#REF!</v>
      </c>
    </row>
    <row r="142" spans="2:28" ht="13.8" outlineLevel="1" thickBot="1">
      <c r="B142" s="194" t="e">
        <f>#REF!</f>
        <v>#REF!</v>
      </c>
      <c r="C142" s="218"/>
      <c r="D142" s="218"/>
      <c r="E142" s="218"/>
      <c r="F142" s="218"/>
      <c r="G142" s="218"/>
      <c r="H142" s="218"/>
      <c r="I142" s="21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208"/>
    </row>
    <row r="143" spans="2:28" ht="13.8" outlineLevel="1" thickBot="1">
      <c r="B143" s="179" t="s">
        <v>134</v>
      </c>
      <c r="C143" s="163"/>
      <c r="D143" s="163"/>
      <c r="E143" s="163"/>
      <c r="F143" s="163"/>
      <c r="G143" s="163" t="s">
        <v>117</v>
      </c>
      <c r="H143" s="163" t="s">
        <v>117</v>
      </c>
      <c r="I143" s="163" t="s">
        <v>117</v>
      </c>
      <c r="J143" s="206">
        <v>0</v>
      </c>
      <c r="K143" s="206" t="e">
        <f>J147</f>
        <v>#REF!</v>
      </c>
      <c r="L143" s="206" t="e">
        <f>K147</f>
        <v>#REF!</v>
      </c>
      <c r="M143" s="206" t="e">
        <f>L147</f>
        <v>#REF!</v>
      </c>
      <c r="N143" s="206">
        <v>0</v>
      </c>
      <c r="O143" s="206" t="e">
        <f>M147</f>
        <v>#REF!</v>
      </c>
      <c r="P143" s="206" t="e">
        <f>O147</f>
        <v>#REF!</v>
      </c>
      <c r="Q143" s="206" t="e">
        <f>P147</f>
        <v>#REF!</v>
      </c>
      <c r="R143" s="206" t="e">
        <f>Q147</f>
        <v>#REF!</v>
      </c>
      <c r="S143" s="206" t="e">
        <f>O143</f>
        <v>#REF!</v>
      </c>
      <c r="T143" s="206" t="e">
        <f>R147</f>
        <v>#REF!</v>
      </c>
      <c r="U143" s="206" t="e">
        <f>T147</f>
        <v>#REF!</v>
      </c>
      <c r="V143" s="206" t="e">
        <f>U147</f>
        <v>#REF!</v>
      </c>
      <c r="W143" s="206" t="e">
        <f>V147</f>
        <v>#REF!</v>
      </c>
      <c r="X143" s="206" t="e">
        <f>T143</f>
        <v>#REF!</v>
      </c>
      <c r="Y143" s="206" t="e">
        <f>W147</f>
        <v>#REF!</v>
      </c>
      <c r="Z143" s="206" t="e">
        <f>Y147</f>
        <v>#REF!</v>
      </c>
      <c r="AA143" s="206" t="e">
        <f>Z147</f>
        <v>#REF!</v>
      </c>
      <c r="AB143" s="206" t="e">
        <f>AA147</f>
        <v>#REF!</v>
      </c>
    </row>
    <row r="144" spans="2:28" ht="13.8" outlineLevel="1" thickBot="1">
      <c r="B144" s="179" t="s">
        <v>242</v>
      </c>
      <c r="C144" s="163"/>
      <c r="D144" s="163"/>
      <c r="E144" s="163"/>
      <c r="F144" s="163"/>
      <c r="G144" s="163" t="s">
        <v>117</v>
      </c>
      <c r="H144" s="163" t="s">
        <v>117</v>
      </c>
      <c r="I144" s="163" t="s">
        <v>117</v>
      </c>
      <c r="J144" s="206">
        <v>0</v>
      </c>
      <c r="K144" s="206">
        <v>0</v>
      </c>
      <c r="L144" s="206">
        <v>0</v>
      </c>
      <c r="M144" s="206">
        <v>0</v>
      </c>
      <c r="N144" s="206">
        <f>SUM(J144:M144)</f>
        <v>0</v>
      </c>
      <c r="O144" s="206">
        <v>0</v>
      </c>
      <c r="P144" s="206">
        <v>0</v>
      </c>
      <c r="Q144" s="206">
        <v>0</v>
      </c>
      <c r="R144" s="206">
        <v>0</v>
      </c>
      <c r="S144" s="206">
        <f>SUM(O144:R144)</f>
        <v>0</v>
      </c>
      <c r="T144" s="206">
        <v>0</v>
      </c>
      <c r="U144" s="206">
        <v>0</v>
      </c>
      <c r="V144" s="206">
        <v>0</v>
      </c>
      <c r="W144" s="206">
        <v>0</v>
      </c>
      <c r="X144" s="206">
        <f>SUM(T144:W144)</f>
        <v>0</v>
      </c>
      <c r="Y144" s="206">
        <v>0</v>
      </c>
      <c r="Z144" s="206">
        <v>0</v>
      </c>
      <c r="AA144" s="206">
        <v>0</v>
      </c>
      <c r="AB144" s="206">
        <v>0</v>
      </c>
    </row>
    <row r="145" spans="2:28" ht="13.8" outlineLevel="1" thickBot="1">
      <c r="B145" s="203" t="s">
        <v>243</v>
      </c>
      <c r="C145" s="217"/>
      <c r="D145" s="217"/>
      <c r="E145" s="217"/>
      <c r="F145" s="217"/>
      <c r="G145" s="217" t="s">
        <v>117</v>
      </c>
      <c r="H145" s="217" t="s">
        <v>117</v>
      </c>
      <c r="I145" s="217" t="s">
        <v>117</v>
      </c>
      <c r="J145" s="207" t="e">
        <f>#REF!/1000</f>
        <v>#REF!</v>
      </c>
      <c r="K145" s="207" t="e">
        <f>#REF!/1000</f>
        <v>#REF!</v>
      </c>
      <c r="L145" s="207" t="e">
        <f>#REF!/1000</f>
        <v>#REF!</v>
      </c>
      <c r="M145" s="207" t="e">
        <f>#REF!/1000</f>
        <v>#REF!</v>
      </c>
      <c r="N145" s="207" t="e">
        <f>SUM(J145:M145)</f>
        <v>#REF!</v>
      </c>
      <c r="O145" s="207" t="e">
        <f>#REF!/1000</f>
        <v>#REF!</v>
      </c>
      <c r="P145" s="207" t="e">
        <f>#REF!/1000</f>
        <v>#REF!</v>
      </c>
      <c r="Q145" s="207" t="e">
        <f>#REF!/1000</f>
        <v>#REF!</v>
      </c>
      <c r="R145" s="207" t="e">
        <f>#REF!/1000</f>
        <v>#REF!</v>
      </c>
      <c r="S145" s="207" t="e">
        <f>SUM(O145:R145)</f>
        <v>#REF!</v>
      </c>
      <c r="T145" s="207" t="e">
        <f>#REF!/1000</f>
        <v>#REF!</v>
      </c>
      <c r="U145" s="207" t="e">
        <f>#REF!/1000</f>
        <v>#REF!</v>
      </c>
      <c r="V145" s="207" t="e">
        <f>#REF!/1000</f>
        <v>#REF!</v>
      </c>
      <c r="W145" s="207" t="e">
        <f>#REF!/1000</f>
        <v>#REF!</v>
      </c>
      <c r="X145" s="207" t="e">
        <f>SUM(T145:W145)</f>
        <v>#REF!</v>
      </c>
      <c r="Y145" s="207" t="e">
        <f>#REF!/1000</f>
        <v>#REF!</v>
      </c>
      <c r="Z145" s="207" t="e">
        <f>#REF!/1000</f>
        <v>#REF!</v>
      </c>
      <c r="AA145" s="207" t="e">
        <f>#REF!/1000</f>
        <v>#REF!</v>
      </c>
      <c r="AB145" s="207" t="e">
        <f>#REF!/1000</f>
        <v>#REF!</v>
      </c>
    </row>
    <row r="146" spans="2:28" ht="13.8" outlineLevel="1" thickBot="1">
      <c r="B146" s="179" t="s">
        <v>136</v>
      </c>
      <c r="C146" s="163"/>
      <c r="D146" s="163"/>
      <c r="E146" s="163"/>
      <c r="F146" s="163"/>
      <c r="G146" s="163" t="s">
        <v>117</v>
      </c>
      <c r="H146" s="163" t="s">
        <v>117</v>
      </c>
      <c r="I146" s="163" t="s">
        <v>117</v>
      </c>
      <c r="J146" s="206" t="e">
        <f>#REF!/1000</f>
        <v>#REF!</v>
      </c>
      <c r="K146" s="206" t="e">
        <f>#REF!/1000</f>
        <v>#REF!</v>
      </c>
      <c r="L146" s="206" t="e">
        <f>#REF!/1000</f>
        <v>#REF!</v>
      </c>
      <c r="M146" s="206" t="e">
        <f>#REF!/1000</f>
        <v>#REF!</v>
      </c>
      <c r="N146" s="206" t="e">
        <f>SUM(J146:M146)</f>
        <v>#REF!</v>
      </c>
      <c r="O146" s="206" t="e">
        <f>#REF!/1000</f>
        <v>#REF!</v>
      </c>
      <c r="P146" s="206" t="e">
        <f>#REF!/1000</f>
        <v>#REF!</v>
      </c>
      <c r="Q146" s="206" t="e">
        <f>#REF!/1000</f>
        <v>#REF!</v>
      </c>
      <c r="R146" s="206" t="e">
        <f>#REF!/1000</f>
        <v>#REF!</v>
      </c>
      <c r="S146" s="206" t="e">
        <f>SUM(O146:R146)</f>
        <v>#REF!</v>
      </c>
      <c r="T146" s="206" t="e">
        <f>#REF!/1000</f>
        <v>#REF!</v>
      </c>
      <c r="U146" s="206" t="e">
        <f>#REF!/1000</f>
        <v>#REF!</v>
      </c>
      <c r="V146" s="206" t="e">
        <f>#REF!/1000</f>
        <v>#REF!</v>
      </c>
      <c r="W146" s="206" t="e">
        <f>#REF!/1000</f>
        <v>#REF!</v>
      </c>
      <c r="X146" s="206" t="e">
        <f>SUM(T146:W146)</f>
        <v>#REF!</v>
      </c>
      <c r="Y146" s="206" t="e">
        <f>#REF!/1000</f>
        <v>#REF!</v>
      </c>
      <c r="Z146" s="206" t="e">
        <f>#REF!/1000</f>
        <v>#REF!</v>
      </c>
      <c r="AA146" s="206" t="e">
        <f>#REF!/1000</f>
        <v>#REF!</v>
      </c>
      <c r="AB146" s="206" t="e">
        <f>#REF!/1000</f>
        <v>#REF!</v>
      </c>
    </row>
    <row r="147" spans="2:28" ht="13.8" outlineLevel="1" thickBot="1">
      <c r="B147" s="203" t="s">
        <v>137</v>
      </c>
      <c r="C147" s="217"/>
      <c r="D147" s="217"/>
      <c r="E147" s="217"/>
      <c r="F147" s="217"/>
      <c r="G147" s="217" t="s">
        <v>117</v>
      </c>
      <c r="H147" s="217" t="s">
        <v>117</v>
      </c>
      <c r="I147" s="217" t="s">
        <v>117</v>
      </c>
      <c r="J147" s="209" t="e">
        <f t="shared" ref="J147:AB147" si="74">J143+J144-J146</f>
        <v>#REF!</v>
      </c>
      <c r="K147" s="209" t="e">
        <f t="shared" si="74"/>
        <v>#REF!</v>
      </c>
      <c r="L147" s="209" t="e">
        <f t="shared" si="74"/>
        <v>#REF!</v>
      </c>
      <c r="M147" s="209" t="e">
        <f t="shared" si="74"/>
        <v>#REF!</v>
      </c>
      <c r="N147" s="209" t="e">
        <f t="shared" si="74"/>
        <v>#REF!</v>
      </c>
      <c r="O147" s="209" t="e">
        <f t="shared" si="74"/>
        <v>#REF!</v>
      </c>
      <c r="P147" s="209" t="e">
        <f t="shared" si="74"/>
        <v>#REF!</v>
      </c>
      <c r="Q147" s="209" t="e">
        <f t="shared" si="74"/>
        <v>#REF!</v>
      </c>
      <c r="R147" s="209" t="e">
        <f t="shared" si="74"/>
        <v>#REF!</v>
      </c>
      <c r="S147" s="209" t="e">
        <f t="shared" si="74"/>
        <v>#REF!</v>
      </c>
      <c r="T147" s="209" t="e">
        <f t="shared" si="74"/>
        <v>#REF!</v>
      </c>
      <c r="U147" s="209" t="e">
        <f t="shared" si="74"/>
        <v>#REF!</v>
      </c>
      <c r="V147" s="209" t="e">
        <f t="shared" si="74"/>
        <v>#REF!</v>
      </c>
      <c r="W147" s="209" t="e">
        <f t="shared" si="74"/>
        <v>#REF!</v>
      </c>
      <c r="X147" s="209" t="e">
        <f t="shared" si="74"/>
        <v>#REF!</v>
      </c>
      <c r="Y147" s="209" t="e">
        <f t="shared" si="74"/>
        <v>#REF!</v>
      </c>
      <c r="Z147" s="209" t="e">
        <f t="shared" si="74"/>
        <v>#REF!</v>
      </c>
      <c r="AA147" s="209" t="e">
        <f t="shared" si="74"/>
        <v>#REF!</v>
      </c>
      <c r="AB147" s="209" t="e">
        <f t="shared" si="74"/>
        <v>#REF!</v>
      </c>
    </row>
    <row r="148" spans="2:28" ht="13.8" outlineLevel="1" thickBot="1">
      <c r="B148" s="194" t="e">
        <f>#REF!</f>
        <v>#REF!</v>
      </c>
      <c r="C148" s="218"/>
      <c r="D148" s="218"/>
      <c r="E148" s="218"/>
      <c r="F148" s="218"/>
      <c r="G148" s="218"/>
      <c r="H148" s="218"/>
      <c r="I148" s="21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208"/>
    </row>
    <row r="149" spans="2:28" ht="13.8" outlineLevel="1" thickBot="1">
      <c r="B149" s="179" t="s">
        <v>134</v>
      </c>
      <c r="C149" s="163"/>
      <c r="D149" s="163"/>
      <c r="E149" s="163"/>
      <c r="F149" s="163"/>
      <c r="G149" s="163" t="s">
        <v>117</v>
      </c>
      <c r="H149" s="163" t="s">
        <v>117</v>
      </c>
      <c r="I149" s="163" t="s">
        <v>117</v>
      </c>
      <c r="J149" s="206">
        <v>0</v>
      </c>
      <c r="K149" s="206" t="e">
        <f>J153</f>
        <v>#REF!</v>
      </c>
      <c r="L149" s="206" t="e">
        <f>K153</f>
        <v>#REF!</v>
      </c>
      <c r="M149" s="206" t="e">
        <f>L153</f>
        <v>#REF!</v>
      </c>
      <c r="N149" s="206">
        <v>0</v>
      </c>
      <c r="O149" s="206" t="e">
        <f>M153</f>
        <v>#REF!</v>
      </c>
      <c r="P149" s="206" t="e">
        <f>O153</f>
        <v>#REF!</v>
      </c>
      <c r="Q149" s="206" t="e">
        <f>P153</f>
        <v>#REF!</v>
      </c>
      <c r="R149" s="206" t="e">
        <f>Q153</f>
        <v>#REF!</v>
      </c>
      <c r="S149" s="206" t="e">
        <f>O149</f>
        <v>#REF!</v>
      </c>
      <c r="T149" s="206" t="e">
        <f>R153</f>
        <v>#REF!</v>
      </c>
      <c r="U149" s="206" t="e">
        <f>T153</f>
        <v>#REF!</v>
      </c>
      <c r="V149" s="206" t="e">
        <f>U153</f>
        <v>#REF!</v>
      </c>
      <c r="W149" s="206" t="e">
        <f>V153</f>
        <v>#REF!</v>
      </c>
      <c r="X149" s="206" t="e">
        <f>T149</f>
        <v>#REF!</v>
      </c>
      <c r="Y149" s="206" t="e">
        <f>W153</f>
        <v>#REF!</v>
      </c>
      <c r="Z149" s="206" t="e">
        <f>Y153</f>
        <v>#REF!</v>
      </c>
      <c r="AA149" s="206" t="e">
        <f>Z153</f>
        <v>#REF!</v>
      </c>
      <c r="AB149" s="206" t="e">
        <f>AA153</f>
        <v>#REF!</v>
      </c>
    </row>
    <row r="150" spans="2:28" ht="13.8" outlineLevel="1" thickBot="1">
      <c r="B150" s="179" t="s">
        <v>242</v>
      </c>
      <c r="C150" s="163"/>
      <c r="D150" s="163"/>
      <c r="E150" s="163"/>
      <c r="F150" s="163"/>
      <c r="G150" s="163" t="s">
        <v>117</v>
      </c>
      <c r="H150" s="163" t="s">
        <v>117</v>
      </c>
      <c r="I150" s="163" t="s">
        <v>117</v>
      </c>
      <c r="J150" s="206">
        <v>0</v>
      </c>
      <c r="K150" s="206">
        <v>0</v>
      </c>
      <c r="L150" s="206">
        <v>0</v>
      </c>
      <c r="M150" s="206">
        <v>0</v>
      </c>
      <c r="N150" s="206">
        <f>SUM(J150:M150)</f>
        <v>0</v>
      </c>
      <c r="O150" s="206">
        <v>0</v>
      </c>
      <c r="P150" s="206">
        <v>0</v>
      </c>
      <c r="Q150" s="206">
        <v>0</v>
      </c>
      <c r="R150" s="206">
        <v>0</v>
      </c>
      <c r="S150" s="206">
        <f>SUM(O150:R150)</f>
        <v>0</v>
      </c>
      <c r="T150" s="206">
        <v>0</v>
      </c>
      <c r="U150" s="206">
        <v>0</v>
      </c>
      <c r="V150" s="206">
        <v>0</v>
      </c>
      <c r="W150" s="206">
        <v>0</v>
      </c>
      <c r="X150" s="206">
        <f>SUM(T150:W150)</f>
        <v>0</v>
      </c>
      <c r="Y150" s="206">
        <v>0</v>
      </c>
      <c r="Z150" s="206">
        <v>0</v>
      </c>
      <c r="AA150" s="206">
        <v>0</v>
      </c>
      <c r="AB150" s="206">
        <v>0</v>
      </c>
    </row>
    <row r="151" spans="2:28" ht="13.8" outlineLevel="1" thickBot="1">
      <c r="B151" s="203" t="s">
        <v>243</v>
      </c>
      <c r="C151" s="217"/>
      <c r="D151" s="217"/>
      <c r="E151" s="217"/>
      <c r="F151" s="217"/>
      <c r="G151" s="217" t="s">
        <v>117</v>
      </c>
      <c r="H151" s="217" t="s">
        <v>117</v>
      </c>
      <c r="I151" s="217" t="s">
        <v>117</v>
      </c>
      <c r="J151" s="207" t="e">
        <f>#REF!/1000</f>
        <v>#REF!</v>
      </c>
      <c r="K151" s="207" t="e">
        <f>#REF!/1000</f>
        <v>#REF!</v>
      </c>
      <c r="L151" s="207" t="e">
        <f>#REF!/1000</f>
        <v>#REF!</v>
      </c>
      <c r="M151" s="207" t="e">
        <f>#REF!/1000</f>
        <v>#REF!</v>
      </c>
      <c r="N151" s="207" t="e">
        <f>SUM(J151:M151)</f>
        <v>#REF!</v>
      </c>
      <c r="O151" s="207" t="e">
        <f>#REF!/1000</f>
        <v>#REF!</v>
      </c>
      <c r="P151" s="207" t="e">
        <f>#REF!/1000</f>
        <v>#REF!</v>
      </c>
      <c r="Q151" s="207" t="e">
        <f>#REF!/1000</f>
        <v>#REF!</v>
      </c>
      <c r="R151" s="207" t="e">
        <f>#REF!/1000</f>
        <v>#REF!</v>
      </c>
      <c r="S151" s="207" t="e">
        <f>SUM(O151:R151)</f>
        <v>#REF!</v>
      </c>
      <c r="T151" s="207" t="e">
        <f>#REF!/1000</f>
        <v>#REF!</v>
      </c>
      <c r="U151" s="207" t="e">
        <f>#REF!/1000</f>
        <v>#REF!</v>
      </c>
      <c r="V151" s="207" t="e">
        <f>#REF!/1000</f>
        <v>#REF!</v>
      </c>
      <c r="W151" s="207" t="e">
        <f>#REF!/1000</f>
        <v>#REF!</v>
      </c>
      <c r="X151" s="207" t="e">
        <f>SUM(T151:W151)</f>
        <v>#REF!</v>
      </c>
      <c r="Y151" s="207" t="e">
        <f>#REF!/1000</f>
        <v>#REF!</v>
      </c>
      <c r="Z151" s="207" t="e">
        <f>#REF!/1000</f>
        <v>#REF!</v>
      </c>
      <c r="AA151" s="207" t="e">
        <f>#REF!/1000</f>
        <v>#REF!</v>
      </c>
      <c r="AB151" s="207" t="e">
        <f>#REF!/1000</f>
        <v>#REF!</v>
      </c>
    </row>
    <row r="152" spans="2:28" ht="13.8" outlineLevel="1" thickBot="1">
      <c r="B152" s="179" t="s">
        <v>136</v>
      </c>
      <c r="C152" s="163"/>
      <c r="D152" s="163"/>
      <c r="E152" s="163"/>
      <c r="F152" s="163"/>
      <c r="G152" s="163" t="s">
        <v>117</v>
      </c>
      <c r="H152" s="163" t="s">
        <v>117</v>
      </c>
      <c r="I152" s="163" t="s">
        <v>117</v>
      </c>
      <c r="J152" s="206" t="e">
        <f>#REF!/1000</f>
        <v>#REF!</v>
      </c>
      <c r="K152" s="206" t="e">
        <f>#REF!/1000</f>
        <v>#REF!</v>
      </c>
      <c r="L152" s="206" t="e">
        <f>#REF!/1000</f>
        <v>#REF!</v>
      </c>
      <c r="M152" s="206" t="e">
        <f>#REF!/1000</f>
        <v>#REF!</v>
      </c>
      <c r="N152" s="206" t="e">
        <f>SUM(J152:M152)</f>
        <v>#REF!</v>
      </c>
      <c r="O152" s="206" t="e">
        <f>#REF!/1000</f>
        <v>#REF!</v>
      </c>
      <c r="P152" s="206" t="e">
        <f>#REF!/1000</f>
        <v>#REF!</v>
      </c>
      <c r="Q152" s="206" t="e">
        <f>#REF!/1000</f>
        <v>#REF!</v>
      </c>
      <c r="R152" s="206" t="e">
        <f>#REF!/1000</f>
        <v>#REF!</v>
      </c>
      <c r="S152" s="206" t="e">
        <f>SUM(O152:R152)</f>
        <v>#REF!</v>
      </c>
      <c r="T152" s="206" t="e">
        <f>#REF!/1000</f>
        <v>#REF!</v>
      </c>
      <c r="U152" s="206" t="e">
        <f>#REF!/1000</f>
        <v>#REF!</v>
      </c>
      <c r="V152" s="206" t="e">
        <f>#REF!/1000</f>
        <v>#REF!</v>
      </c>
      <c r="W152" s="206" t="e">
        <f>#REF!/1000</f>
        <v>#REF!</v>
      </c>
      <c r="X152" s="206" t="e">
        <f>SUM(T152:W152)</f>
        <v>#REF!</v>
      </c>
      <c r="Y152" s="206" t="e">
        <f>#REF!/1000</f>
        <v>#REF!</v>
      </c>
      <c r="Z152" s="206" t="e">
        <f>#REF!/1000</f>
        <v>#REF!</v>
      </c>
      <c r="AA152" s="206" t="e">
        <f>#REF!/1000</f>
        <v>#REF!</v>
      </c>
      <c r="AB152" s="206" t="e">
        <f>#REF!/1000</f>
        <v>#REF!</v>
      </c>
    </row>
    <row r="153" spans="2:28" ht="13.8" outlineLevel="1" thickBot="1">
      <c r="B153" s="203" t="s">
        <v>137</v>
      </c>
      <c r="C153" s="217"/>
      <c r="D153" s="217"/>
      <c r="E153" s="217"/>
      <c r="F153" s="217"/>
      <c r="G153" s="217" t="s">
        <v>117</v>
      </c>
      <c r="H153" s="217" t="s">
        <v>117</v>
      </c>
      <c r="I153" s="217" t="s">
        <v>117</v>
      </c>
      <c r="J153" s="209" t="e">
        <f t="shared" ref="J153:AB153" si="75">J149+J150-J152</f>
        <v>#REF!</v>
      </c>
      <c r="K153" s="209" t="e">
        <f t="shared" si="75"/>
        <v>#REF!</v>
      </c>
      <c r="L153" s="209" t="e">
        <f t="shared" si="75"/>
        <v>#REF!</v>
      </c>
      <c r="M153" s="209" t="e">
        <f t="shared" si="75"/>
        <v>#REF!</v>
      </c>
      <c r="N153" s="209" t="e">
        <f t="shared" si="75"/>
        <v>#REF!</v>
      </c>
      <c r="O153" s="209" t="e">
        <f t="shared" si="75"/>
        <v>#REF!</v>
      </c>
      <c r="P153" s="209" t="e">
        <f t="shared" si="75"/>
        <v>#REF!</v>
      </c>
      <c r="Q153" s="209" t="e">
        <f t="shared" si="75"/>
        <v>#REF!</v>
      </c>
      <c r="R153" s="209" t="e">
        <f t="shared" si="75"/>
        <v>#REF!</v>
      </c>
      <c r="S153" s="209" t="e">
        <f t="shared" si="75"/>
        <v>#REF!</v>
      </c>
      <c r="T153" s="209" t="e">
        <f t="shared" si="75"/>
        <v>#REF!</v>
      </c>
      <c r="U153" s="209" t="e">
        <f t="shared" si="75"/>
        <v>#REF!</v>
      </c>
      <c r="V153" s="209" t="e">
        <f t="shared" si="75"/>
        <v>#REF!</v>
      </c>
      <c r="W153" s="209" t="e">
        <f t="shared" si="75"/>
        <v>#REF!</v>
      </c>
      <c r="X153" s="209" t="e">
        <f t="shared" si="75"/>
        <v>#REF!</v>
      </c>
      <c r="Y153" s="209" t="e">
        <f t="shared" si="75"/>
        <v>#REF!</v>
      </c>
      <c r="Z153" s="209" t="e">
        <f t="shared" si="75"/>
        <v>#REF!</v>
      </c>
      <c r="AA153" s="209" t="e">
        <f t="shared" si="75"/>
        <v>#REF!</v>
      </c>
      <c r="AB153" s="209" t="e">
        <f t="shared" si="75"/>
        <v>#REF!</v>
      </c>
    </row>
    <row r="154" spans="2:28" ht="13.8" outlineLevel="1" thickBot="1">
      <c r="B154" s="194" t="e">
        <f>#REF!</f>
        <v>#REF!</v>
      </c>
      <c r="C154" s="218"/>
      <c r="D154" s="218"/>
      <c r="E154" s="218"/>
      <c r="F154" s="218"/>
      <c r="G154" s="218"/>
      <c r="H154" s="218"/>
      <c r="I154" s="21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  <c r="AB154" s="208"/>
    </row>
    <row r="155" spans="2:28" ht="13.8" outlineLevel="1" thickBot="1">
      <c r="B155" s="179" t="s">
        <v>134</v>
      </c>
      <c r="C155" s="163"/>
      <c r="D155" s="163"/>
      <c r="E155" s="163"/>
      <c r="F155" s="163"/>
      <c r="G155" s="163" t="s">
        <v>117</v>
      </c>
      <c r="H155" s="163" t="s">
        <v>117</v>
      </c>
      <c r="I155" s="163" t="s">
        <v>117</v>
      </c>
      <c r="J155" s="206">
        <v>0</v>
      </c>
      <c r="K155" s="206" t="e">
        <f>J159</f>
        <v>#REF!</v>
      </c>
      <c r="L155" s="206" t="e">
        <f>K159</f>
        <v>#REF!</v>
      </c>
      <c r="M155" s="206" t="e">
        <f>L159</f>
        <v>#REF!</v>
      </c>
      <c r="N155" s="206">
        <v>0</v>
      </c>
      <c r="O155" s="206" t="e">
        <f>M159</f>
        <v>#REF!</v>
      </c>
      <c r="P155" s="206" t="e">
        <f>O159</f>
        <v>#REF!</v>
      </c>
      <c r="Q155" s="206" t="e">
        <f>P159</f>
        <v>#REF!</v>
      </c>
      <c r="R155" s="206" t="e">
        <f>Q159</f>
        <v>#REF!</v>
      </c>
      <c r="S155" s="206" t="e">
        <f>O155</f>
        <v>#REF!</v>
      </c>
      <c r="T155" s="206" t="e">
        <f>R159</f>
        <v>#REF!</v>
      </c>
      <c r="U155" s="206" t="e">
        <f>T159</f>
        <v>#REF!</v>
      </c>
      <c r="V155" s="206" t="e">
        <f>U159</f>
        <v>#REF!</v>
      </c>
      <c r="W155" s="206" t="e">
        <f>V159</f>
        <v>#REF!</v>
      </c>
      <c r="X155" s="206" t="e">
        <f>T155</f>
        <v>#REF!</v>
      </c>
      <c r="Y155" s="206" t="e">
        <f>W159</f>
        <v>#REF!</v>
      </c>
      <c r="Z155" s="206" t="e">
        <f>Y159</f>
        <v>#REF!</v>
      </c>
      <c r="AA155" s="206" t="e">
        <f>Z159</f>
        <v>#REF!</v>
      </c>
      <c r="AB155" s="206" t="e">
        <f>AA159</f>
        <v>#REF!</v>
      </c>
    </row>
    <row r="156" spans="2:28" ht="13.8" outlineLevel="1" thickBot="1">
      <c r="B156" s="179" t="s">
        <v>242</v>
      </c>
      <c r="C156" s="163"/>
      <c r="D156" s="163"/>
      <c r="E156" s="163"/>
      <c r="F156" s="163"/>
      <c r="G156" s="163" t="s">
        <v>117</v>
      </c>
      <c r="H156" s="163" t="s">
        <v>117</v>
      </c>
      <c r="I156" s="163" t="s">
        <v>117</v>
      </c>
      <c r="J156" s="206">
        <v>0</v>
      </c>
      <c r="K156" s="206">
        <v>0</v>
      </c>
      <c r="L156" s="206">
        <v>0</v>
      </c>
      <c r="M156" s="206">
        <v>0</v>
      </c>
      <c r="N156" s="206">
        <f>SUM(J156:M156)</f>
        <v>0</v>
      </c>
      <c r="O156" s="206">
        <v>0</v>
      </c>
      <c r="P156" s="206">
        <v>0</v>
      </c>
      <c r="Q156" s="206">
        <v>0</v>
      </c>
      <c r="R156" s="206">
        <v>0</v>
      </c>
      <c r="S156" s="206">
        <f>SUM(O156:R156)</f>
        <v>0</v>
      </c>
      <c r="T156" s="206">
        <v>0</v>
      </c>
      <c r="U156" s="206">
        <v>0</v>
      </c>
      <c r="V156" s="206">
        <v>0</v>
      </c>
      <c r="W156" s="206">
        <v>0</v>
      </c>
      <c r="X156" s="206">
        <f>SUM(T156:W156)</f>
        <v>0</v>
      </c>
      <c r="Y156" s="206">
        <v>0</v>
      </c>
      <c r="Z156" s="206">
        <v>0</v>
      </c>
      <c r="AA156" s="206">
        <v>0</v>
      </c>
      <c r="AB156" s="206">
        <v>0</v>
      </c>
    </row>
    <row r="157" spans="2:28" ht="13.8" outlineLevel="1" thickBot="1">
      <c r="B157" s="203" t="s">
        <v>243</v>
      </c>
      <c r="C157" s="217"/>
      <c r="D157" s="217"/>
      <c r="E157" s="217"/>
      <c r="F157" s="217"/>
      <c r="G157" s="217" t="s">
        <v>117</v>
      </c>
      <c r="H157" s="217" t="s">
        <v>117</v>
      </c>
      <c r="I157" s="217" t="s">
        <v>117</v>
      </c>
      <c r="J157" s="207" t="e">
        <f>#REF!/1000</f>
        <v>#REF!</v>
      </c>
      <c r="K157" s="207" t="e">
        <f>#REF!/1000</f>
        <v>#REF!</v>
      </c>
      <c r="L157" s="207" t="e">
        <f>#REF!/1000</f>
        <v>#REF!</v>
      </c>
      <c r="M157" s="207" t="e">
        <f>#REF!/1000</f>
        <v>#REF!</v>
      </c>
      <c r="N157" s="207" t="e">
        <f>SUM(J157:M157)</f>
        <v>#REF!</v>
      </c>
      <c r="O157" s="207" t="e">
        <f>#REF!/1000</f>
        <v>#REF!</v>
      </c>
      <c r="P157" s="207" t="e">
        <f>#REF!/1000</f>
        <v>#REF!</v>
      </c>
      <c r="Q157" s="207" t="e">
        <f>#REF!/1000</f>
        <v>#REF!</v>
      </c>
      <c r="R157" s="207" t="e">
        <f>#REF!/1000</f>
        <v>#REF!</v>
      </c>
      <c r="S157" s="207" t="e">
        <f>SUM(O157:R157)</f>
        <v>#REF!</v>
      </c>
      <c r="T157" s="207" t="e">
        <f>#REF!/1000</f>
        <v>#REF!</v>
      </c>
      <c r="U157" s="207" t="e">
        <f>#REF!/1000</f>
        <v>#REF!</v>
      </c>
      <c r="V157" s="207" t="e">
        <f>#REF!/1000</f>
        <v>#REF!</v>
      </c>
      <c r="W157" s="207" t="e">
        <f>#REF!/1000</f>
        <v>#REF!</v>
      </c>
      <c r="X157" s="207" t="e">
        <f>SUM(T157:W157)</f>
        <v>#REF!</v>
      </c>
      <c r="Y157" s="207" t="e">
        <f>#REF!/1000</f>
        <v>#REF!</v>
      </c>
      <c r="Z157" s="207" t="e">
        <f>#REF!/1000</f>
        <v>#REF!</v>
      </c>
      <c r="AA157" s="207" t="e">
        <f>#REF!/1000</f>
        <v>#REF!</v>
      </c>
      <c r="AB157" s="207" t="e">
        <f>#REF!/1000</f>
        <v>#REF!</v>
      </c>
    </row>
    <row r="158" spans="2:28" ht="13.8" outlineLevel="1" thickBot="1">
      <c r="B158" s="179" t="s">
        <v>136</v>
      </c>
      <c r="C158" s="163"/>
      <c r="D158" s="163"/>
      <c r="E158" s="163"/>
      <c r="F158" s="163"/>
      <c r="G158" s="163" t="s">
        <v>117</v>
      </c>
      <c r="H158" s="163" t="s">
        <v>117</v>
      </c>
      <c r="I158" s="163" t="s">
        <v>117</v>
      </c>
      <c r="J158" s="206" t="e">
        <f>#REF!/1000</f>
        <v>#REF!</v>
      </c>
      <c r="K158" s="206" t="e">
        <f>#REF!/1000</f>
        <v>#REF!</v>
      </c>
      <c r="L158" s="206" t="e">
        <f>#REF!/1000</f>
        <v>#REF!</v>
      </c>
      <c r="M158" s="206" t="e">
        <f>#REF!/1000</f>
        <v>#REF!</v>
      </c>
      <c r="N158" s="206" t="e">
        <f>SUM(J158:M158)</f>
        <v>#REF!</v>
      </c>
      <c r="O158" s="206" t="e">
        <f>#REF!/1000</f>
        <v>#REF!</v>
      </c>
      <c r="P158" s="206" t="e">
        <f>#REF!/1000</f>
        <v>#REF!</v>
      </c>
      <c r="Q158" s="206" t="e">
        <f>#REF!/1000</f>
        <v>#REF!</v>
      </c>
      <c r="R158" s="206" t="e">
        <f>#REF!/1000</f>
        <v>#REF!</v>
      </c>
      <c r="S158" s="206" t="e">
        <f>SUM(O158:R158)</f>
        <v>#REF!</v>
      </c>
      <c r="T158" s="206" t="e">
        <f>#REF!/1000</f>
        <v>#REF!</v>
      </c>
      <c r="U158" s="206" t="e">
        <f>#REF!/1000</f>
        <v>#REF!</v>
      </c>
      <c r="V158" s="206" t="e">
        <f>#REF!/1000</f>
        <v>#REF!</v>
      </c>
      <c r="W158" s="206" t="e">
        <f>#REF!/1000</f>
        <v>#REF!</v>
      </c>
      <c r="X158" s="206" t="e">
        <f>SUM(T158:W158)</f>
        <v>#REF!</v>
      </c>
      <c r="Y158" s="206" t="e">
        <f>#REF!/1000</f>
        <v>#REF!</v>
      </c>
      <c r="Z158" s="206" t="e">
        <f>#REF!/1000</f>
        <v>#REF!</v>
      </c>
      <c r="AA158" s="206" t="e">
        <f>#REF!/1000</f>
        <v>#REF!</v>
      </c>
      <c r="AB158" s="206" t="e">
        <f>#REF!/1000</f>
        <v>#REF!</v>
      </c>
    </row>
    <row r="159" spans="2:28" ht="13.8" outlineLevel="1" thickBot="1">
      <c r="B159" s="203" t="s">
        <v>137</v>
      </c>
      <c r="C159" s="217"/>
      <c r="D159" s="217"/>
      <c r="E159" s="217"/>
      <c r="F159" s="217"/>
      <c r="G159" s="217" t="s">
        <v>117</v>
      </c>
      <c r="H159" s="217" t="s">
        <v>117</v>
      </c>
      <c r="I159" s="217" t="s">
        <v>117</v>
      </c>
      <c r="J159" s="209" t="e">
        <f t="shared" ref="J159:AB159" si="76">J155+J156-J158</f>
        <v>#REF!</v>
      </c>
      <c r="K159" s="209" t="e">
        <f t="shared" si="76"/>
        <v>#REF!</v>
      </c>
      <c r="L159" s="209" t="e">
        <f t="shared" si="76"/>
        <v>#REF!</v>
      </c>
      <c r="M159" s="209" t="e">
        <f t="shared" si="76"/>
        <v>#REF!</v>
      </c>
      <c r="N159" s="209" t="e">
        <f t="shared" si="76"/>
        <v>#REF!</v>
      </c>
      <c r="O159" s="209" t="e">
        <f t="shared" si="76"/>
        <v>#REF!</v>
      </c>
      <c r="P159" s="209" t="e">
        <f t="shared" si="76"/>
        <v>#REF!</v>
      </c>
      <c r="Q159" s="209" t="e">
        <f t="shared" si="76"/>
        <v>#REF!</v>
      </c>
      <c r="R159" s="209" t="e">
        <f t="shared" si="76"/>
        <v>#REF!</v>
      </c>
      <c r="S159" s="209" t="e">
        <f t="shared" si="76"/>
        <v>#REF!</v>
      </c>
      <c r="T159" s="209" t="e">
        <f t="shared" si="76"/>
        <v>#REF!</v>
      </c>
      <c r="U159" s="209" t="e">
        <f t="shared" si="76"/>
        <v>#REF!</v>
      </c>
      <c r="V159" s="209" t="e">
        <f t="shared" si="76"/>
        <v>#REF!</v>
      </c>
      <c r="W159" s="209" t="e">
        <f t="shared" si="76"/>
        <v>#REF!</v>
      </c>
      <c r="X159" s="209" t="e">
        <f t="shared" si="76"/>
        <v>#REF!</v>
      </c>
      <c r="Y159" s="209" t="e">
        <f t="shared" si="76"/>
        <v>#REF!</v>
      </c>
      <c r="Z159" s="209" t="e">
        <f t="shared" si="76"/>
        <v>#REF!</v>
      </c>
      <c r="AA159" s="209" t="e">
        <f t="shared" si="76"/>
        <v>#REF!</v>
      </c>
      <c r="AB159" s="209" t="e">
        <f t="shared" si="76"/>
        <v>#REF!</v>
      </c>
    </row>
    <row r="160" spans="2:28" ht="13.8" outlineLevel="1" thickBot="1">
      <c r="B160" s="194" t="e">
        <f>#REF!</f>
        <v>#REF!</v>
      </c>
      <c r="C160" s="218"/>
      <c r="D160" s="218"/>
      <c r="E160" s="218"/>
      <c r="F160" s="218"/>
      <c r="G160" s="218"/>
      <c r="H160" s="218"/>
      <c r="I160" s="21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  <c r="AB160" s="208"/>
    </row>
    <row r="161" spans="2:28" ht="13.8" outlineLevel="1" thickBot="1">
      <c r="B161" s="179" t="s">
        <v>134</v>
      </c>
      <c r="C161" s="163"/>
      <c r="D161" s="163"/>
      <c r="E161" s="163"/>
      <c r="F161" s="163"/>
      <c r="G161" s="163" t="s">
        <v>117</v>
      </c>
      <c r="H161" s="163" t="s">
        <v>117</v>
      </c>
      <c r="I161" s="163" t="s">
        <v>117</v>
      </c>
      <c r="J161" s="206">
        <v>0</v>
      </c>
      <c r="K161" s="206" t="e">
        <f>J165</f>
        <v>#REF!</v>
      </c>
      <c r="L161" s="206" t="e">
        <f>K165</f>
        <v>#REF!</v>
      </c>
      <c r="M161" s="206" t="e">
        <f>L165</f>
        <v>#REF!</v>
      </c>
      <c r="N161" s="206">
        <v>0</v>
      </c>
      <c r="O161" s="206" t="e">
        <f>M165</f>
        <v>#REF!</v>
      </c>
      <c r="P161" s="206" t="e">
        <f>O165</f>
        <v>#REF!</v>
      </c>
      <c r="Q161" s="206" t="e">
        <f>P165</f>
        <v>#REF!</v>
      </c>
      <c r="R161" s="206" t="e">
        <f>Q165</f>
        <v>#REF!</v>
      </c>
      <c r="S161" s="206" t="e">
        <f>O161</f>
        <v>#REF!</v>
      </c>
      <c r="T161" s="206" t="e">
        <f>R165</f>
        <v>#REF!</v>
      </c>
      <c r="U161" s="206" t="e">
        <f>T165</f>
        <v>#REF!</v>
      </c>
      <c r="V161" s="206" t="e">
        <f>U165</f>
        <v>#REF!</v>
      </c>
      <c r="W161" s="206" t="e">
        <f>V165</f>
        <v>#REF!</v>
      </c>
      <c r="X161" s="206" t="e">
        <f>T161</f>
        <v>#REF!</v>
      </c>
      <c r="Y161" s="206" t="e">
        <f>W165</f>
        <v>#REF!</v>
      </c>
      <c r="Z161" s="206" t="e">
        <f>Y165</f>
        <v>#REF!</v>
      </c>
      <c r="AA161" s="206" t="e">
        <f>Z165</f>
        <v>#REF!</v>
      </c>
      <c r="AB161" s="206" t="e">
        <f>AA165</f>
        <v>#REF!</v>
      </c>
    </row>
    <row r="162" spans="2:28" ht="13.8" outlineLevel="1" thickBot="1">
      <c r="B162" s="179" t="s">
        <v>242</v>
      </c>
      <c r="C162" s="163"/>
      <c r="D162" s="163"/>
      <c r="E162" s="163"/>
      <c r="F162" s="163"/>
      <c r="G162" s="163" t="s">
        <v>117</v>
      </c>
      <c r="H162" s="163" t="s">
        <v>117</v>
      </c>
      <c r="I162" s="163" t="s">
        <v>117</v>
      </c>
      <c r="J162" s="206">
        <v>0</v>
      </c>
      <c r="K162" s="206">
        <v>0</v>
      </c>
      <c r="L162" s="206">
        <v>0</v>
      </c>
      <c r="M162" s="206">
        <v>0</v>
      </c>
      <c r="N162" s="206">
        <f>SUM(J162:M162)</f>
        <v>0</v>
      </c>
      <c r="O162" s="206">
        <v>0</v>
      </c>
      <c r="P162" s="206">
        <v>0</v>
      </c>
      <c r="Q162" s="206">
        <v>0</v>
      </c>
      <c r="R162" s="206">
        <v>0</v>
      </c>
      <c r="S162" s="206">
        <f>SUM(O162:R162)</f>
        <v>0</v>
      </c>
      <c r="T162" s="206">
        <v>0</v>
      </c>
      <c r="U162" s="206">
        <v>0</v>
      </c>
      <c r="V162" s="206">
        <v>0</v>
      </c>
      <c r="W162" s="206">
        <v>0</v>
      </c>
      <c r="X162" s="206">
        <f>SUM(T162:W162)</f>
        <v>0</v>
      </c>
      <c r="Y162" s="206">
        <v>0</v>
      </c>
      <c r="Z162" s="206">
        <v>0</v>
      </c>
      <c r="AA162" s="206">
        <v>0</v>
      </c>
      <c r="AB162" s="206">
        <v>0</v>
      </c>
    </row>
    <row r="163" spans="2:28" ht="13.8" outlineLevel="1" thickBot="1">
      <c r="B163" s="203" t="s">
        <v>243</v>
      </c>
      <c r="C163" s="217"/>
      <c r="D163" s="217"/>
      <c r="E163" s="217"/>
      <c r="F163" s="217"/>
      <c r="G163" s="217" t="s">
        <v>117</v>
      </c>
      <c r="H163" s="217" t="s">
        <v>117</v>
      </c>
      <c r="I163" s="217" t="s">
        <v>117</v>
      </c>
      <c r="J163" s="207" t="e">
        <f>#REF!/1000</f>
        <v>#REF!</v>
      </c>
      <c r="K163" s="207" t="e">
        <f>#REF!/1000</f>
        <v>#REF!</v>
      </c>
      <c r="L163" s="207" t="e">
        <f>#REF!/1000</f>
        <v>#REF!</v>
      </c>
      <c r="M163" s="207" t="e">
        <f>#REF!/1000</f>
        <v>#REF!</v>
      </c>
      <c r="N163" s="207" t="e">
        <f>SUM(J163:M163)</f>
        <v>#REF!</v>
      </c>
      <c r="O163" s="207" t="e">
        <f>#REF!/1000</f>
        <v>#REF!</v>
      </c>
      <c r="P163" s="207" t="e">
        <f>#REF!/1000</f>
        <v>#REF!</v>
      </c>
      <c r="Q163" s="207" t="e">
        <f>#REF!/1000</f>
        <v>#REF!</v>
      </c>
      <c r="R163" s="207" t="e">
        <f>#REF!/1000</f>
        <v>#REF!</v>
      </c>
      <c r="S163" s="207" t="e">
        <f>SUM(O163:R163)</f>
        <v>#REF!</v>
      </c>
      <c r="T163" s="207" t="e">
        <f>#REF!/1000</f>
        <v>#REF!</v>
      </c>
      <c r="U163" s="207" t="e">
        <f>#REF!/1000</f>
        <v>#REF!</v>
      </c>
      <c r="V163" s="207" t="e">
        <f>#REF!/1000</f>
        <v>#REF!</v>
      </c>
      <c r="W163" s="207" t="e">
        <f>#REF!/1000</f>
        <v>#REF!</v>
      </c>
      <c r="X163" s="207" t="e">
        <f>SUM(T163:W163)</f>
        <v>#REF!</v>
      </c>
      <c r="Y163" s="207" t="e">
        <f>#REF!/1000</f>
        <v>#REF!</v>
      </c>
      <c r="Z163" s="207" t="e">
        <f>#REF!/1000</f>
        <v>#REF!</v>
      </c>
      <c r="AA163" s="207" t="e">
        <f>#REF!/1000</f>
        <v>#REF!</v>
      </c>
      <c r="AB163" s="207" t="e">
        <f>#REF!/1000</f>
        <v>#REF!</v>
      </c>
    </row>
    <row r="164" spans="2:28" ht="13.8" outlineLevel="1" thickBot="1">
      <c r="B164" s="179" t="s">
        <v>136</v>
      </c>
      <c r="C164" s="163"/>
      <c r="D164" s="163"/>
      <c r="E164" s="163"/>
      <c r="F164" s="163"/>
      <c r="G164" s="163" t="s">
        <v>117</v>
      </c>
      <c r="H164" s="163" t="s">
        <v>117</v>
      </c>
      <c r="I164" s="163" t="s">
        <v>117</v>
      </c>
      <c r="J164" s="206" t="e">
        <f>#REF!/1000</f>
        <v>#REF!</v>
      </c>
      <c r="K164" s="206" t="e">
        <f>#REF!/1000</f>
        <v>#REF!</v>
      </c>
      <c r="L164" s="206" t="e">
        <f>#REF!/1000</f>
        <v>#REF!</v>
      </c>
      <c r="M164" s="206" t="e">
        <f>#REF!/1000</f>
        <v>#REF!</v>
      </c>
      <c r="N164" s="206" t="e">
        <f>SUM(J164:M164)</f>
        <v>#REF!</v>
      </c>
      <c r="O164" s="206" t="e">
        <f>#REF!/1000</f>
        <v>#REF!</v>
      </c>
      <c r="P164" s="206" t="e">
        <f>#REF!/1000</f>
        <v>#REF!</v>
      </c>
      <c r="Q164" s="206" t="e">
        <f>#REF!/1000</f>
        <v>#REF!</v>
      </c>
      <c r="R164" s="206" t="e">
        <f>#REF!/1000</f>
        <v>#REF!</v>
      </c>
      <c r="S164" s="206" t="e">
        <f>SUM(O164:R164)</f>
        <v>#REF!</v>
      </c>
      <c r="T164" s="206" t="e">
        <f>#REF!/1000</f>
        <v>#REF!</v>
      </c>
      <c r="U164" s="206" t="e">
        <f>#REF!/1000</f>
        <v>#REF!</v>
      </c>
      <c r="V164" s="206" t="e">
        <f>#REF!/1000</f>
        <v>#REF!</v>
      </c>
      <c r="W164" s="206" t="e">
        <f>#REF!/1000</f>
        <v>#REF!</v>
      </c>
      <c r="X164" s="206" t="e">
        <f>SUM(T164:W164)</f>
        <v>#REF!</v>
      </c>
      <c r="Y164" s="206" t="e">
        <f>#REF!/1000</f>
        <v>#REF!</v>
      </c>
      <c r="Z164" s="206" t="e">
        <f>#REF!/1000</f>
        <v>#REF!</v>
      </c>
      <c r="AA164" s="206" t="e">
        <f>#REF!/1000</f>
        <v>#REF!</v>
      </c>
      <c r="AB164" s="206" t="e">
        <f>#REF!/1000</f>
        <v>#REF!</v>
      </c>
    </row>
    <row r="165" spans="2:28" ht="13.8" outlineLevel="1" thickBot="1">
      <c r="B165" s="203" t="s">
        <v>137</v>
      </c>
      <c r="C165" s="217"/>
      <c r="D165" s="217"/>
      <c r="E165" s="217"/>
      <c r="F165" s="217"/>
      <c r="G165" s="217" t="s">
        <v>117</v>
      </c>
      <c r="H165" s="217" t="s">
        <v>117</v>
      </c>
      <c r="I165" s="217" t="s">
        <v>117</v>
      </c>
      <c r="J165" s="209" t="e">
        <f t="shared" ref="J165:AB165" si="77">J161+J162-J164</f>
        <v>#REF!</v>
      </c>
      <c r="K165" s="209" t="e">
        <f t="shared" si="77"/>
        <v>#REF!</v>
      </c>
      <c r="L165" s="209" t="e">
        <f t="shared" si="77"/>
        <v>#REF!</v>
      </c>
      <c r="M165" s="209" t="e">
        <f t="shared" si="77"/>
        <v>#REF!</v>
      </c>
      <c r="N165" s="209" t="e">
        <f t="shared" si="77"/>
        <v>#REF!</v>
      </c>
      <c r="O165" s="209" t="e">
        <f t="shared" si="77"/>
        <v>#REF!</v>
      </c>
      <c r="P165" s="209" t="e">
        <f t="shared" si="77"/>
        <v>#REF!</v>
      </c>
      <c r="Q165" s="209" t="e">
        <f t="shared" si="77"/>
        <v>#REF!</v>
      </c>
      <c r="R165" s="209" t="e">
        <f t="shared" si="77"/>
        <v>#REF!</v>
      </c>
      <c r="S165" s="209" t="e">
        <f t="shared" si="77"/>
        <v>#REF!</v>
      </c>
      <c r="T165" s="209" t="e">
        <f t="shared" si="77"/>
        <v>#REF!</v>
      </c>
      <c r="U165" s="209" t="e">
        <f t="shared" si="77"/>
        <v>#REF!</v>
      </c>
      <c r="V165" s="209" t="e">
        <f t="shared" si="77"/>
        <v>#REF!</v>
      </c>
      <c r="W165" s="209" t="e">
        <f t="shared" si="77"/>
        <v>#REF!</v>
      </c>
      <c r="X165" s="209" t="e">
        <f t="shared" si="77"/>
        <v>#REF!</v>
      </c>
      <c r="Y165" s="209" t="e">
        <f t="shared" si="77"/>
        <v>#REF!</v>
      </c>
      <c r="Z165" s="209" t="e">
        <f t="shared" si="77"/>
        <v>#REF!</v>
      </c>
      <c r="AA165" s="209" t="e">
        <f t="shared" si="77"/>
        <v>#REF!</v>
      </c>
      <c r="AB165" s="209" t="e">
        <f t="shared" si="77"/>
        <v>#REF!</v>
      </c>
    </row>
    <row r="166" spans="2:28" ht="13.8" outlineLevel="1" thickBot="1">
      <c r="B166" s="194" t="e">
        <f>#REF!</f>
        <v>#REF!</v>
      </c>
      <c r="C166" s="218"/>
      <c r="D166" s="218"/>
      <c r="E166" s="218"/>
      <c r="F166" s="218"/>
      <c r="G166" s="218"/>
      <c r="H166" s="218"/>
      <c r="I166" s="21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  <c r="AB166" s="208"/>
    </row>
    <row r="167" spans="2:28" ht="13.8" outlineLevel="1" thickBot="1">
      <c r="B167" s="179" t="s">
        <v>134</v>
      </c>
      <c r="C167" s="163"/>
      <c r="D167" s="163"/>
      <c r="E167" s="163"/>
      <c r="F167" s="163"/>
      <c r="G167" s="163" t="s">
        <v>117</v>
      </c>
      <c r="H167" s="163" t="s">
        <v>117</v>
      </c>
      <c r="I167" s="163" t="s">
        <v>117</v>
      </c>
      <c r="J167" s="206" t="str">
        <f>H172</f>
        <v>n.a.</v>
      </c>
      <c r="K167" s="206" t="e">
        <f>J172</f>
        <v>#REF!</v>
      </c>
      <c r="L167" s="206" t="e">
        <f>K172</f>
        <v>#REF!</v>
      </c>
      <c r="M167" s="206" t="e">
        <f>L172</f>
        <v>#REF!</v>
      </c>
      <c r="N167" s="206">
        <v>0</v>
      </c>
      <c r="O167" s="206" t="e">
        <f>M172</f>
        <v>#REF!</v>
      </c>
      <c r="P167" s="206" t="e">
        <f>O172</f>
        <v>#REF!</v>
      </c>
      <c r="Q167" s="206" t="e">
        <f>P172</f>
        <v>#REF!</v>
      </c>
      <c r="R167" s="206" t="e">
        <f>Q172</f>
        <v>#REF!</v>
      </c>
      <c r="S167" s="206" t="e">
        <f>O167</f>
        <v>#REF!</v>
      </c>
      <c r="T167" s="206" t="e">
        <f>R172</f>
        <v>#REF!</v>
      </c>
      <c r="U167" s="206" t="e">
        <f>T172</f>
        <v>#REF!</v>
      </c>
      <c r="V167" s="206" t="e">
        <f>U172</f>
        <v>#REF!</v>
      </c>
      <c r="W167" s="206" t="e">
        <f>V172</f>
        <v>#REF!</v>
      </c>
      <c r="X167" s="206" t="e">
        <f>T167</f>
        <v>#REF!</v>
      </c>
      <c r="Y167" s="206" t="e">
        <f>W172</f>
        <v>#REF!</v>
      </c>
      <c r="Z167" s="206" t="e">
        <f>Y172</f>
        <v>#REF!</v>
      </c>
      <c r="AA167" s="206" t="e">
        <f>Z172</f>
        <v>#REF!</v>
      </c>
      <c r="AB167" s="206" t="e">
        <f>AA172</f>
        <v>#REF!</v>
      </c>
    </row>
    <row r="168" spans="2:28" ht="13.8" outlineLevel="1" thickBot="1">
      <c r="B168" s="179" t="s">
        <v>242</v>
      </c>
      <c r="C168" s="163"/>
      <c r="D168" s="163"/>
      <c r="E168" s="163"/>
      <c r="F168" s="163"/>
      <c r="G168" s="163" t="s">
        <v>117</v>
      </c>
      <c r="H168" s="163" t="s">
        <v>117</v>
      </c>
      <c r="I168" s="163" t="s">
        <v>117</v>
      </c>
      <c r="J168" s="206">
        <v>0</v>
      </c>
      <c r="K168" s="206">
        <v>0</v>
      </c>
      <c r="L168" s="206">
        <v>0</v>
      </c>
      <c r="M168" s="206">
        <v>0</v>
      </c>
      <c r="N168" s="206">
        <f>SUM(J168:M168)</f>
        <v>0</v>
      </c>
      <c r="O168" s="206">
        <v>0</v>
      </c>
      <c r="P168" s="206">
        <v>0</v>
      </c>
      <c r="Q168" s="206">
        <v>0</v>
      </c>
      <c r="R168" s="206">
        <v>0</v>
      </c>
      <c r="S168" s="206">
        <f>SUM(O168:R168)</f>
        <v>0</v>
      </c>
      <c r="T168" s="206">
        <v>0</v>
      </c>
      <c r="U168" s="206">
        <v>0</v>
      </c>
      <c r="V168" s="206">
        <v>0</v>
      </c>
      <c r="W168" s="206">
        <v>0</v>
      </c>
      <c r="X168" s="206">
        <f>SUM(T168:W168)</f>
        <v>0</v>
      </c>
      <c r="Y168" s="206">
        <v>0</v>
      </c>
      <c r="Z168" s="206">
        <v>0</v>
      </c>
      <c r="AA168" s="206">
        <v>0</v>
      </c>
      <c r="AB168" s="206">
        <v>0</v>
      </c>
    </row>
    <row r="169" spans="2:28" ht="13.8" outlineLevel="1" thickBot="1">
      <c r="B169" s="203" t="s">
        <v>243</v>
      </c>
      <c r="C169" s="217"/>
      <c r="D169" s="217"/>
      <c r="E169" s="217"/>
      <c r="F169" s="217"/>
      <c r="G169" s="217" t="s">
        <v>117</v>
      </c>
      <c r="H169" s="217" t="s">
        <v>117</v>
      </c>
      <c r="I169" s="217" t="s">
        <v>117</v>
      </c>
      <c r="J169" s="207" t="e">
        <f>#REF!/1000</f>
        <v>#REF!</v>
      </c>
      <c r="K169" s="207" t="e">
        <f>#REF!/1000</f>
        <v>#REF!</v>
      </c>
      <c r="L169" s="207" t="e">
        <f>#REF!/1000</f>
        <v>#REF!</v>
      </c>
      <c r="M169" s="207" t="e">
        <f>#REF!/1000</f>
        <v>#REF!</v>
      </c>
      <c r="N169" s="207" t="e">
        <f>SUM(J169:M169)</f>
        <v>#REF!</v>
      </c>
      <c r="O169" s="207" t="e">
        <f>#REF!/1000</f>
        <v>#REF!</v>
      </c>
      <c r="P169" s="207" t="e">
        <f>#REF!/1000</f>
        <v>#REF!</v>
      </c>
      <c r="Q169" s="207" t="e">
        <f>#REF!/1000</f>
        <v>#REF!</v>
      </c>
      <c r="R169" s="207" t="e">
        <f>#REF!/1000</f>
        <v>#REF!</v>
      </c>
      <c r="S169" s="207" t="e">
        <f>SUM(O169:R169)</f>
        <v>#REF!</v>
      </c>
      <c r="T169" s="207" t="e">
        <f>#REF!/1000</f>
        <v>#REF!</v>
      </c>
      <c r="U169" s="207" t="e">
        <f>#REF!/1000</f>
        <v>#REF!</v>
      </c>
      <c r="V169" s="207" t="e">
        <f>#REF!/1000</f>
        <v>#REF!</v>
      </c>
      <c r="W169" s="207" t="e">
        <f>#REF!/1000</f>
        <v>#REF!</v>
      </c>
      <c r="X169" s="207" t="e">
        <f>SUM(T169:W169)</f>
        <v>#REF!</v>
      </c>
      <c r="Y169" s="207" t="e">
        <f>#REF!/1000</f>
        <v>#REF!</v>
      </c>
      <c r="Z169" s="207" t="e">
        <f>#REF!/1000</f>
        <v>#REF!</v>
      </c>
      <c r="AA169" s="207" t="e">
        <f>#REF!/1000</f>
        <v>#REF!</v>
      </c>
      <c r="AB169" s="207" t="e">
        <f>#REF!/1000</f>
        <v>#REF!</v>
      </c>
    </row>
    <row r="170" spans="2:28" ht="13.8" outlineLevel="1" thickBot="1">
      <c r="B170" s="203" t="s">
        <v>244</v>
      </c>
      <c r="C170" s="217"/>
      <c r="D170" s="217"/>
      <c r="E170" s="217"/>
      <c r="F170" s="217"/>
      <c r="G170" s="217" t="s">
        <v>117</v>
      </c>
      <c r="H170" s="217" t="s">
        <v>117</v>
      </c>
      <c r="I170" s="217" t="s">
        <v>117</v>
      </c>
      <c r="J170" s="207" t="e">
        <f>#REF!/1000</f>
        <v>#REF!</v>
      </c>
      <c r="K170" s="207" t="e">
        <f>#REF!/1000</f>
        <v>#REF!</v>
      </c>
      <c r="L170" s="207" t="e">
        <f>#REF!/1000</f>
        <v>#REF!</v>
      </c>
      <c r="M170" s="207" t="e">
        <f>#REF!/1000</f>
        <v>#REF!</v>
      </c>
      <c r="N170" s="207" t="e">
        <f>SUM(J170:M170)</f>
        <v>#REF!</v>
      </c>
      <c r="O170" s="207" t="e">
        <f>#REF!/1000</f>
        <v>#REF!</v>
      </c>
      <c r="P170" s="207" t="e">
        <f>#REF!/1000</f>
        <v>#REF!</v>
      </c>
      <c r="Q170" s="207" t="e">
        <f>#REF!/1000</f>
        <v>#REF!</v>
      </c>
      <c r="R170" s="207" t="e">
        <f>#REF!/1000</f>
        <v>#REF!</v>
      </c>
      <c r="S170" s="207" t="e">
        <f>SUM(O170:R170)</f>
        <v>#REF!</v>
      </c>
      <c r="T170" s="207" t="e">
        <f>#REF!/1000</f>
        <v>#REF!</v>
      </c>
      <c r="U170" s="207" t="e">
        <f>#REF!/1000</f>
        <v>#REF!</v>
      </c>
      <c r="V170" s="207" t="e">
        <f>#REF!/1000</f>
        <v>#REF!</v>
      </c>
      <c r="W170" s="207" t="e">
        <f>#REF!/1000</f>
        <v>#REF!</v>
      </c>
      <c r="X170" s="207" t="e">
        <f>SUM(T170:W170)</f>
        <v>#REF!</v>
      </c>
      <c r="Y170" s="207" t="e">
        <f>#REF!/1000</f>
        <v>#REF!</v>
      </c>
      <c r="Z170" s="207" t="e">
        <f>#REF!/1000</f>
        <v>#REF!</v>
      </c>
      <c r="AA170" s="207" t="e">
        <f>#REF!/1000</f>
        <v>#REF!</v>
      </c>
      <c r="AB170" s="207" t="e">
        <f>#REF!/1000</f>
        <v>#REF!</v>
      </c>
    </row>
    <row r="171" spans="2:28" ht="13.8" outlineLevel="1" thickBot="1">
      <c r="B171" s="179" t="s">
        <v>136</v>
      </c>
      <c r="C171" s="163"/>
      <c r="D171" s="163"/>
      <c r="E171" s="163"/>
      <c r="F171" s="163"/>
      <c r="G171" s="163" t="s">
        <v>117</v>
      </c>
      <c r="H171" s="163" t="s">
        <v>117</v>
      </c>
      <c r="I171" s="163" t="s">
        <v>117</v>
      </c>
      <c r="J171" s="206" t="e">
        <f>#REF!/1000</f>
        <v>#REF!</v>
      </c>
      <c r="K171" s="206" t="e">
        <f>#REF!/1000</f>
        <v>#REF!</v>
      </c>
      <c r="L171" s="206" t="e">
        <f>#REF!/1000</f>
        <v>#REF!</v>
      </c>
      <c r="M171" s="206" t="e">
        <f>#REF!/1000</f>
        <v>#REF!</v>
      </c>
      <c r="N171" s="206" t="e">
        <f>SUM(J171:M171)</f>
        <v>#REF!</v>
      </c>
      <c r="O171" s="206" t="e">
        <f>#REF!/1000</f>
        <v>#REF!</v>
      </c>
      <c r="P171" s="206" t="e">
        <f>#REF!/1000</f>
        <v>#REF!</v>
      </c>
      <c r="Q171" s="206" t="e">
        <f>#REF!/1000</f>
        <v>#REF!</v>
      </c>
      <c r="R171" s="206" t="e">
        <f>#REF!/1000</f>
        <v>#REF!</v>
      </c>
      <c r="S171" s="206" t="e">
        <f>SUM(O171:R171)</f>
        <v>#REF!</v>
      </c>
      <c r="T171" s="206" t="e">
        <f>#REF!/1000</f>
        <v>#REF!</v>
      </c>
      <c r="U171" s="206" t="e">
        <f>#REF!/1000</f>
        <v>#REF!</v>
      </c>
      <c r="V171" s="206" t="e">
        <f>#REF!/1000</f>
        <v>#REF!</v>
      </c>
      <c r="W171" s="206" t="e">
        <f>#REF!/1000</f>
        <v>#REF!</v>
      </c>
      <c r="X171" s="206" t="e">
        <f>SUM(T171:W171)</f>
        <v>#REF!</v>
      </c>
      <c r="Y171" s="206" t="e">
        <f>#REF!/1000</f>
        <v>#REF!</v>
      </c>
      <c r="Z171" s="206" t="e">
        <f>#REF!/1000</f>
        <v>#REF!</v>
      </c>
      <c r="AA171" s="206" t="e">
        <f>#REF!/1000</f>
        <v>#REF!</v>
      </c>
      <c r="AB171" s="206" t="e">
        <f>#REF!/1000</f>
        <v>#REF!</v>
      </c>
    </row>
    <row r="172" spans="2:28" ht="13.8" outlineLevel="1" thickBot="1">
      <c r="B172" s="203" t="s">
        <v>137</v>
      </c>
      <c r="C172" s="163"/>
      <c r="D172" s="163"/>
      <c r="E172" s="163"/>
      <c r="F172" s="163"/>
      <c r="G172" s="163" t="s">
        <v>117</v>
      </c>
      <c r="H172" s="163" t="s">
        <v>117</v>
      </c>
      <c r="I172" s="163" t="s">
        <v>117</v>
      </c>
      <c r="J172" s="206" t="e">
        <f>#REF!/1000</f>
        <v>#REF!</v>
      </c>
      <c r="K172" s="206" t="e">
        <f>#REF!/1000</f>
        <v>#REF!</v>
      </c>
      <c r="L172" s="206" t="e">
        <f>#REF!/1000</f>
        <v>#REF!</v>
      </c>
      <c r="M172" s="206" t="e">
        <f>#REF!/1000</f>
        <v>#REF!</v>
      </c>
      <c r="N172" s="206" t="e">
        <f>M172</f>
        <v>#REF!</v>
      </c>
      <c r="O172" s="206" t="e">
        <f>#REF!/1000</f>
        <v>#REF!</v>
      </c>
      <c r="P172" s="206" t="e">
        <f>#REF!/1000</f>
        <v>#REF!</v>
      </c>
      <c r="Q172" s="206" t="e">
        <f>#REF!/1000</f>
        <v>#REF!</v>
      </c>
      <c r="R172" s="206" t="e">
        <f>#REF!/1000</f>
        <v>#REF!</v>
      </c>
      <c r="S172" s="206" t="e">
        <f>R172</f>
        <v>#REF!</v>
      </c>
      <c r="T172" s="206" t="e">
        <f>#REF!/1000</f>
        <v>#REF!</v>
      </c>
      <c r="U172" s="206" t="e">
        <f>#REF!/1000</f>
        <v>#REF!</v>
      </c>
      <c r="V172" s="206" t="e">
        <f>#REF!/1000</f>
        <v>#REF!</v>
      </c>
      <c r="W172" s="206" t="e">
        <f>#REF!/1000</f>
        <v>#REF!</v>
      </c>
      <c r="X172" s="206" t="e">
        <f>W172</f>
        <v>#REF!</v>
      </c>
      <c r="Y172" s="206" t="e">
        <f>#REF!/1000</f>
        <v>#REF!</v>
      </c>
      <c r="Z172" s="206" t="e">
        <f>#REF!/1000</f>
        <v>#REF!</v>
      </c>
      <c r="AA172" s="206" t="e">
        <f>#REF!/1000</f>
        <v>#REF!</v>
      </c>
      <c r="AB172" s="206" t="e">
        <f>#REF!/1000</f>
        <v>#REF!</v>
      </c>
    </row>
    <row r="173" spans="2:28" ht="13.8" outlineLevel="1" thickBot="1">
      <c r="B173" s="194" t="e">
        <f>#REF!</f>
        <v>#REF!</v>
      </c>
      <c r="C173" s="218"/>
      <c r="D173" s="218"/>
      <c r="E173" s="218"/>
      <c r="F173" s="218"/>
      <c r="G173" s="218"/>
      <c r="H173" s="218"/>
      <c r="I173" s="21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  <c r="AB173" s="208"/>
    </row>
    <row r="174" spans="2:28" ht="13.8" outlineLevel="1" thickBot="1">
      <c r="B174" s="179" t="s">
        <v>134</v>
      </c>
      <c r="C174" s="163"/>
      <c r="D174" s="163"/>
      <c r="E174" s="163"/>
      <c r="F174" s="163"/>
      <c r="G174" s="163" t="s">
        <v>117</v>
      </c>
      <c r="H174" s="163" t="s">
        <v>117</v>
      </c>
      <c r="I174" s="163" t="s">
        <v>117</v>
      </c>
      <c r="J174" s="206" t="str">
        <f>H179</f>
        <v>n.a.</v>
      </c>
      <c r="K174" s="206" t="e">
        <f>J179</f>
        <v>#REF!</v>
      </c>
      <c r="L174" s="206" t="e">
        <f>K179</f>
        <v>#REF!</v>
      </c>
      <c r="M174" s="206" t="e">
        <f>L179</f>
        <v>#REF!</v>
      </c>
      <c r="N174" s="206">
        <v>0</v>
      </c>
      <c r="O174" s="206" t="e">
        <f>M179</f>
        <v>#REF!</v>
      </c>
      <c r="P174" s="206" t="e">
        <f>O179</f>
        <v>#REF!</v>
      </c>
      <c r="Q174" s="206" t="e">
        <f>P179</f>
        <v>#REF!</v>
      </c>
      <c r="R174" s="206" t="e">
        <f>Q179</f>
        <v>#REF!</v>
      </c>
      <c r="S174" s="206" t="e">
        <f>O174</f>
        <v>#REF!</v>
      </c>
      <c r="T174" s="206" t="e">
        <f>R179</f>
        <v>#REF!</v>
      </c>
      <c r="U174" s="206" t="e">
        <f>T179</f>
        <v>#REF!</v>
      </c>
      <c r="V174" s="206" t="e">
        <f>U179</f>
        <v>#REF!</v>
      </c>
      <c r="W174" s="206" t="e">
        <f>V179</f>
        <v>#REF!</v>
      </c>
      <c r="X174" s="206" t="e">
        <f>T174</f>
        <v>#REF!</v>
      </c>
      <c r="Y174" s="206" t="e">
        <f>W179</f>
        <v>#REF!</v>
      </c>
      <c r="Z174" s="206" t="e">
        <f>Y179</f>
        <v>#REF!</v>
      </c>
      <c r="AA174" s="206" t="e">
        <f>Z179</f>
        <v>#REF!</v>
      </c>
      <c r="AB174" s="206" t="e">
        <f>AA179</f>
        <v>#REF!</v>
      </c>
    </row>
    <row r="175" spans="2:28" ht="13.8" outlineLevel="1" thickBot="1">
      <c r="B175" s="179" t="s">
        <v>242</v>
      </c>
      <c r="C175" s="163"/>
      <c r="D175" s="163"/>
      <c r="E175" s="163"/>
      <c r="F175" s="163"/>
      <c r="G175" s="163" t="s">
        <v>117</v>
      </c>
      <c r="H175" s="163" t="s">
        <v>117</v>
      </c>
      <c r="I175" s="163" t="s">
        <v>117</v>
      </c>
      <c r="J175" s="206">
        <v>0</v>
      </c>
      <c r="K175" s="206">
        <v>0</v>
      </c>
      <c r="L175" s="206">
        <v>0</v>
      </c>
      <c r="M175" s="206">
        <v>0</v>
      </c>
      <c r="N175" s="206">
        <f>SUM(J175:M175)</f>
        <v>0</v>
      </c>
      <c r="O175" s="206">
        <v>0</v>
      </c>
      <c r="P175" s="206">
        <v>0</v>
      </c>
      <c r="Q175" s="206">
        <v>0</v>
      </c>
      <c r="R175" s="206">
        <v>0</v>
      </c>
      <c r="S175" s="206">
        <f>SUM(O175:R175)</f>
        <v>0</v>
      </c>
      <c r="T175" s="206">
        <v>0</v>
      </c>
      <c r="U175" s="206">
        <v>0</v>
      </c>
      <c r="V175" s="206">
        <v>0</v>
      </c>
      <c r="W175" s="206">
        <v>0</v>
      </c>
      <c r="X175" s="206">
        <f>SUM(T175:W175)</f>
        <v>0</v>
      </c>
      <c r="Y175" s="206">
        <v>0</v>
      </c>
      <c r="Z175" s="206">
        <v>0</v>
      </c>
      <c r="AA175" s="206">
        <v>0</v>
      </c>
      <c r="AB175" s="206">
        <v>0</v>
      </c>
    </row>
    <row r="176" spans="2:28" ht="13.8" outlineLevel="1" thickBot="1">
      <c r="B176" s="203" t="s">
        <v>243</v>
      </c>
      <c r="C176" s="217"/>
      <c r="D176" s="217"/>
      <c r="E176" s="217"/>
      <c r="F176" s="217"/>
      <c r="G176" s="217" t="s">
        <v>117</v>
      </c>
      <c r="H176" s="217" t="s">
        <v>117</v>
      </c>
      <c r="I176" s="217" t="s">
        <v>117</v>
      </c>
      <c r="J176" s="207" t="e">
        <f>#REF!/1000</f>
        <v>#REF!</v>
      </c>
      <c r="K176" s="207" t="e">
        <f>#REF!/1000</f>
        <v>#REF!</v>
      </c>
      <c r="L176" s="207" t="e">
        <f>#REF!/1000</f>
        <v>#REF!</v>
      </c>
      <c r="M176" s="207" t="e">
        <f>#REF!/1000</f>
        <v>#REF!</v>
      </c>
      <c r="N176" s="207" t="e">
        <f>SUM(J176:M176)</f>
        <v>#REF!</v>
      </c>
      <c r="O176" s="207" t="e">
        <f>#REF!/1000</f>
        <v>#REF!</v>
      </c>
      <c r="P176" s="207" t="e">
        <f>#REF!/1000</f>
        <v>#REF!</v>
      </c>
      <c r="Q176" s="207" t="e">
        <f>#REF!/1000</f>
        <v>#REF!</v>
      </c>
      <c r="R176" s="207" t="e">
        <f>#REF!/1000</f>
        <v>#REF!</v>
      </c>
      <c r="S176" s="207" t="e">
        <f>SUM(O176:R176)</f>
        <v>#REF!</v>
      </c>
      <c r="T176" s="207" t="e">
        <f>#REF!/1000</f>
        <v>#REF!</v>
      </c>
      <c r="U176" s="207" t="e">
        <f>#REF!/1000</f>
        <v>#REF!</v>
      </c>
      <c r="V176" s="207" t="e">
        <f>#REF!/1000</f>
        <v>#REF!</v>
      </c>
      <c r="W176" s="207" t="e">
        <f>#REF!/1000</f>
        <v>#REF!</v>
      </c>
      <c r="X176" s="207" t="e">
        <f>SUM(T176:W176)</f>
        <v>#REF!</v>
      </c>
      <c r="Y176" s="207" t="e">
        <f>#REF!/1000</f>
        <v>#REF!</v>
      </c>
      <c r="Z176" s="207" t="e">
        <f>#REF!/1000</f>
        <v>#REF!</v>
      </c>
      <c r="AA176" s="207" t="e">
        <f>#REF!/1000</f>
        <v>#REF!</v>
      </c>
      <c r="AB176" s="207" t="e">
        <f>#REF!/1000</f>
        <v>#REF!</v>
      </c>
    </row>
    <row r="177" spans="2:28" ht="13.8" outlineLevel="1" thickBot="1">
      <c r="B177" s="203" t="s">
        <v>244</v>
      </c>
      <c r="C177" s="217"/>
      <c r="D177" s="217"/>
      <c r="E177" s="217"/>
      <c r="F177" s="217"/>
      <c r="G177" s="217" t="s">
        <v>117</v>
      </c>
      <c r="H177" s="217" t="s">
        <v>117</v>
      </c>
      <c r="I177" s="217" t="s">
        <v>117</v>
      </c>
      <c r="J177" s="207" t="e">
        <f>#REF!/1000</f>
        <v>#REF!</v>
      </c>
      <c r="K177" s="207" t="e">
        <f>#REF!/1000</f>
        <v>#REF!</v>
      </c>
      <c r="L177" s="207" t="e">
        <f>#REF!/1000</f>
        <v>#REF!</v>
      </c>
      <c r="M177" s="207" t="e">
        <f>#REF!/1000</f>
        <v>#REF!</v>
      </c>
      <c r="N177" s="207" t="e">
        <f>SUM(J177:M177)</f>
        <v>#REF!</v>
      </c>
      <c r="O177" s="207" t="e">
        <f>#REF!/1000</f>
        <v>#REF!</v>
      </c>
      <c r="P177" s="207" t="e">
        <f>#REF!/1000</f>
        <v>#REF!</v>
      </c>
      <c r="Q177" s="207" t="e">
        <f>#REF!/1000</f>
        <v>#REF!</v>
      </c>
      <c r="R177" s="207" t="e">
        <f>#REF!/1000</f>
        <v>#REF!</v>
      </c>
      <c r="S177" s="207" t="e">
        <f>SUM(O177:R177)</f>
        <v>#REF!</v>
      </c>
      <c r="T177" s="207" t="e">
        <f>#REF!/1000</f>
        <v>#REF!</v>
      </c>
      <c r="U177" s="207" t="e">
        <f>#REF!/1000</f>
        <v>#REF!</v>
      </c>
      <c r="V177" s="207" t="e">
        <f>#REF!/1000</f>
        <v>#REF!</v>
      </c>
      <c r="W177" s="207" t="e">
        <f>#REF!/1000</f>
        <v>#REF!</v>
      </c>
      <c r="X177" s="207" t="e">
        <f>SUM(T177:W177)</f>
        <v>#REF!</v>
      </c>
      <c r="Y177" s="207" t="e">
        <f>#REF!/1000</f>
        <v>#REF!</v>
      </c>
      <c r="Z177" s="207" t="e">
        <f>#REF!/1000</f>
        <v>#REF!</v>
      </c>
      <c r="AA177" s="207" t="e">
        <f>#REF!/1000</f>
        <v>#REF!</v>
      </c>
      <c r="AB177" s="207" t="e">
        <f>#REF!/1000</f>
        <v>#REF!</v>
      </c>
    </row>
    <row r="178" spans="2:28" ht="13.8" outlineLevel="1" thickBot="1">
      <c r="B178" s="179" t="s">
        <v>136</v>
      </c>
      <c r="C178" s="163"/>
      <c r="D178" s="163"/>
      <c r="E178" s="163"/>
      <c r="F178" s="163"/>
      <c r="G178" s="163" t="s">
        <v>117</v>
      </c>
      <c r="H178" s="163" t="s">
        <v>117</v>
      </c>
      <c r="I178" s="163" t="s">
        <v>117</v>
      </c>
      <c r="J178" s="206" t="e">
        <f>#REF!/1000</f>
        <v>#REF!</v>
      </c>
      <c r="K178" s="206" t="e">
        <f>#REF!/1000</f>
        <v>#REF!</v>
      </c>
      <c r="L178" s="206" t="e">
        <f>#REF!/1000</f>
        <v>#REF!</v>
      </c>
      <c r="M178" s="206" t="e">
        <f>#REF!/1000</f>
        <v>#REF!</v>
      </c>
      <c r="N178" s="206" t="e">
        <f>SUM(J178:M178)</f>
        <v>#REF!</v>
      </c>
      <c r="O178" s="206" t="e">
        <f>#REF!/1000</f>
        <v>#REF!</v>
      </c>
      <c r="P178" s="206" t="e">
        <f>#REF!/1000</f>
        <v>#REF!</v>
      </c>
      <c r="Q178" s="206" t="e">
        <f>#REF!/1000</f>
        <v>#REF!</v>
      </c>
      <c r="R178" s="206" t="e">
        <f>#REF!/1000</f>
        <v>#REF!</v>
      </c>
      <c r="S178" s="206" t="e">
        <f>SUM(O178:R178)</f>
        <v>#REF!</v>
      </c>
      <c r="T178" s="206" t="e">
        <f>#REF!/1000</f>
        <v>#REF!</v>
      </c>
      <c r="U178" s="206" t="e">
        <f>#REF!/1000</f>
        <v>#REF!</v>
      </c>
      <c r="V178" s="206" t="e">
        <f>#REF!/1000</f>
        <v>#REF!</v>
      </c>
      <c r="W178" s="206" t="e">
        <f>#REF!/1000</f>
        <v>#REF!</v>
      </c>
      <c r="X178" s="206" t="e">
        <f>SUM(T178:W178)</f>
        <v>#REF!</v>
      </c>
      <c r="Y178" s="206" t="e">
        <f>#REF!/1000</f>
        <v>#REF!</v>
      </c>
      <c r="Z178" s="206" t="e">
        <f>#REF!/1000</f>
        <v>#REF!</v>
      </c>
      <c r="AA178" s="206" t="e">
        <f>#REF!/1000</f>
        <v>#REF!</v>
      </c>
      <c r="AB178" s="206" t="e">
        <f>#REF!/1000</f>
        <v>#REF!</v>
      </c>
    </row>
    <row r="179" spans="2:28" ht="13.8" outlineLevel="1" thickBot="1">
      <c r="B179" s="203" t="s">
        <v>137</v>
      </c>
      <c r="C179" s="163"/>
      <c r="D179" s="163"/>
      <c r="E179" s="163"/>
      <c r="F179" s="163"/>
      <c r="G179" s="163" t="s">
        <v>117</v>
      </c>
      <c r="H179" s="163" t="s">
        <v>117</v>
      </c>
      <c r="I179" s="163" t="s">
        <v>117</v>
      </c>
      <c r="J179" s="206" t="e">
        <f>#REF!/1000</f>
        <v>#REF!</v>
      </c>
      <c r="K179" s="206" t="e">
        <f>#REF!/1000</f>
        <v>#REF!</v>
      </c>
      <c r="L179" s="206" t="e">
        <f>#REF!/1000</f>
        <v>#REF!</v>
      </c>
      <c r="M179" s="206" t="e">
        <f>#REF!/1000</f>
        <v>#REF!</v>
      </c>
      <c r="N179" s="206" t="e">
        <f>M179</f>
        <v>#REF!</v>
      </c>
      <c r="O179" s="206" t="e">
        <f>#REF!/1000</f>
        <v>#REF!</v>
      </c>
      <c r="P179" s="206" t="e">
        <f>#REF!/1000</f>
        <v>#REF!</v>
      </c>
      <c r="Q179" s="206" t="e">
        <f>#REF!/1000</f>
        <v>#REF!</v>
      </c>
      <c r="R179" s="206" t="e">
        <f>#REF!/1000</f>
        <v>#REF!</v>
      </c>
      <c r="S179" s="206" t="e">
        <f>R179</f>
        <v>#REF!</v>
      </c>
      <c r="T179" s="206" t="e">
        <f>#REF!/1000</f>
        <v>#REF!</v>
      </c>
      <c r="U179" s="206" t="e">
        <f>#REF!/1000</f>
        <v>#REF!</v>
      </c>
      <c r="V179" s="206" t="e">
        <f>#REF!/1000</f>
        <v>#REF!</v>
      </c>
      <c r="W179" s="206" t="e">
        <f>#REF!/1000</f>
        <v>#REF!</v>
      </c>
      <c r="X179" s="206" t="e">
        <f>W179</f>
        <v>#REF!</v>
      </c>
      <c r="Y179" s="206" t="e">
        <f>#REF!/1000</f>
        <v>#REF!</v>
      </c>
      <c r="Z179" s="206" t="e">
        <f>#REF!/1000</f>
        <v>#REF!</v>
      </c>
      <c r="AA179" s="206" t="e">
        <f>#REF!/1000</f>
        <v>#REF!</v>
      </c>
      <c r="AB179" s="206" t="e">
        <f>#REF!/1000</f>
        <v>#REF!</v>
      </c>
    </row>
    <row r="180" spans="2:28" ht="13.8" outlineLevel="1" thickBot="1">
      <c r="B180" s="194" t="e">
        <f>#REF!</f>
        <v>#REF!</v>
      </c>
      <c r="C180" s="218"/>
      <c r="D180" s="218"/>
      <c r="E180" s="218"/>
      <c r="F180" s="218"/>
      <c r="G180" s="218"/>
      <c r="H180" s="218"/>
      <c r="I180" s="21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  <c r="AB180" s="208"/>
    </row>
    <row r="181" spans="2:28" ht="13.8" outlineLevel="1" thickBot="1">
      <c r="B181" s="179" t="s">
        <v>134</v>
      </c>
      <c r="C181" s="163"/>
      <c r="D181" s="163"/>
      <c r="E181" s="163"/>
      <c r="F181" s="163"/>
      <c r="G181" s="163" t="s">
        <v>117</v>
      </c>
      <c r="H181" s="163" t="s">
        <v>117</v>
      </c>
      <c r="I181" s="163" t="s">
        <v>117</v>
      </c>
      <c r="J181" s="206" t="str">
        <f>H186</f>
        <v>n.a.</v>
      </c>
      <c r="K181" s="206" t="e">
        <f>J186</f>
        <v>#REF!</v>
      </c>
      <c r="L181" s="206" t="e">
        <f>K186</f>
        <v>#REF!</v>
      </c>
      <c r="M181" s="206" t="e">
        <f>L186</f>
        <v>#REF!</v>
      </c>
      <c r="N181" s="206">
        <v>0</v>
      </c>
      <c r="O181" s="206" t="e">
        <f>M186</f>
        <v>#REF!</v>
      </c>
      <c r="P181" s="206" t="e">
        <f>O186</f>
        <v>#REF!</v>
      </c>
      <c r="Q181" s="206" t="e">
        <f>P186</f>
        <v>#REF!</v>
      </c>
      <c r="R181" s="206" t="e">
        <f>Q186</f>
        <v>#REF!</v>
      </c>
      <c r="S181" s="206" t="e">
        <f>O181</f>
        <v>#REF!</v>
      </c>
      <c r="T181" s="206" t="e">
        <f>R186</f>
        <v>#REF!</v>
      </c>
      <c r="U181" s="206" t="e">
        <f>T186</f>
        <v>#REF!</v>
      </c>
      <c r="V181" s="206" t="e">
        <f>U186</f>
        <v>#REF!</v>
      </c>
      <c r="W181" s="206" t="e">
        <f>V186</f>
        <v>#REF!</v>
      </c>
      <c r="X181" s="206" t="e">
        <f>T181</f>
        <v>#REF!</v>
      </c>
      <c r="Y181" s="206" t="e">
        <f>W186</f>
        <v>#REF!</v>
      </c>
      <c r="Z181" s="206" t="e">
        <f>Y186</f>
        <v>#REF!</v>
      </c>
      <c r="AA181" s="206" t="e">
        <f>Z186</f>
        <v>#REF!</v>
      </c>
      <c r="AB181" s="206" t="e">
        <f>AA186</f>
        <v>#REF!</v>
      </c>
    </row>
    <row r="182" spans="2:28" ht="13.8" outlineLevel="1" thickBot="1">
      <c r="B182" s="179" t="s">
        <v>242</v>
      </c>
      <c r="C182" s="163"/>
      <c r="D182" s="163"/>
      <c r="E182" s="163"/>
      <c r="F182" s="163"/>
      <c r="G182" s="163" t="s">
        <v>117</v>
      </c>
      <c r="H182" s="163" t="s">
        <v>117</v>
      </c>
      <c r="I182" s="163" t="s">
        <v>117</v>
      </c>
      <c r="J182" s="206">
        <v>0</v>
      </c>
      <c r="K182" s="206">
        <v>0</v>
      </c>
      <c r="L182" s="206">
        <v>0</v>
      </c>
      <c r="M182" s="206">
        <v>0</v>
      </c>
      <c r="N182" s="206">
        <f>SUM(J182:M182)</f>
        <v>0</v>
      </c>
      <c r="O182" s="206">
        <v>0</v>
      </c>
      <c r="P182" s="206">
        <v>0</v>
      </c>
      <c r="Q182" s="206">
        <v>0</v>
      </c>
      <c r="R182" s="206">
        <v>0</v>
      </c>
      <c r="S182" s="206">
        <f>SUM(O182:R182)</f>
        <v>0</v>
      </c>
      <c r="T182" s="206">
        <v>0</v>
      </c>
      <c r="U182" s="206">
        <v>0</v>
      </c>
      <c r="V182" s="206">
        <v>0</v>
      </c>
      <c r="W182" s="206">
        <v>0</v>
      </c>
      <c r="X182" s="206">
        <f>SUM(T182:W182)</f>
        <v>0</v>
      </c>
      <c r="Y182" s="206">
        <v>0</v>
      </c>
      <c r="Z182" s="206">
        <v>0</v>
      </c>
      <c r="AA182" s="206">
        <v>0</v>
      </c>
      <c r="AB182" s="206">
        <v>0</v>
      </c>
    </row>
    <row r="183" spans="2:28" ht="13.8" outlineLevel="1" thickBot="1">
      <c r="B183" s="203" t="s">
        <v>243</v>
      </c>
      <c r="C183" s="217"/>
      <c r="D183" s="217"/>
      <c r="E183" s="217"/>
      <c r="F183" s="217"/>
      <c r="G183" s="217" t="s">
        <v>117</v>
      </c>
      <c r="H183" s="217" t="s">
        <v>117</v>
      </c>
      <c r="I183" s="217" t="s">
        <v>117</v>
      </c>
      <c r="J183" s="207" t="e">
        <f>#REF!/1000</f>
        <v>#REF!</v>
      </c>
      <c r="K183" s="207" t="e">
        <f>#REF!/1000</f>
        <v>#REF!</v>
      </c>
      <c r="L183" s="207" t="e">
        <f>#REF!/1000</f>
        <v>#REF!</v>
      </c>
      <c r="M183" s="207" t="e">
        <f>#REF!/1000</f>
        <v>#REF!</v>
      </c>
      <c r="N183" s="207" t="e">
        <f>SUM(J183:M183)</f>
        <v>#REF!</v>
      </c>
      <c r="O183" s="207" t="e">
        <f>#REF!/1000</f>
        <v>#REF!</v>
      </c>
      <c r="P183" s="207" t="e">
        <f>#REF!/1000</f>
        <v>#REF!</v>
      </c>
      <c r="Q183" s="207" t="e">
        <f>#REF!/1000</f>
        <v>#REF!</v>
      </c>
      <c r="R183" s="207" t="e">
        <f>#REF!/1000</f>
        <v>#REF!</v>
      </c>
      <c r="S183" s="207" t="e">
        <f>SUM(O183:R183)</f>
        <v>#REF!</v>
      </c>
      <c r="T183" s="207" t="e">
        <f>#REF!/1000</f>
        <v>#REF!</v>
      </c>
      <c r="U183" s="207" t="e">
        <f>#REF!/1000</f>
        <v>#REF!</v>
      </c>
      <c r="V183" s="207" t="e">
        <f>#REF!/1000</f>
        <v>#REF!</v>
      </c>
      <c r="W183" s="207" t="e">
        <f>#REF!/1000</f>
        <v>#REF!</v>
      </c>
      <c r="X183" s="207" t="e">
        <f>SUM(T183:W183)</f>
        <v>#REF!</v>
      </c>
      <c r="Y183" s="207" t="e">
        <f>#REF!/1000</f>
        <v>#REF!</v>
      </c>
      <c r="Z183" s="207" t="e">
        <f>#REF!/1000</f>
        <v>#REF!</v>
      </c>
      <c r="AA183" s="207" t="e">
        <f>#REF!/1000</f>
        <v>#REF!</v>
      </c>
      <c r="AB183" s="207" t="e">
        <f>#REF!/1000</f>
        <v>#REF!</v>
      </c>
    </row>
    <row r="184" spans="2:28" ht="13.8" outlineLevel="1" thickBot="1">
      <c r="B184" s="203" t="s">
        <v>244</v>
      </c>
      <c r="C184" s="217"/>
      <c r="D184" s="217"/>
      <c r="E184" s="217"/>
      <c r="F184" s="217"/>
      <c r="G184" s="217" t="s">
        <v>117</v>
      </c>
      <c r="H184" s="217" t="s">
        <v>117</v>
      </c>
      <c r="I184" s="217" t="s">
        <v>117</v>
      </c>
      <c r="J184" s="207" t="e">
        <f>#REF!/1000</f>
        <v>#REF!</v>
      </c>
      <c r="K184" s="207" t="e">
        <f>#REF!/1000</f>
        <v>#REF!</v>
      </c>
      <c r="L184" s="207" t="e">
        <f>#REF!/1000</f>
        <v>#REF!</v>
      </c>
      <c r="M184" s="207" t="e">
        <f>#REF!/1000</f>
        <v>#REF!</v>
      </c>
      <c r="N184" s="207" t="e">
        <f>SUM(J184:M184)</f>
        <v>#REF!</v>
      </c>
      <c r="O184" s="207" t="e">
        <f>#REF!/1000</f>
        <v>#REF!</v>
      </c>
      <c r="P184" s="207" t="e">
        <f>#REF!/1000</f>
        <v>#REF!</v>
      </c>
      <c r="Q184" s="207" t="e">
        <f>#REF!/1000</f>
        <v>#REF!</v>
      </c>
      <c r="R184" s="207" t="e">
        <f>#REF!/1000</f>
        <v>#REF!</v>
      </c>
      <c r="S184" s="207" t="e">
        <f>SUM(O184:R184)</f>
        <v>#REF!</v>
      </c>
      <c r="T184" s="207" t="e">
        <f>#REF!/1000</f>
        <v>#REF!</v>
      </c>
      <c r="U184" s="207" t="e">
        <f>#REF!/1000</f>
        <v>#REF!</v>
      </c>
      <c r="V184" s="207" t="e">
        <f>#REF!/1000</f>
        <v>#REF!</v>
      </c>
      <c r="W184" s="207" t="e">
        <f>#REF!/1000</f>
        <v>#REF!</v>
      </c>
      <c r="X184" s="207" t="e">
        <f>SUM(T184:W184)</f>
        <v>#REF!</v>
      </c>
      <c r="Y184" s="207" t="e">
        <f>#REF!/1000</f>
        <v>#REF!</v>
      </c>
      <c r="Z184" s="207" t="e">
        <f>#REF!/1000</f>
        <v>#REF!</v>
      </c>
      <c r="AA184" s="207" t="e">
        <f>#REF!/1000</f>
        <v>#REF!</v>
      </c>
      <c r="AB184" s="207" t="e">
        <f>#REF!/1000</f>
        <v>#REF!</v>
      </c>
    </row>
    <row r="185" spans="2:28" ht="13.8" outlineLevel="1" thickBot="1">
      <c r="B185" s="179" t="s">
        <v>136</v>
      </c>
      <c r="C185" s="163"/>
      <c r="D185" s="163"/>
      <c r="E185" s="163"/>
      <c r="F185" s="163"/>
      <c r="G185" s="163" t="s">
        <v>117</v>
      </c>
      <c r="H185" s="163" t="s">
        <v>117</v>
      </c>
      <c r="I185" s="163" t="s">
        <v>117</v>
      </c>
      <c r="J185" s="206" t="e">
        <f>#REF!/1000</f>
        <v>#REF!</v>
      </c>
      <c r="K185" s="206" t="e">
        <f>#REF!/1000</f>
        <v>#REF!</v>
      </c>
      <c r="L185" s="206" t="e">
        <f>#REF!/1000</f>
        <v>#REF!</v>
      </c>
      <c r="M185" s="206" t="e">
        <f>#REF!/1000</f>
        <v>#REF!</v>
      </c>
      <c r="N185" s="206" t="e">
        <f>SUM(J185:M185)</f>
        <v>#REF!</v>
      </c>
      <c r="O185" s="206" t="e">
        <f>#REF!/1000</f>
        <v>#REF!</v>
      </c>
      <c r="P185" s="206" t="e">
        <f>#REF!/1000</f>
        <v>#REF!</v>
      </c>
      <c r="Q185" s="206" t="e">
        <f>#REF!/1000</f>
        <v>#REF!</v>
      </c>
      <c r="R185" s="206" t="e">
        <f>#REF!/1000</f>
        <v>#REF!</v>
      </c>
      <c r="S185" s="206" t="e">
        <f>SUM(O185:R185)</f>
        <v>#REF!</v>
      </c>
      <c r="T185" s="206" t="e">
        <f>#REF!/1000</f>
        <v>#REF!</v>
      </c>
      <c r="U185" s="206" t="e">
        <f>#REF!/1000</f>
        <v>#REF!</v>
      </c>
      <c r="V185" s="206" t="e">
        <f>#REF!/1000</f>
        <v>#REF!</v>
      </c>
      <c r="W185" s="206" t="e">
        <f>#REF!/1000</f>
        <v>#REF!</v>
      </c>
      <c r="X185" s="206" t="e">
        <f>SUM(T185:W185)</f>
        <v>#REF!</v>
      </c>
      <c r="Y185" s="206" t="e">
        <f>#REF!/1000</f>
        <v>#REF!</v>
      </c>
      <c r="Z185" s="206" t="e">
        <f>#REF!/1000</f>
        <v>#REF!</v>
      </c>
      <c r="AA185" s="206" t="e">
        <f>#REF!/1000</f>
        <v>#REF!</v>
      </c>
      <c r="AB185" s="206" t="e">
        <f>#REF!/1000</f>
        <v>#REF!</v>
      </c>
    </row>
    <row r="186" spans="2:28" ht="13.8" outlineLevel="1" thickBot="1">
      <c r="B186" s="203" t="s">
        <v>137</v>
      </c>
      <c r="C186" s="163"/>
      <c r="D186" s="163"/>
      <c r="E186" s="163"/>
      <c r="F186" s="163"/>
      <c r="G186" s="163" t="s">
        <v>117</v>
      </c>
      <c r="H186" s="163" t="s">
        <v>117</v>
      </c>
      <c r="I186" s="163" t="s">
        <v>117</v>
      </c>
      <c r="J186" s="206" t="e">
        <f>#REF!/1000</f>
        <v>#REF!</v>
      </c>
      <c r="K186" s="206" t="e">
        <f>#REF!/1000</f>
        <v>#REF!</v>
      </c>
      <c r="L186" s="206" t="e">
        <f>#REF!/1000</f>
        <v>#REF!</v>
      </c>
      <c r="M186" s="206" t="e">
        <f>#REF!/1000</f>
        <v>#REF!</v>
      </c>
      <c r="N186" s="206" t="e">
        <f>M186</f>
        <v>#REF!</v>
      </c>
      <c r="O186" s="206" t="e">
        <f>#REF!/1000</f>
        <v>#REF!</v>
      </c>
      <c r="P186" s="206" t="e">
        <f>#REF!/1000</f>
        <v>#REF!</v>
      </c>
      <c r="Q186" s="206" t="e">
        <f>#REF!/1000</f>
        <v>#REF!</v>
      </c>
      <c r="R186" s="206" t="e">
        <f>#REF!/1000</f>
        <v>#REF!</v>
      </c>
      <c r="S186" s="206" t="e">
        <f>R186</f>
        <v>#REF!</v>
      </c>
      <c r="T186" s="206" t="e">
        <f>#REF!/1000</f>
        <v>#REF!</v>
      </c>
      <c r="U186" s="206" t="e">
        <f>#REF!/1000</f>
        <v>#REF!</v>
      </c>
      <c r="V186" s="206" t="e">
        <f>#REF!/1000</f>
        <v>#REF!</v>
      </c>
      <c r="W186" s="206" t="e">
        <f>#REF!/1000</f>
        <v>#REF!</v>
      </c>
      <c r="X186" s="206" t="e">
        <f>W186</f>
        <v>#REF!</v>
      </c>
      <c r="Y186" s="206" t="e">
        <f>#REF!/1000</f>
        <v>#REF!</v>
      </c>
      <c r="Z186" s="206" t="e">
        <f>#REF!/1000</f>
        <v>#REF!</v>
      </c>
      <c r="AA186" s="206" t="e">
        <f>#REF!/1000</f>
        <v>#REF!</v>
      </c>
      <c r="AB186" s="206" t="e">
        <f>#REF!/1000</f>
        <v>#REF!</v>
      </c>
    </row>
    <row r="187" spans="2:28" ht="13.8" outlineLevel="1" thickBot="1">
      <c r="B187" s="194" t="e">
        <f>#REF!</f>
        <v>#REF!</v>
      </c>
      <c r="C187" s="218"/>
      <c r="D187" s="218"/>
      <c r="E187" s="218"/>
      <c r="F187" s="218"/>
      <c r="G187" s="218"/>
      <c r="H187" s="218"/>
      <c r="I187" s="21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  <c r="AB187" s="208"/>
    </row>
    <row r="188" spans="2:28" ht="13.8" outlineLevel="1" thickBot="1">
      <c r="B188" s="179" t="s">
        <v>134</v>
      </c>
      <c r="C188" s="163"/>
      <c r="D188" s="163"/>
      <c r="E188" s="163"/>
      <c r="F188" s="163"/>
      <c r="G188" s="163" t="s">
        <v>117</v>
      </c>
      <c r="H188" s="163" t="s">
        <v>117</v>
      </c>
      <c r="I188" s="163" t="s">
        <v>117</v>
      </c>
      <c r="J188" s="206" t="str">
        <f>H193</f>
        <v>n.a.</v>
      </c>
      <c r="K188" s="206" t="e">
        <f>J193</f>
        <v>#REF!</v>
      </c>
      <c r="L188" s="206" t="e">
        <f>K193</f>
        <v>#REF!</v>
      </c>
      <c r="M188" s="206" t="e">
        <f>L193</f>
        <v>#REF!</v>
      </c>
      <c r="N188" s="206">
        <v>0</v>
      </c>
      <c r="O188" s="206" t="e">
        <f>M193</f>
        <v>#REF!</v>
      </c>
      <c r="P188" s="206" t="e">
        <f>O193</f>
        <v>#REF!</v>
      </c>
      <c r="Q188" s="206" t="e">
        <f>P193</f>
        <v>#REF!</v>
      </c>
      <c r="R188" s="206" t="e">
        <f>Q193</f>
        <v>#REF!</v>
      </c>
      <c r="S188" s="206" t="e">
        <f>O188</f>
        <v>#REF!</v>
      </c>
      <c r="T188" s="206" t="e">
        <f>R193</f>
        <v>#REF!</v>
      </c>
      <c r="U188" s="206" t="e">
        <f>T193</f>
        <v>#REF!</v>
      </c>
      <c r="V188" s="206" t="e">
        <f>U193</f>
        <v>#REF!</v>
      </c>
      <c r="W188" s="206" t="e">
        <f>V193</f>
        <v>#REF!</v>
      </c>
      <c r="X188" s="206" t="e">
        <f>T188</f>
        <v>#REF!</v>
      </c>
      <c r="Y188" s="206" t="e">
        <f>W193</f>
        <v>#REF!</v>
      </c>
      <c r="Z188" s="206" t="e">
        <f>Y193</f>
        <v>#REF!</v>
      </c>
      <c r="AA188" s="206" t="e">
        <f>Z193</f>
        <v>#REF!</v>
      </c>
      <c r="AB188" s="206" t="e">
        <f>AA193</f>
        <v>#REF!</v>
      </c>
    </row>
    <row r="189" spans="2:28" ht="13.8" outlineLevel="1" thickBot="1">
      <c r="B189" s="179" t="s">
        <v>242</v>
      </c>
      <c r="C189" s="163"/>
      <c r="D189" s="163"/>
      <c r="E189" s="163"/>
      <c r="F189" s="163"/>
      <c r="G189" s="163" t="s">
        <v>117</v>
      </c>
      <c r="H189" s="163" t="s">
        <v>117</v>
      </c>
      <c r="I189" s="163" t="s">
        <v>117</v>
      </c>
      <c r="J189" s="206">
        <v>0</v>
      </c>
      <c r="K189" s="206">
        <v>0</v>
      </c>
      <c r="L189" s="206">
        <v>0</v>
      </c>
      <c r="M189" s="206">
        <v>0</v>
      </c>
      <c r="N189" s="206">
        <f>SUM(J189:M189)</f>
        <v>0</v>
      </c>
      <c r="O189" s="206">
        <v>0</v>
      </c>
      <c r="P189" s="206">
        <v>0</v>
      </c>
      <c r="Q189" s="206">
        <v>0</v>
      </c>
      <c r="R189" s="206">
        <v>0</v>
      </c>
      <c r="S189" s="206">
        <f>SUM(O189:R189)</f>
        <v>0</v>
      </c>
      <c r="T189" s="206">
        <v>0</v>
      </c>
      <c r="U189" s="206">
        <v>0</v>
      </c>
      <c r="V189" s="206">
        <v>0</v>
      </c>
      <c r="W189" s="206">
        <v>0</v>
      </c>
      <c r="X189" s="206">
        <f>SUM(T189:W189)</f>
        <v>0</v>
      </c>
      <c r="Y189" s="206">
        <v>0</v>
      </c>
      <c r="Z189" s="206">
        <v>0</v>
      </c>
      <c r="AA189" s="206">
        <v>0</v>
      </c>
      <c r="AB189" s="206">
        <v>0</v>
      </c>
    </row>
    <row r="190" spans="2:28" ht="13.8" outlineLevel="1" thickBot="1">
      <c r="B190" s="203" t="s">
        <v>243</v>
      </c>
      <c r="C190" s="217"/>
      <c r="D190" s="217"/>
      <c r="E190" s="217"/>
      <c r="F190" s="217"/>
      <c r="G190" s="217" t="s">
        <v>117</v>
      </c>
      <c r="H190" s="217" t="s">
        <v>117</v>
      </c>
      <c r="I190" s="217" t="s">
        <v>117</v>
      </c>
      <c r="J190" s="207" t="e">
        <f>#REF!/1000</f>
        <v>#REF!</v>
      </c>
      <c r="K190" s="207" t="e">
        <f>#REF!/1000</f>
        <v>#REF!</v>
      </c>
      <c r="L190" s="207" t="e">
        <f>#REF!/1000</f>
        <v>#REF!</v>
      </c>
      <c r="M190" s="207" t="e">
        <f>#REF!/1000</f>
        <v>#REF!</v>
      </c>
      <c r="N190" s="207" t="e">
        <f>SUM(J190:M190)</f>
        <v>#REF!</v>
      </c>
      <c r="O190" s="207" t="e">
        <f>#REF!/1000</f>
        <v>#REF!</v>
      </c>
      <c r="P190" s="207" t="e">
        <f>#REF!/1000</f>
        <v>#REF!</v>
      </c>
      <c r="Q190" s="207" t="e">
        <f>#REF!/1000</f>
        <v>#REF!</v>
      </c>
      <c r="R190" s="207" t="e">
        <f>#REF!/1000</f>
        <v>#REF!</v>
      </c>
      <c r="S190" s="207" t="e">
        <f>SUM(O190:R190)</f>
        <v>#REF!</v>
      </c>
      <c r="T190" s="207" t="e">
        <f>#REF!/1000</f>
        <v>#REF!</v>
      </c>
      <c r="U190" s="207" t="e">
        <f>#REF!/1000</f>
        <v>#REF!</v>
      </c>
      <c r="V190" s="207" t="e">
        <f>#REF!/1000</f>
        <v>#REF!</v>
      </c>
      <c r="W190" s="207" t="e">
        <f>#REF!/1000</f>
        <v>#REF!</v>
      </c>
      <c r="X190" s="207" t="e">
        <f>SUM(T190:W190)</f>
        <v>#REF!</v>
      </c>
      <c r="Y190" s="207" t="e">
        <f>#REF!/1000</f>
        <v>#REF!</v>
      </c>
      <c r="Z190" s="207" t="e">
        <f>#REF!/1000</f>
        <v>#REF!</v>
      </c>
      <c r="AA190" s="207" t="e">
        <f>#REF!/1000</f>
        <v>#REF!</v>
      </c>
      <c r="AB190" s="207" t="e">
        <f>#REF!/1000</f>
        <v>#REF!</v>
      </c>
    </row>
    <row r="191" spans="2:28" ht="13.8" outlineLevel="1" thickBot="1">
      <c r="B191" s="203" t="s">
        <v>244</v>
      </c>
      <c r="C191" s="217"/>
      <c r="D191" s="217"/>
      <c r="E191" s="217"/>
      <c r="F191" s="217"/>
      <c r="G191" s="217" t="s">
        <v>117</v>
      </c>
      <c r="H191" s="217" t="s">
        <v>117</v>
      </c>
      <c r="I191" s="217" t="s">
        <v>117</v>
      </c>
      <c r="J191" s="207" t="e">
        <f>#REF!/1000</f>
        <v>#REF!</v>
      </c>
      <c r="K191" s="207" t="e">
        <f>#REF!/1000</f>
        <v>#REF!</v>
      </c>
      <c r="L191" s="207" t="e">
        <f>#REF!/1000</f>
        <v>#REF!</v>
      </c>
      <c r="M191" s="207" t="e">
        <f>#REF!/1000</f>
        <v>#REF!</v>
      </c>
      <c r="N191" s="207" t="e">
        <f>SUM(J191:M191)</f>
        <v>#REF!</v>
      </c>
      <c r="O191" s="207" t="e">
        <f>#REF!/1000</f>
        <v>#REF!</v>
      </c>
      <c r="P191" s="207" t="e">
        <f>#REF!/1000</f>
        <v>#REF!</v>
      </c>
      <c r="Q191" s="207" t="e">
        <f>#REF!/1000</f>
        <v>#REF!</v>
      </c>
      <c r="R191" s="207" t="e">
        <f>#REF!/1000</f>
        <v>#REF!</v>
      </c>
      <c r="S191" s="207" t="e">
        <f>SUM(O191:R191)</f>
        <v>#REF!</v>
      </c>
      <c r="T191" s="207" t="e">
        <f>#REF!/1000</f>
        <v>#REF!</v>
      </c>
      <c r="U191" s="207" t="e">
        <f>#REF!/1000</f>
        <v>#REF!</v>
      </c>
      <c r="V191" s="207" t="e">
        <f>#REF!/1000</f>
        <v>#REF!</v>
      </c>
      <c r="W191" s="207" t="e">
        <f>#REF!/1000</f>
        <v>#REF!</v>
      </c>
      <c r="X191" s="207" t="e">
        <f>SUM(T191:W191)</f>
        <v>#REF!</v>
      </c>
      <c r="Y191" s="207" t="e">
        <f>#REF!/1000</f>
        <v>#REF!</v>
      </c>
      <c r="Z191" s="207" t="e">
        <f>#REF!/1000</f>
        <v>#REF!</v>
      </c>
      <c r="AA191" s="207" t="e">
        <f>#REF!/1000</f>
        <v>#REF!</v>
      </c>
      <c r="AB191" s="207" t="e">
        <f>#REF!/1000</f>
        <v>#REF!</v>
      </c>
    </row>
    <row r="192" spans="2:28" ht="13.8" outlineLevel="1" thickBot="1">
      <c r="B192" s="179" t="s">
        <v>136</v>
      </c>
      <c r="C192" s="163"/>
      <c r="D192" s="163"/>
      <c r="E192" s="163"/>
      <c r="F192" s="163"/>
      <c r="G192" s="163" t="s">
        <v>117</v>
      </c>
      <c r="H192" s="163" t="s">
        <v>117</v>
      </c>
      <c r="I192" s="163" t="s">
        <v>117</v>
      </c>
      <c r="J192" s="206" t="e">
        <f>#REF!/1000</f>
        <v>#REF!</v>
      </c>
      <c r="K192" s="206" t="e">
        <f>#REF!/1000</f>
        <v>#REF!</v>
      </c>
      <c r="L192" s="206" t="e">
        <f>#REF!/1000</f>
        <v>#REF!</v>
      </c>
      <c r="M192" s="206" t="e">
        <f>#REF!/1000</f>
        <v>#REF!</v>
      </c>
      <c r="N192" s="206" t="e">
        <f>SUM(J192:M192)</f>
        <v>#REF!</v>
      </c>
      <c r="O192" s="206" t="e">
        <f>#REF!/1000</f>
        <v>#REF!</v>
      </c>
      <c r="P192" s="206" t="e">
        <f>#REF!/1000</f>
        <v>#REF!</v>
      </c>
      <c r="Q192" s="206" t="e">
        <f>#REF!/1000</f>
        <v>#REF!</v>
      </c>
      <c r="R192" s="206" t="e">
        <f>#REF!/1000</f>
        <v>#REF!</v>
      </c>
      <c r="S192" s="206" t="e">
        <f>SUM(O192:R192)</f>
        <v>#REF!</v>
      </c>
      <c r="T192" s="206" t="e">
        <f>#REF!/1000</f>
        <v>#REF!</v>
      </c>
      <c r="U192" s="206" t="e">
        <f>#REF!/1000</f>
        <v>#REF!</v>
      </c>
      <c r="V192" s="206" t="e">
        <f>#REF!/1000</f>
        <v>#REF!</v>
      </c>
      <c r="W192" s="206" t="e">
        <f>#REF!/1000</f>
        <v>#REF!</v>
      </c>
      <c r="X192" s="206" t="e">
        <f>SUM(T192:W192)</f>
        <v>#REF!</v>
      </c>
      <c r="Y192" s="206" t="e">
        <f>#REF!/1000</f>
        <v>#REF!</v>
      </c>
      <c r="Z192" s="206" t="e">
        <f>#REF!/1000</f>
        <v>#REF!</v>
      </c>
      <c r="AA192" s="206" t="e">
        <f>#REF!/1000</f>
        <v>#REF!</v>
      </c>
      <c r="AB192" s="206" t="e">
        <f>#REF!/1000</f>
        <v>#REF!</v>
      </c>
    </row>
    <row r="193" spans="2:28" ht="13.8" outlineLevel="1" thickBot="1">
      <c r="B193" s="203" t="s">
        <v>137</v>
      </c>
      <c r="C193" s="163"/>
      <c r="D193" s="163"/>
      <c r="E193" s="163"/>
      <c r="F193" s="163"/>
      <c r="G193" s="163" t="s">
        <v>117</v>
      </c>
      <c r="H193" s="163" t="s">
        <v>117</v>
      </c>
      <c r="I193" s="163" t="s">
        <v>117</v>
      </c>
      <c r="J193" s="206" t="e">
        <f>#REF!/1000</f>
        <v>#REF!</v>
      </c>
      <c r="K193" s="206" t="e">
        <f>#REF!/1000</f>
        <v>#REF!</v>
      </c>
      <c r="L193" s="206" t="e">
        <f>#REF!/1000</f>
        <v>#REF!</v>
      </c>
      <c r="M193" s="206" t="e">
        <f>#REF!/1000</f>
        <v>#REF!</v>
      </c>
      <c r="N193" s="206" t="e">
        <f>M193</f>
        <v>#REF!</v>
      </c>
      <c r="O193" s="206" t="e">
        <f>#REF!/1000</f>
        <v>#REF!</v>
      </c>
      <c r="P193" s="206" t="e">
        <f>#REF!/1000</f>
        <v>#REF!</v>
      </c>
      <c r="Q193" s="206" t="e">
        <f>#REF!/1000</f>
        <v>#REF!</v>
      </c>
      <c r="R193" s="206" t="e">
        <f>#REF!/1000</f>
        <v>#REF!</v>
      </c>
      <c r="S193" s="206" t="e">
        <f>R193</f>
        <v>#REF!</v>
      </c>
      <c r="T193" s="206" t="e">
        <f>#REF!/1000</f>
        <v>#REF!</v>
      </c>
      <c r="U193" s="206" t="e">
        <f>#REF!/1000</f>
        <v>#REF!</v>
      </c>
      <c r="V193" s="206" t="e">
        <f>#REF!/1000</f>
        <v>#REF!</v>
      </c>
      <c r="W193" s="206" t="e">
        <f>#REF!/1000</f>
        <v>#REF!</v>
      </c>
      <c r="X193" s="206" t="e">
        <f>W193</f>
        <v>#REF!</v>
      </c>
      <c r="Y193" s="206" t="e">
        <f>#REF!/1000</f>
        <v>#REF!</v>
      </c>
      <c r="Z193" s="206" t="e">
        <f>#REF!/1000</f>
        <v>#REF!</v>
      </c>
      <c r="AA193" s="206" t="e">
        <f>#REF!/1000</f>
        <v>#REF!</v>
      </c>
      <c r="AB193" s="206" t="e">
        <f>#REF!/1000</f>
        <v>#REF!</v>
      </c>
    </row>
    <row r="194" spans="2:28" ht="13.8" outlineLevel="1" collapsed="1" thickBot="1">
      <c r="B194" s="194" t="e">
        <f>#REF!</f>
        <v>#REF!</v>
      </c>
      <c r="C194" s="218"/>
      <c r="D194" s="218"/>
      <c r="E194" s="218"/>
      <c r="F194" s="218"/>
      <c r="G194" s="218"/>
      <c r="H194" s="218"/>
      <c r="I194" s="21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  <c r="AA194" s="208"/>
      <c r="AB194" s="208"/>
    </row>
    <row r="195" spans="2:28" ht="13.8" outlineLevel="1" thickBot="1">
      <c r="B195" s="179" t="s">
        <v>134</v>
      </c>
      <c r="C195" s="163"/>
      <c r="D195" s="163"/>
      <c r="E195" s="163"/>
      <c r="F195" s="163"/>
      <c r="G195" s="163" t="s">
        <v>117</v>
      </c>
      <c r="H195" s="163" t="s">
        <v>117</v>
      </c>
      <c r="I195" s="163" t="s">
        <v>117</v>
      </c>
      <c r="J195" s="206" t="str">
        <f>H200</f>
        <v>n.a.</v>
      </c>
      <c r="K195" s="206" t="e">
        <f>J200</f>
        <v>#REF!</v>
      </c>
      <c r="L195" s="206" t="e">
        <f>K200</f>
        <v>#REF!</v>
      </c>
      <c r="M195" s="206" t="e">
        <f>L200</f>
        <v>#REF!</v>
      </c>
      <c r="N195" s="206">
        <v>0</v>
      </c>
      <c r="O195" s="206" t="e">
        <f>M200</f>
        <v>#REF!</v>
      </c>
      <c r="P195" s="206" t="e">
        <f>O200</f>
        <v>#REF!</v>
      </c>
      <c r="Q195" s="206" t="e">
        <f>P200</f>
        <v>#REF!</v>
      </c>
      <c r="R195" s="206" t="e">
        <f>Q200</f>
        <v>#REF!</v>
      </c>
      <c r="S195" s="206" t="e">
        <f>O195</f>
        <v>#REF!</v>
      </c>
      <c r="T195" s="206" t="e">
        <f>R200</f>
        <v>#REF!</v>
      </c>
      <c r="U195" s="206" t="e">
        <f>T200</f>
        <v>#REF!</v>
      </c>
      <c r="V195" s="206" t="e">
        <f>U200</f>
        <v>#REF!</v>
      </c>
      <c r="W195" s="206" t="e">
        <f>V200</f>
        <v>#REF!</v>
      </c>
      <c r="X195" s="206" t="e">
        <f>T195</f>
        <v>#REF!</v>
      </c>
      <c r="Y195" s="206" t="e">
        <f>W200</f>
        <v>#REF!</v>
      </c>
      <c r="Z195" s="206" t="e">
        <f>Y200</f>
        <v>#REF!</v>
      </c>
      <c r="AA195" s="206" t="e">
        <f>Z200</f>
        <v>#REF!</v>
      </c>
      <c r="AB195" s="206" t="e">
        <f>AA200</f>
        <v>#REF!</v>
      </c>
    </row>
    <row r="196" spans="2:28" ht="13.8" outlineLevel="1" thickBot="1">
      <c r="B196" s="179" t="s">
        <v>242</v>
      </c>
      <c r="C196" s="163"/>
      <c r="D196" s="163"/>
      <c r="E196" s="163"/>
      <c r="F196" s="163"/>
      <c r="G196" s="163" t="s">
        <v>117</v>
      </c>
      <c r="H196" s="163" t="s">
        <v>117</v>
      </c>
      <c r="I196" s="163" t="s">
        <v>117</v>
      </c>
      <c r="J196" s="206">
        <v>0</v>
      </c>
      <c r="K196" s="206">
        <v>0</v>
      </c>
      <c r="L196" s="206">
        <v>0</v>
      </c>
      <c r="M196" s="206">
        <v>0</v>
      </c>
      <c r="N196" s="206">
        <f>SUM(J196:M196)</f>
        <v>0</v>
      </c>
      <c r="O196" s="206">
        <v>0</v>
      </c>
      <c r="P196" s="206">
        <v>0</v>
      </c>
      <c r="Q196" s="206">
        <v>0</v>
      </c>
      <c r="R196" s="206">
        <v>0</v>
      </c>
      <c r="S196" s="206">
        <f>SUM(O196:R196)</f>
        <v>0</v>
      </c>
      <c r="T196" s="206">
        <v>0</v>
      </c>
      <c r="U196" s="206">
        <v>0</v>
      </c>
      <c r="V196" s="206">
        <v>0</v>
      </c>
      <c r="W196" s="206">
        <v>0</v>
      </c>
      <c r="X196" s="206">
        <f>SUM(T196:W196)</f>
        <v>0</v>
      </c>
      <c r="Y196" s="206">
        <v>0</v>
      </c>
      <c r="Z196" s="206">
        <v>0</v>
      </c>
      <c r="AA196" s="206">
        <v>0</v>
      </c>
      <c r="AB196" s="206">
        <v>0</v>
      </c>
    </row>
    <row r="197" spans="2:28" ht="13.8" outlineLevel="1" thickBot="1">
      <c r="B197" s="203" t="s">
        <v>243</v>
      </c>
      <c r="C197" s="217"/>
      <c r="D197" s="217"/>
      <c r="E197" s="217"/>
      <c r="F197" s="217"/>
      <c r="G197" s="217" t="s">
        <v>117</v>
      </c>
      <c r="H197" s="217" t="s">
        <v>117</v>
      </c>
      <c r="I197" s="217" t="s">
        <v>117</v>
      </c>
      <c r="J197" s="207" t="e">
        <f>#REF!/1000</f>
        <v>#REF!</v>
      </c>
      <c r="K197" s="207" t="e">
        <f>#REF!/1000</f>
        <v>#REF!</v>
      </c>
      <c r="L197" s="207" t="e">
        <f>#REF!/1000</f>
        <v>#REF!</v>
      </c>
      <c r="M197" s="207" t="e">
        <f>#REF!/1000</f>
        <v>#REF!</v>
      </c>
      <c r="N197" s="207" t="e">
        <f>SUM(J197:M197)</f>
        <v>#REF!</v>
      </c>
      <c r="O197" s="207" t="e">
        <f>#REF!/1000</f>
        <v>#REF!</v>
      </c>
      <c r="P197" s="207" t="e">
        <f>#REF!/1000</f>
        <v>#REF!</v>
      </c>
      <c r="Q197" s="207" t="e">
        <f>#REF!/1000</f>
        <v>#REF!</v>
      </c>
      <c r="R197" s="207" t="e">
        <f>#REF!/1000</f>
        <v>#REF!</v>
      </c>
      <c r="S197" s="207" t="e">
        <f>SUM(O197:R197)</f>
        <v>#REF!</v>
      </c>
      <c r="T197" s="207" t="e">
        <f>#REF!/1000</f>
        <v>#REF!</v>
      </c>
      <c r="U197" s="207" t="e">
        <f>#REF!/1000</f>
        <v>#REF!</v>
      </c>
      <c r="V197" s="207" t="e">
        <f>#REF!/1000</f>
        <v>#REF!</v>
      </c>
      <c r="W197" s="207" t="e">
        <f>#REF!/1000</f>
        <v>#REF!</v>
      </c>
      <c r="X197" s="207" t="e">
        <f>SUM(T197:W197)</f>
        <v>#REF!</v>
      </c>
      <c r="Y197" s="207" t="e">
        <f>#REF!/1000</f>
        <v>#REF!</v>
      </c>
      <c r="Z197" s="207" t="e">
        <f>#REF!/1000</f>
        <v>#REF!</v>
      </c>
      <c r="AA197" s="207" t="e">
        <f>#REF!/1000</f>
        <v>#REF!</v>
      </c>
      <c r="AB197" s="207" t="e">
        <f>#REF!/1000</f>
        <v>#REF!</v>
      </c>
    </row>
    <row r="198" spans="2:28" ht="13.8" outlineLevel="1" thickBot="1">
      <c r="B198" s="203" t="s">
        <v>244</v>
      </c>
      <c r="C198" s="217"/>
      <c r="D198" s="217"/>
      <c r="E198" s="217"/>
      <c r="F198" s="217"/>
      <c r="G198" s="217" t="s">
        <v>117</v>
      </c>
      <c r="H198" s="217" t="s">
        <v>117</v>
      </c>
      <c r="I198" s="217" t="s">
        <v>117</v>
      </c>
      <c r="J198" s="207" t="e">
        <f>#REF!/1000</f>
        <v>#REF!</v>
      </c>
      <c r="K198" s="207" t="e">
        <f>#REF!/1000</f>
        <v>#REF!</v>
      </c>
      <c r="L198" s="207" t="e">
        <f>#REF!/1000</f>
        <v>#REF!</v>
      </c>
      <c r="M198" s="207" t="e">
        <f>#REF!/1000</f>
        <v>#REF!</v>
      </c>
      <c r="N198" s="207" t="e">
        <f>SUM(J198:M198)</f>
        <v>#REF!</v>
      </c>
      <c r="O198" s="207" t="e">
        <f>#REF!/1000</f>
        <v>#REF!</v>
      </c>
      <c r="P198" s="207" t="e">
        <f>#REF!/1000</f>
        <v>#REF!</v>
      </c>
      <c r="Q198" s="207" t="e">
        <f>#REF!/1000</f>
        <v>#REF!</v>
      </c>
      <c r="R198" s="207" t="e">
        <f>#REF!/1000</f>
        <v>#REF!</v>
      </c>
      <c r="S198" s="207" t="e">
        <f>SUM(O198:R198)</f>
        <v>#REF!</v>
      </c>
      <c r="T198" s="207" t="e">
        <f>#REF!/1000</f>
        <v>#REF!</v>
      </c>
      <c r="U198" s="207" t="e">
        <f>#REF!/1000</f>
        <v>#REF!</v>
      </c>
      <c r="V198" s="207" t="e">
        <f>#REF!/1000</f>
        <v>#REF!</v>
      </c>
      <c r="W198" s="207" t="e">
        <f>#REF!/1000</f>
        <v>#REF!</v>
      </c>
      <c r="X198" s="207" t="e">
        <f>SUM(T198:W198)</f>
        <v>#REF!</v>
      </c>
      <c r="Y198" s="207" t="e">
        <f>#REF!/1000</f>
        <v>#REF!</v>
      </c>
      <c r="Z198" s="207" t="e">
        <f>#REF!/1000</f>
        <v>#REF!</v>
      </c>
      <c r="AA198" s="207" t="e">
        <f>#REF!/1000</f>
        <v>#REF!</v>
      </c>
      <c r="AB198" s="207" t="e">
        <f>#REF!/1000</f>
        <v>#REF!</v>
      </c>
    </row>
    <row r="199" spans="2:28" ht="13.8" outlineLevel="1" thickBot="1">
      <c r="B199" s="179" t="s">
        <v>136</v>
      </c>
      <c r="C199" s="163"/>
      <c r="D199" s="163"/>
      <c r="E199" s="163"/>
      <c r="F199" s="163"/>
      <c r="G199" s="163" t="s">
        <v>117</v>
      </c>
      <c r="H199" s="163" t="s">
        <v>117</v>
      </c>
      <c r="I199" s="163" t="s">
        <v>117</v>
      </c>
      <c r="J199" s="206" t="e">
        <f>#REF!/1000</f>
        <v>#REF!</v>
      </c>
      <c r="K199" s="206" t="e">
        <f>#REF!/1000</f>
        <v>#REF!</v>
      </c>
      <c r="L199" s="206" t="e">
        <f>#REF!/1000</f>
        <v>#REF!</v>
      </c>
      <c r="M199" s="206" t="e">
        <f>#REF!/1000</f>
        <v>#REF!</v>
      </c>
      <c r="N199" s="206" t="e">
        <f>SUM(J199:M199)</f>
        <v>#REF!</v>
      </c>
      <c r="O199" s="206" t="e">
        <f>#REF!/1000</f>
        <v>#REF!</v>
      </c>
      <c r="P199" s="206" t="e">
        <f>#REF!/1000</f>
        <v>#REF!</v>
      </c>
      <c r="Q199" s="206" t="e">
        <f>#REF!/1000</f>
        <v>#REF!</v>
      </c>
      <c r="R199" s="206" t="e">
        <f>#REF!/1000</f>
        <v>#REF!</v>
      </c>
      <c r="S199" s="206" t="e">
        <f>SUM(O199:R199)</f>
        <v>#REF!</v>
      </c>
      <c r="T199" s="206" t="e">
        <f>#REF!/1000</f>
        <v>#REF!</v>
      </c>
      <c r="U199" s="206" t="e">
        <f>#REF!/1000</f>
        <v>#REF!</v>
      </c>
      <c r="V199" s="206" t="e">
        <f>#REF!/1000</f>
        <v>#REF!</v>
      </c>
      <c r="W199" s="206" t="e">
        <f>#REF!/1000</f>
        <v>#REF!</v>
      </c>
      <c r="X199" s="206" t="e">
        <f>SUM(T199:W199)</f>
        <v>#REF!</v>
      </c>
      <c r="Y199" s="206" t="e">
        <f>#REF!/1000</f>
        <v>#REF!</v>
      </c>
      <c r="Z199" s="206" t="e">
        <f>#REF!/1000</f>
        <v>#REF!</v>
      </c>
      <c r="AA199" s="206" t="e">
        <f>#REF!/1000</f>
        <v>#REF!</v>
      </c>
      <c r="AB199" s="206" t="e">
        <f>#REF!/1000</f>
        <v>#REF!</v>
      </c>
    </row>
    <row r="200" spans="2:28" ht="13.8" outlineLevel="1" thickBot="1">
      <c r="B200" s="203" t="s">
        <v>137</v>
      </c>
      <c r="C200" s="163"/>
      <c r="D200" s="163"/>
      <c r="E200" s="163"/>
      <c r="F200" s="163"/>
      <c r="G200" s="163" t="s">
        <v>117</v>
      </c>
      <c r="H200" s="163" t="s">
        <v>117</v>
      </c>
      <c r="I200" s="163" t="s">
        <v>117</v>
      </c>
      <c r="J200" s="206" t="e">
        <f>#REF!/1000</f>
        <v>#REF!</v>
      </c>
      <c r="K200" s="206" t="e">
        <f>#REF!/1000</f>
        <v>#REF!</v>
      </c>
      <c r="L200" s="206" t="e">
        <f>#REF!/1000</f>
        <v>#REF!</v>
      </c>
      <c r="M200" s="206" t="e">
        <f>#REF!/1000</f>
        <v>#REF!</v>
      </c>
      <c r="N200" s="206" t="e">
        <f>M200</f>
        <v>#REF!</v>
      </c>
      <c r="O200" s="206" t="e">
        <f>#REF!/1000</f>
        <v>#REF!</v>
      </c>
      <c r="P200" s="206" t="e">
        <f>#REF!/1000</f>
        <v>#REF!</v>
      </c>
      <c r="Q200" s="206" t="e">
        <f>#REF!/1000</f>
        <v>#REF!</v>
      </c>
      <c r="R200" s="206" t="e">
        <f>#REF!/1000</f>
        <v>#REF!</v>
      </c>
      <c r="S200" s="206" t="e">
        <f>R200</f>
        <v>#REF!</v>
      </c>
      <c r="T200" s="206" t="e">
        <f>#REF!/1000</f>
        <v>#REF!</v>
      </c>
      <c r="U200" s="206" t="e">
        <f>#REF!/1000</f>
        <v>#REF!</v>
      </c>
      <c r="V200" s="206" t="e">
        <f>#REF!/1000</f>
        <v>#REF!</v>
      </c>
      <c r="W200" s="206" t="e">
        <f>#REF!/1000</f>
        <v>#REF!</v>
      </c>
      <c r="X200" s="206" t="e">
        <f>W200</f>
        <v>#REF!</v>
      </c>
      <c r="Y200" s="206" t="e">
        <f>#REF!/1000</f>
        <v>#REF!</v>
      </c>
      <c r="Z200" s="206" t="e">
        <f>#REF!/1000</f>
        <v>#REF!</v>
      </c>
      <c r="AA200" s="206" t="e">
        <f>#REF!/1000</f>
        <v>#REF!</v>
      </c>
      <c r="AB200" s="206" t="e">
        <f>#REF!/1000</f>
        <v>#REF!</v>
      </c>
    </row>
    <row r="201" spans="2:28" ht="13.8" outlineLevel="1" collapsed="1" thickBot="1">
      <c r="B201" s="194" t="e">
        <f>#REF!</f>
        <v>#REF!</v>
      </c>
      <c r="C201" s="218"/>
      <c r="D201" s="218"/>
      <c r="E201" s="218"/>
      <c r="F201" s="218"/>
      <c r="G201" s="218"/>
      <c r="H201" s="218"/>
      <c r="I201" s="21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  <c r="AA201" s="208"/>
      <c r="AB201" s="208"/>
    </row>
    <row r="202" spans="2:28" ht="13.8" outlineLevel="1" thickBot="1">
      <c r="B202" s="179" t="s">
        <v>134</v>
      </c>
      <c r="C202" s="163"/>
      <c r="D202" s="163"/>
      <c r="E202" s="163"/>
      <c r="F202" s="163"/>
      <c r="G202" s="163" t="s">
        <v>117</v>
      </c>
      <c r="H202" s="163" t="s">
        <v>117</v>
      </c>
      <c r="I202" s="163" t="s">
        <v>117</v>
      </c>
      <c r="J202" s="206">
        <v>0</v>
      </c>
      <c r="K202" s="206" t="e">
        <f>J206</f>
        <v>#REF!</v>
      </c>
      <c r="L202" s="206" t="e">
        <f>K206</f>
        <v>#REF!</v>
      </c>
      <c r="M202" s="206" t="e">
        <f>L206</f>
        <v>#REF!</v>
      </c>
      <c r="N202" s="206">
        <v>0</v>
      </c>
      <c r="O202" s="206" t="e">
        <f>M206</f>
        <v>#REF!</v>
      </c>
      <c r="P202" s="206" t="e">
        <f>O206</f>
        <v>#REF!</v>
      </c>
      <c r="Q202" s="206" t="e">
        <f>P206</f>
        <v>#REF!</v>
      </c>
      <c r="R202" s="206" t="e">
        <f>Q206</f>
        <v>#REF!</v>
      </c>
      <c r="S202" s="206" t="e">
        <f>O202</f>
        <v>#REF!</v>
      </c>
      <c r="T202" s="206" t="e">
        <f>R206</f>
        <v>#REF!</v>
      </c>
      <c r="U202" s="206" t="e">
        <f>T206</f>
        <v>#REF!</v>
      </c>
      <c r="V202" s="206" t="e">
        <f>U206</f>
        <v>#REF!</v>
      </c>
      <c r="W202" s="206" t="e">
        <f>V206</f>
        <v>#REF!</v>
      </c>
      <c r="X202" s="206" t="e">
        <f>T202</f>
        <v>#REF!</v>
      </c>
      <c r="Y202" s="206" t="e">
        <f>W206</f>
        <v>#REF!</v>
      </c>
      <c r="Z202" s="206" t="e">
        <f>Y206</f>
        <v>#REF!</v>
      </c>
      <c r="AA202" s="206" t="e">
        <f>Z206</f>
        <v>#REF!</v>
      </c>
      <c r="AB202" s="206" t="e">
        <f>AA206</f>
        <v>#REF!</v>
      </c>
    </row>
    <row r="203" spans="2:28" ht="13.8" outlineLevel="1" thickBot="1">
      <c r="B203" s="179" t="s">
        <v>135</v>
      </c>
      <c r="C203" s="163"/>
      <c r="D203" s="163"/>
      <c r="E203" s="163"/>
      <c r="F203" s="163"/>
      <c r="G203" s="163" t="s">
        <v>117</v>
      </c>
      <c r="H203" s="163" t="s">
        <v>117</v>
      </c>
      <c r="I203" s="163" t="s">
        <v>117</v>
      </c>
      <c r="J203" s="206" t="e">
        <f>#REF!/1000</f>
        <v>#REF!</v>
      </c>
      <c r="K203" s="206" t="e">
        <f>#REF!/1000</f>
        <v>#REF!</v>
      </c>
      <c r="L203" s="206" t="e">
        <f>#REF!/1000</f>
        <v>#REF!</v>
      </c>
      <c r="M203" s="206" t="e">
        <f>#REF!/1000</f>
        <v>#REF!</v>
      </c>
      <c r="N203" s="206" t="e">
        <f>SUM(J203:M203)</f>
        <v>#REF!</v>
      </c>
      <c r="O203" s="206" t="e">
        <f>#REF!/1000</f>
        <v>#REF!</v>
      </c>
      <c r="P203" s="206" t="e">
        <f>#REF!/1000</f>
        <v>#REF!</v>
      </c>
      <c r="Q203" s="206" t="e">
        <f>#REF!/1000</f>
        <v>#REF!</v>
      </c>
      <c r="R203" s="206" t="e">
        <f>#REF!/1000</f>
        <v>#REF!</v>
      </c>
      <c r="S203" s="206" t="e">
        <f>SUM(O203:R203)</f>
        <v>#REF!</v>
      </c>
      <c r="T203" s="206" t="e">
        <f>#REF!/1000</f>
        <v>#REF!</v>
      </c>
      <c r="U203" s="206" t="e">
        <f>#REF!/1000</f>
        <v>#REF!</v>
      </c>
      <c r="V203" s="206" t="e">
        <f>#REF!/1000</f>
        <v>#REF!</v>
      </c>
      <c r="W203" s="206" t="e">
        <f>#REF!/1000</f>
        <v>#REF!</v>
      </c>
      <c r="X203" s="206" t="e">
        <f>SUM(T203:W203)</f>
        <v>#REF!</v>
      </c>
      <c r="Y203" s="206" t="e">
        <f>#REF!/1000</f>
        <v>#REF!</v>
      </c>
      <c r="Z203" s="206" t="e">
        <f>#REF!/1000</f>
        <v>#REF!</v>
      </c>
      <c r="AA203" s="206" t="e">
        <f>#REF!/1000</f>
        <v>#REF!</v>
      </c>
      <c r="AB203" s="206" t="e">
        <f>#REF!/1000</f>
        <v>#REF!</v>
      </c>
    </row>
    <row r="204" spans="2:28" ht="13.8" outlineLevel="1" thickBot="1">
      <c r="B204" s="203" t="s">
        <v>243</v>
      </c>
      <c r="C204" s="217"/>
      <c r="D204" s="217"/>
      <c r="E204" s="217"/>
      <c r="F204" s="217"/>
      <c r="G204" s="217" t="s">
        <v>117</v>
      </c>
      <c r="H204" s="217" t="s">
        <v>117</v>
      </c>
      <c r="I204" s="217" t="s">
        <v>117</v>
      </c>
      <c r="J204" s="207" t="e">
        <f>#REF!/1000</f>
        <v>#REF!</v>
      </c>
      <c r="K204" s="207" t="e">
        <f>#REF!/1000</f>
        <v>#REF!</v>
      </c>
      <c r="L204" s="207" t="e">
        <f>#REF!/1000</f>
        <v>#REF!</v>
      </c>
      <c r="M204" s="207" t="e">
        <f>#REF!/1000</f>
        <v>#REF!</v>
      </c>
      <c r="N204" s="207" t="e">
        <f>SUM(J204:M204)</f>
        <v>#REF!</v>
      </c>
      <c r="O204" s="207" t="e">
        <f>#REF!/1000</f>
        <v>#REF!</v>
      </c>
      <c r="P204" s="207" t="e">
        <f>#REF!/1000</f>
        <v>#REF!</v>
      </c>
      <c r="Q204" s="207" t="e">
        <f>#REF!/1000</f>
        <v>#REF!</v>
      </c>
      <c r="R204" s="207" t="e">
        <f>#REF!/1000</f>
        <v>#REF!</v>
      </c>
      <c r="S204" s="207" t="e">
        <f>SUM(O204:R204)</f>
        <v>#REF!</v>
      </c>
      <c r="T204" s="207" t="e">
        <f>#REF!/1000</f>
        <v>#REF!</v>
      </c>
      <c r="U204" s="207" t="e">
        <f>#REF!/1000</f>
        <v>#REF!</v>
      </c>
      <c r="V204" s="207" t="e">
        <f>#REF!/1000</f>
        <v>#REF!</v>
      </c>
      <c r="W204" s="207" t="e">
        <f>#REF!/1000</f>
        <v>#REF!</v>
      </c>
      <c r="X204" s="207" t="e">
        <f>SUM(T204:W204)</f>
        <v>#REF!</v>
      </c>
      <c r="Y204" s="207" t="e">
        <f>#REF!/1000</f>
        <v>#REF!</v>
      </c>
      <c r="Z204" s="207" t="e">
        <f>#REF!/1000</f>
        <v>#REF!</v>
      </c>
      <c r="AA204" s="207" t="e">
        <f>#REF!/1000</f>
        <v>#REF!</v>
      </c>
      <c r="AB204" s="207" t="e">
        <f>#REF!/1000</f>
        <v>#REF!</v>
      </c>
    </row>
    <row r="205" spans="2:28" ht="13.8" outlineLevel="1" thickBot="1">
      <c r="B205" s="179" t="s">
        <v>136</v>
      </c>
      <c r="C205" s="163"/>
      <c r="D205" s="163"/>
      <c r="E205" s="163"/>
      <c r="F205" s="163"/>
      <c r="G205" s="163" t="s">
        <v>117</v>
      </c>
      <c r="H205" s="163" t="s">
        <v>117</v>
      </c>
      <c r="I205" s="163" t="s">
        <v>117</v>
      </c>
      <c r="J205" s="206" t="e">
        <f>#REF!/1000</f>
        <v>#REF!</v>
      </c>
      <c r="K205" s="206" t="e">
        <f>#REF!/1000</f>
        <v>#REF!</v>
      </c>
      <c r="L205" s="206" t="e">
        <f>#REF!/1000</f>
        <v>#REF!</v>
      </c>
      <c r="M205" s="206" t="e">
        <f>#REF!/1000</f>
        <v>#REF!</v>
      </c>
      <c r="N205" s="206" t="e">
        <f>SUM(J205:M205)</f>
        <v>#REF!</v>
      </c>
      <c r="O205" s="206" t="e">
        <f>#REF!/1000</f>
        <v>#REF!</v>
      </c>
      <c r="P205" s="206" t="e">
        <f>#REF!/1000</f>
        <v>#REF!</v>
      </c>
      <c r="Q205" s="206" t="e">
        <f>#REF!/1000</f>
        <v>#REF!</v>
      </c>
      <c r="R205" s="206" t="e">
        <f>#REF!/1000</f>
        <v>#REF!</v>
      </c>
      <c r="S205" s="206" t="e">
        <f>SUM(O205:R205)</f>
        <v>#REF!</v>
      </c>
      <c r="T205" s="206" t="e">
        <f>#REF!/1000</f>
        <v>#REF!</v>
      </c>
      <c r="U205" s="206" t="e">
        <f>#REF!/1000</f>
        <v>#REF!</v>
      </c>
      <c r="V205" s="206" t="e">
        <f>#REF!/1000</f>
        <v>#REF!</v>
      </c>
      <c r="W205" s="206" t="e">
        <f>#REF!/1000</f>
        <v>#REF!</v>
      </c>
      <c r="X205" s="206" t="e">
        <f>SUM(T205:W205)</f>
        <v>#REF!</v>
      </c>
      <c r="Y205" s="206" t="e">
        <f>#REF!/1000</f>
        <v>#REF!</v>
      </c>
      <c r="Z205" s="206" t="e">
        <f>#REF!/1000</f>
        <v>#REF!</v>
      </c>
      <c r="AA205" s="206" t="e">
        <f>#REF!/1000</f>
        <v>#REF!</v>
      </c>
      <c r="AB205" s="206" t="e">
        <f>#REF!/1000</f>
        <v>#REF!</v>
      </c>
    </row>
    <row r="206" spans="2:28" ht="13.8" outlineLevel="1" thickBot="1">
      <c r="B206" s="203" t="s">
        <v>137</v>
      </c>
      <c r="C206" s="217"/>
      <c r="D206" s="217"/>
      <c r="E206" s="217"/>
      <c r="F206" s="217"/>
      <c r="G206" s="217" t="s">
        <v>117</v>
      </c>
      <c r="H206" s="217" t="s">
        <v>117</v>
      </c>
      <c r="I206" s="217" t="s">
        <v>117</v>
      </c>
      <c r="J206" s="207" t="e">
        <f t="shared" ref="J206:Z206" si="78">J202+J203-J205</f>
        <v>#REF!</v>
      </c>
      <c r="K206" s="207" t="e">
        <f t="shared" si="78"/>
        <v>#REF!</v>
      </c>
      <c r="L206" s="207" t="e">
        <f>L202+L203-L205</f>
        <v>#REF!</v>
      </c>
      <c r="M206" s="207" t="e">
        <f>M202+M203-M205</f>
        <v>#REF!</v>
      </c>
      <c r="N206" s="207" t="e">
        <f t="shared" si="78"/>
        <v>#REF!</v>
      </c>
      <c r="O206" s="207" t="e">
        <f t="shared" si="78"/>
        <v>#REF!</v>
      </c>
      <c r="P206" s="207" t="e">
        <f t="shared" si="78"/>
        <v>#REF!</v>
      </c>
      <c r="Q206" s="207" t="e">
        <f>Q202+Q203-Q205</f>
        <v>#REF!</v>
      </c>
      <c r="R206" s="207" t="e">
        <f>R202+R203-R205</f>
        <v>#REF!</v>
      </c>
      <c r="S206" s="207" t="e">
        <f>S202+S203-S205</f>
        <v>#REF!</v>
      </c>
      <c r="T206" s="207" t="e">
        <f t="shared" si="78"/>
        <v>#REF!</v>
      </c>
      <c r="U206" s="207" t="e">
        <f t="shared" si="78"/>
        <v>#REF!</v>
      </c>
      <c r="V206" s="207" t="e">
        <f>V202+V203-V205</f>
        <v>#REF!</v>
      </c>
      <c r="W206" s="207" t="e">
        <f>W202+W203-W205</f>
        <v>#REF!</v>
      </c>
      <c r="X206" s="207" t="e">
        <f t="shared" si="78"/>
        <v>#REF!</v>
      </c>
      <c r="Y206" s="207" t="e">
        <f t="shared" si="78"/>
        <v>#REF!</v>
      </c>
      <c r="Z206" s="207" t="e">
        <f t="shared" si="78"/>
        <v>#REF!</v>
      </c>
      <c r="AA206" s="207" t="e">
        <f>AA202+AA203-AA205</f>
        <v>#REF!</v>
      </c>
      <c r="AB206" s="207" t="e">
        <f>AB202+AB203-AB205</f>
        <v>#REF!</v>
      </c>
    </row>
    <row r="207" spans="2:28" ht="13.8" outlineLevel="1" thickBot="1">
      <c r="B207" s="194" t="s">
        <v>138</v>
      </c>
      <c r="C207" s="218"/>
      <c r="D207" s="218"/>
      <c r="E207" s="218"/>
      <c r="F207" s="200"/>
      <c r="G207" s="201"/>
      <c r="H207" s="208"/>
      <c r="I207" s="201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  <c r="AA207" s="208"/>
      <c r="AB207" s="208"/>
    </row>
    <row r="208" spans="2:28" ht="13.8" outlineLevel="1" thickBot="1">
      <c r="B208" s="179" t="s">
        <v>23</v>
      </c>
      <c r="C208" s="127"/>
      <c r="D208" s="127"/>
      <c r="E208" s="127"/>
      <c r="F208" s="199"/>
      <c r="G208" s="202">
        <f t="shared" ref="G208:AB208" si="79">G80</f>
        <v>82461</v>
      </c>
      <c r="H208" s="206">
        <f t="shared" si="79"/>
        <v>115501</v>
      </c>
      <c r="I208" s="202">
        <f t="shared" ca="1" si="79"/>
        <v>95584.449610549171</v>
      </c>
      <c r="J208" s="206">
        <f t="shared" ca="1" si="79"/>
        <v>118167.80697688277</v>
      </c>
      <c r="K208" s="206">
        <f t="shared" ca="1" si="79"/>
        <v>165665.85527058641</v>
      </c>
      <c r="L208" s="206">
        <f t="shared" ca="1" si="79"/>
        <v>164205.03355630636</v>
      </c>
      <c r="M208" s="206">
        <f t="shared" ca="1" si="79"/>
        <v>130003.15410015167</v>
      </c>
      <c r="N208" s="206">
        <f t="shared" ca="1" si="79"/>
        <v>138513.19417607188</v>
      </c>
      <c r="O208" s="206">
        <f t="shared" ca="1" si="79"/>
        <v>148867.71120544308</v>
      </c>
      <c r="P208" s="206">
        <f t="shared" ca="1" si="79"/>
        <v>264056.9739525214</v>
      </c>
      <c r="Q208" s="206">
        <f t="shared" ca="1" si="79"/>
        <v>220883.45248801695</v>
      </c>
      <c r="R208" s="206">
        <f t="shared" ca="1" si="79"/>
        <v>258712.82132728994</v>
      </c>
      <c r="S208" s="206">
        <f t="shared" ca="1" si="79"/>
        <v>262814.73627349245</v>
      </c>
      <c r="T208" s="206">
        <f t="shared" ca="1" si="79"/>
        <v>290897.72848090157</v>
      </c>
      <c r="U208" s="206">
        <f t="shared" ca="1" si="79"/>
        <v>279703.13965033757</v>
      </c>
      <c r="V208" s="206">
        <f t="shared" ca="1" si="79"/>
        <v>423541.29693235102</v>
      </c>
      <c r="W208" s="206">
        <f t="shared" ca="1" si="79"/>
        <v>442024.82329709601</v>
      </c>
      <c r="X208" s="206">
        <f t="shared" ca="1" si="79"/>
        <v>460000.28084412968</v>
      </c>
      <c r="Y208" s="206">
        <f t="shared" ca="1" si="79"/>
        <v>479110.78420908877</v>
      </c>
      <c r="Z208" s="206">
        <f t="shared" ca="1" si="79"/>
        <v>500026.94788896001</v>
      </c>
      <c r="AA208" s="206">
        <f t="shared" ca="1" si="79"/>
        <v>520061.19455367373</v>
      </c>
      <c r="AB208" s="206">
        <f t="shared" ca="1" si="79"/>
        <v>516528.38384373271</v>
      </c>
    </row>
    <row r="209" spans="2:28" ht="13.8" outlineLevel="1" thickBot="1">
      <c r="B209" s="179" t="s">
        <v>145</v>
      </c>
      <c r="C209" s="126"/>
      <c r="D209" s="126"/>
      <c r="E209" s="126"/>
      <c r="F209" s="199"/>
      <c r="G209" s="202">
        <f t="shared" ref="G209:AB209" si="80">SUM(G135,G141,G147,G153,G159,G165,G172,G179,G186,G193,G200,G206)</f>
        <v>0</v>
      </c>
      <c r="H209" s="206">
        <f t="shared" si="80"/>
        <v>0</v>
      </c>
      <c r="I209" s="202">
        <f t="shared" si="80"/>
        <v>0</v>
      </c>
      <c r="J209" s="206" t="e">
        <f t="shared" si="80"/>
        <v>#REF!</v>
      </c>
      <c r="K209" s="206" t="e">
        <f t="shared" si="80"/>
        <v>#REF!</v>
      </c>
      <c r="L209" s="206" t="e">
        <f t="shared" si="80"/>
        <v>#REF!</v>
      </c>
      <c r="M209" s="206" t="e">
        <f t="shared" si="80"/>
        <v>#REF!</v>
      </c>
      <c r="N209" s="206" t="e">
        <f t="shared" si="80"/>
        <v>#REF!</v>
      </c>
      <c r="O209" s="206" t="e">
        <f t="shared" si="80"/>
        <v>#REF!</v>
      </c>
      <c r="P209" s="206" t="e">
        <f t="shared" si="80"/>
        <v>#REF!</v>
      </c>
      <c r="Q209" s="206" t="e">
        <f t="shared" si="80"/>
        <v>#REF!</v>
      </c>
      <c r="R209" s="206" t="e">
        <f t="shared" si="80"/>
        <v>#REF!</v>
      </c>
      <c r="S209" s="206" t="e">
        <f t="shared" si="80"/>
        <v>#REF!</v>
      </c>
      <c r="T209" s="206" t="e">
        <f t="shared" si="80"/>
        <v>#REF!</v>
      </c>
      <c r="U209" s="206" t="e">
        <f t="shared" si="80"/>
        <v>#REF!</v>
      </c>
      <c r="V209" s="206" t="e">
        <f t="shared" si="80"/>
        <v>#REF!</v>
      </c>
      <c r="W209" s="206" t="e">
        <f t="shared" si="80"/>
        <v>#REF!</v>
      </c>
      <c r="X209" s="206" t="e">
        <f t="shared" si="80"/>
        <v>#REF!</v>
      </c>
      <c r="Y209" s="206" t="e">
        <f t="shared" si="80"/>
        <v>#REF!</v>
      </c>
      <c r="Z209" s="206" t="e">
        <f t="shared" si="80"/>
        <v>#REF!</v>
      </c>
      <c r="AA209" s="206" t="e">
        <f>SUM(AA135,AA141,AA147,AA153,AA159,AA165,AA172,AA179,AA186,AA193,AA200,AA206)</f>
        <v>#REF!</v>
      </c>
      <c r="AB209" s="206" t="e">
        <f t="shared" si="80"/>
        <v>#REF!</v>
      </c>
    </row>
    <row r="210" spans="2:28" ht="13.8" outlineLevel="1" thickBot="1">
      <c r="B210" s="179" t="s">
        <v>146</v>
      </c>
      <c r="C210" s="126"/>
      <c r="D210" s="126"/>
      <c r="E210" s="126"/>
      <c r="F210" s="199"/>
      <c r="G210" s="202">
        <f t="shared" ref="G210:AB210" si="81">G209-G32</f>
        <v>-119958</v>
      </c>
      <c r="H210" s="206">
        <f t="shared" si="81"/>
        <v>-228486</v>
      </c>
      <c r="I210" s="202">
        <f t="shared" ca="1" si="81"/>
        <v>-149443.50967980342</v>
      </c>
      <c r="J210" s="206" t="e">
        <f t="shared" ca="1" si="81"/>
        <v>#REF!</v>
      </c>
      <c r="K210" s="206" t="e">
        <f t="shared" ca="1" si="81"/>
        <v>#REF!</v>
      </c>
      <c r="L210" s="206" t="e">
        <f t="shared" ca="1" si="81"/>
        <v>#REF!</v>
      </c>
      <c r="M210" s="206" t="e">
        <f t="shared" ca="1" si="81"/>
        <v>#REF!</v>
      </c>
      <c r="N210" s="206" t="e">
        <f t="shared" ca="1" si="81"/>
        <v>#REF!</v>
      </c>
      <c r="O210" s="206" t="e">
        <f t="shared" ca="1" si="81"/>
        <v>#REF!</v>
      </c>
      <c r="P210" s="206" t="e">
        <f t="shared" ca="1" si="81"/>
        <v>#REF!</v>
      </c>
      <c r="Q210" s="206" t="e">
        <f t="shared" ca="1" si="81"/>
        <v>#REF!</v>
      </c>
      <c r="R210" s="206" t="e">
        <f t="shared" ca="1" si="81"/>
        <v>#REF!</v>
      </c>
      <c r="S210" s="206" t="e">
        <f t="shared" ca="1" si="81"/>
        <v>#REF!</v>
      </c>
      <c r="T210" s="206" t="e">
        <f t="shared" ca="1" si="81"/>
        <v>#REF!</v>
      </c>
      <c r="U210" s="206" t="e">
        <f t="shared" ca="1" si="81"/>
        <v>#REF!</v>
      </c>
      <c r="V210" s="206" t="e">
        <f t="shared" ca="1" si="81"/>
        <v>#REF!</v>
      </c>
      <c r="W210" s="206" t="e">
        <f t="shared" ca="1" si="81"/>
        <v>#REF!</v>
      </c>
      <c r="X210" s="206" t="e">
        <f t="shared" ca="1" si="81"/>
        <v>#REF!</v>
      </c>
      <c r="Y210" s="206" t="e">
        <f t="shared" ca="1" si="81"/>
        <v>#REF!</v>
      </c>
      <c r="Z210" s="206" t="e">
        <f t="shared" ca="1" si="81"/>
        <v>#REF!</v>
      </c>
      <c r="AA210" s="206" t="e">
        <f t="shared" ca="1" si="81"/>
        <v>#REF!</v>
      </c>
      <c r="AB210" s="206" t="e">
        <f t="shared" ca="1" si="81"/>
        <v>#REF!</v>
      </c>
    </row>
    <row r="211" spans="2:28" ht="13.8" outlineLevel="1" thickBot="1">
      <c r="B211" s="179" t="s">
        <v>86</v>
      </c>
      <c r="C211" s="126"/>
      <c r="D211" s="126"/>
      <c r="E211" s="126"/>
      <c r="F211" s="199"/>
      <c r="G211" s="126">
        <f t="shared" ref="G211:AB211" si="82">G91</f>
        <v>4362</v>
      </c>
      <c r="H211" s="206">
        <f t="shared" si="82"/>
        <v>-4228</v>
      </c>
      <c r="I211" s="126">
        <f t="shared" ca="1" si="82"/>
        <v>-10288.038182457707</v>
      </c>
      <c r="J211" s="206">
        <f t="shared" ca="1" si="82"/>
        <v>-12048.630855074371</v>
      </c>
      <c r="K211" s="206">
        <f t="shared" ca="1" si="82"/>
        <v>-20617.849327204662</v>
      </c>
      <c r="L211" s="206">
        <f t="shared" ca="1" si="82"/>
        <v>-17742.617461223002</v>
      </c>
      <c r="M211" s="206">
        <f t="shared" ca="1" si="82"/>
        <v>-3003.7370119020384</v>
      </c>
      <c r="N211" s="206">
        <f t="shared" ca="1" si="82"/>
        <v>12.664029575344612</v>
      </c>
      <c r="O211" s="206">
        <f t="shared" ca="1" si="82"/>
        <v>2344.8793488723436</v>
      </c>
      <c r="P211" s="206">
        <f t="shared" ca="1" si="82"/>
        <v>-29572.561006883345</v>
      </c>
      <c r="Q211" s="206">
        <f t="shared" ca="1" si="82"/>
        <v>-17848.720522644682</v>
      </c>
      <c r="R211" s="206">
        <f t="shared" ca="1" si="82"/>
        <v>-30821.771203592216</v>
      </c>
      <c r="S211" s="206">
        <f t="shared" ca="1" si="82"/>
        <v>-31130.201630969827</v>
      </c>
      <c r="T211" s="206" t="e">
        <f t="shared" ca="1" si="82"/>
        <v>#VALUE!</v>
      </c>
      <c r="U211" s="206" t="e">
        <f t="shared" ca="1" si="82"/>
        <v>#VALUE!</v>
      </c>
      <c r="V211" s="206" t="e">
        <f t="shared" ca="1" si="82"/>
        <v>#VALUE!</v>
      </c>
      <c r="W211" s="206" t="e">
        <f t="shared" ca="1" si="82"/>
        <v>#VALUE!</v>
      </c>
      <c r="X211" s="206" t="e">
        <f t="shared" ca="1" si="82"/>
        <v>#VALUE!</v>
      </c>
      <c r="Y211" s="206" t="e">
        <f t="shared" ca="1" si="82"/>
        <v>#VALUE!</v>
      </c>
      <c r="Z211" s="206" t="e">
        <f t="shared" ca="1" si="82"/>
        <v>#VALUE!</v>
      </c>
      <c r="AA211" s="206" t="e">
        <f t="shared" ca="1" si="82"/>
        <v>#VALUE!</v>
      </c>
      <c r="AB211" s="206" t="e">
        <f t="shared" ca="1" si="82"/>
        <v>#VALUE!</v>
      </c>
    </row>
    <row r="212" spans="2:28" ht="13.8" outlineLevel="1" thickBot="1">
      <c r="B212" s="203" t="s">
        <v>246</v>
      </c>
      <c r="C212" s="128"/>
      <c r="D212" s="128"/>
      <c r="E212" s="128"/>
      <c r="F212" s="205"/>
      <c r="G212" s="165">
        <f t="shared" ref="G212:AB212" si="83">G23</f>
        <v>1.1050072155321911</v>
      </c>
      <c r="H212" s="205">
        <f t="shared" si="83"/>
        <v>1.4339356369208924</v>
      </c>
      <c r="I212" s="165">
        <f t="shared" ca="1" si="83"/>
        <v>2.9997817792377748</v>
      </c>
      <c r="J212" s="205">
        <f t="shared" ca="1" si="83"/>
        <v>3.000024803761399</v>
      </c>
      <c r="K212" s="205">
        <f t="shared" ca="1" si="83"/>
        <v>2.0764737512566978</v>
      </c>
      <c r="L212" s="205">
        <f t="shared" ca="1" si="83"/>
        <v>2.0802646961365658</v>
      </c>
      <c r="M212" s="205">
        <f t="shared" ca="1" si="83"/>
        <v>2.7782792192797556</v>
      </c>
      <c r="N212" s="205">
        <f t="shared" ca="1" si="83"/>
        <v>2.7958094555256587</v>
      </c>
      <c r="O212" s="205">
        <f t="shared" ca="1" si="83"/>
        <v>2.8122905847180588</v>
      </c>
      <c r="P212" s="205">
        <f t="shared" ca="1" si="83"/>
        <v>1.4727764766195488</v>
      </c>
      <c r="Q212" s="205">
        <f t="shared" ca="1" si="83"/>
        <v>1.7323794810863447</v>
      </c>
      <c r="R212" s="205">
        <f t="shared" ca="1" si="83"/>
        <v>1.360836813496721</v>
      </c>
      <c r="S212" s="205">
        <f t="shared" ca="1" si="83"/>
        <v>1.1601528446644573</v>
      </c>
      <c r="T212" s="205" t="e">
        <f t="shared" ca="1" si="83"/>
        <v>#VALUE!</v>
      </c>
      <c r="U212" s="205" t="e">
        <f t="shared" ca="1" si="83"/>
        <v>#VALUE!</v>
      </c>
      <c r="V212" s="205" t="e">
        <f t="shared" ca="1" si="83"/>
        <v>#VALUE!</v>
      </c>
      <c r="W212" s="205" t="e">
        <f t="shared" ca="1" si="83"/>
        <v>#VALUE!</v>
      </c>
      <c r="X212" s="205" t="e">
        <f t="shared" ca="1" si="83"/>
        <v>#VALUE!</v>
      </c>
      <c r="Y212" s="205" t="e">
        <f t="shared" ca="1" si="83"/>
        <v>#VALUE!</v>
      </c>
      <c r="Z212" s="205" t="e">
        <f t="shared" ca="1" si="83"/>
        <v>#VALUE!</v>
      </c>
      <c r="AA212" s="205" t="e">
        <f t="shared" ca="1" si="83"/>
        <v>#VALUE!</v>
      </c>
      <c r="AB212" s="205" t="e">
        <f t="shared" ca="1" si="83"/>
        <v>#VALUE!</v>
      </c>
    </row>
    <row r="213" spans="2:28" ht="13.8" outlineLevel="1" thickBot="1">
      <c r="B213" s="203" t="s">
        <v>249</v>
      </c>
      <c r="C213" s="128"/>
      <c r="D213" s="128"/>
      <c r="E213" s="128"/>
      <c r="F213" s="205"/>
      <c r="G213" s="165" t="str">
        <f t="shared" ref="G213:AB213" si="84">G25</f>
        <v>n.a.</v>
      </c>
      <c r="H213" s="205" t="str">
        <f t="shared" si="84"/>
        <v>n.a.</v>
      </c>
      <c r="I213" s="165">
        <f t="shared" si="84"/>
        <v>-5892.98796849684</v>
      </c>
      <c r="J213" s="205">
        <f t="shared" si="84"/>
        <v>-7760.3803352147806</v>
      </c>
      <c r="K213" s="205">
        <f t="shared" si="84"/>
        <v>-6911.3320002293985</v>
      </c>
      <c r="L213" s="205">
        <f t="shared" si="84"/>
        <v>-7594.6858286144416</v>
      </c>
      <c r="M213" s="205">
        <f t="shared" si="84"/>
        <v>-8438.9108535102714</v>
      </c>
      <c r="N213" s="205">
        <f t="shared" si="84"/>
        <v>-9059.8533990136493</v>
      </c>
      <c r="O213" s="205">
        <f t="shared" si="84"/>
        <v>-9863.9399806720103</v>
      </c>
      <c r="P213" s="205">
        <f t="shared" si="84"/>
        <v>-11417.577385799807</v>
      </c>
      <c r="Q213" s="205">
        <f t="shared" si="84"/>
        <v>-12255.467626291917</v>
      </c>
      <c r="R213" s="205">
        <f t="shared" si="84"/>
        <v>-13268.547452361789</v>
      </c>
      <c r="S213" s="205">
        <f t="shared" si="84"/>
        <v>-15723.947552248268</v>
      </c>
      <c r="T213" s="205">
        <f t="shared" si="84"/>
        <v>-17088.000002405781</v>
      </c>
      <c r="U213" s="205">
        <f t="shared" si="84"/>
        <v>-18570.384002614563</v>
      </c>
      <c r="V213" s="205">
        <f t="shared" si="84"/>
        <v>-20181.364814841319</v>
      </c>
      <c r="W213" s="205">
        <f t="shared" si="84"/>
        <v>-21932.098212528872</v>
      </c>
      <c r="X213" s="205">
        <f t="shared" si="84"/>
        <v>-23834.707732465642</v>
      </c>
      <c r="Y213" s="205">
        <f t="shared" si="84"/>
        <v>-25902.368628256983</v>
      </c>
      <c r="Z213" s="205">
        <f t="shared" si="84"/>
        <v>-28149.399106758327</v>
      </c>
      <c r="AA213" s="205">
        <f t="shared" si="84"/>
        <v>0</v>
      </c>
      <c r="AB213" s="205">
        <f t="shared" si="84"/>
        <v>0</v>
      </c>
    </row>
    <row r="214" spans="2:28" ht="13.8" outlineLevel="1" thickBot="1">
      <c r="B214" s="203" t="s">
        <v>250</v>
      </c>
      <c r="C214" s="128"/>
      <c r="D214" s="128"/>
      <c r="E214" s="128"/>
      <c r="F214" s="205"/>
      <c r="G214" s="165" t="e">
        <f>#REF!</f>
        <v>#REF!</v>
      </c>
      <c r="H214" s="205" t="e">
        <f>#REF!</f>
        <v>#REF!</v>
      </c>
      <c r="I214" s="165" t="e">
        <f>#REF!</f>
        <v>#REF!</v>
      </c>
      <c r="J214" s="205" t="e">
        <f>#REF!</f>
        <v>#REF!</v>
      </c>
      <c r="K214" s="205" t="e">
        <f>#REF!</f>
        <v>#REF!</v>
      </c>
      <c r="L214" s="205" t="e">
        <f>#REF!</f>
        <v>#REF!</v>
      </c>
      <c r="M214" s="205" t="e">
        <f>#REF!</f>
        <v>#REF!</v>
      </c>
      <c r="N214" s="205" t="e">
        <f>#REF!</f>
        <v>#REF!</v>
      </c>
      <c r="O214" s="205" t="e">
        <f>#REF!</f>
        <v>#REF!</v>
      </c>
      <c r="P214" s="205" t="e">
        <f>#REF!</f>
        <v>#REF!</v>
      </c>
      <c r="Q214" s="205" t="e">
        <f>#REF!</f>
        <v>#REF!</v>
      </c>
      <c r="R214" s="205" t="e">
        <f>#REF!</f>
        <v>#REF!</v>
      </c>
      <c r="S214" s="205" t="e">
        <f>#REF!</f>
        <v>#REF!</v>
      </c>
      <c r="T214" s="205" t="e">
        <f>#REF!</f>
        <v>#REF!</v>
      </c>
      <c r="U214" s="205" t="e">
        <f>#REF!</f>
        <v>#REF!</v>
      </c>
      <c r="V214" s="205" t="e">
        <f>#REF!</f>
        <v>#REF!</v>
      </c>
      <c r="W214" s="205" t="e">
        <f>#REF!</f>
        <v>#REF!</v>
      </c>
      <c r="X214" s="205" t="e">
        <f>#REF!</f>
        <v>#REF!</v>
      </c>
      <c r="Y214" s="205" t="e">
        <f>#REF!</f>
        <v>#REF!</v>
      </c>
      <c r="Z214" s="205" t="e">
        <f>#REF!</f>
        <v>#REF!</v>
      </c>
      <c r="AA214" s="205" t="e">
        <f>#REF!</f>
        <v>#REF!</v>
      </c>
      <c r="AB214" s="205" t="e">
        <f>#REF!</f>
        <v>#REF!</v>
      </c>
    </row>
    <row r="215" spans="2:28" ht="13.8" outlineLevel="1" thickBot="1">
      <c r="B215" s="203" t="s">
        <v>152</v>
      </c>
      <c r="C215" s="128"/>
      <c r="D215" s="128"/>
      <c r="E215" s="128"/>
      <c r="F215" s="205"/>
      <c r="G215" s="165">
        <f t="shared" ref="G215:AB215" si="85">G26</f>
        <v>0.92612611724824345</v>
      </c>
      <c r="H215" s="205">
        <f t="shared" ref="H215:M215" si="86">H26</f>
        <v>1.1874826010128432</v>
      </c>
      <c r="I215" s="165">
        <f t="shared" ca="1" si="86"/>
        <v>1.0511633384578032</v>
      </c>
      <c r="J215" s="205">
        <f t="shared" ca="1" si="86"/>
        <v>1.0210521078233101</v>
      </c>
      <c r="K215" s="205">
        <f t="shared" ca="1" si="86"/>
        <v>0.87970776419078311</v>
      </c>
      <c r="L215" s="205">
        <f t="shared" ca="1" si="86"/>
        <v>0.79225626415982964</v>
      </c>
      <c r="M215" s="205">
        <f t="shared" ca="1" si="86"/>
        <v>0.71191665471368759</v>
      </c>
      <c r="N215" s="205">
        <f t="shared" ca="1" si="85"/>
        <v>0.65308721325167984</v>
      </c>
      <c r="O215" s="205">
        <f t="shared" ca="1" si="85"/>
        <v>0.66110467867832756</v>
      </c>
      <c r="P215" s="205">
        <f t="shared" ca="1" si="85"/>
        <v>0.70900579321776347</v>
      </c>
      <c r="Q215" s="205">
        <f t="shared" ca="1" si="85"/>
        <v>0.73843279635272585</v>
      </c>
      <c r="R215" s="205">
        <f t="shared" ca="1" si="85"/>
        <v>0.7947348679426266</v>
      </c>
      <c r="S215" s="205">
        <f t="shared" ca="1" si="85"/>
        <v>0.85323833467322963</v>
      </c>
      <c r="T215" s="205" t="e">
        <f t="shared" ca="1" si="85"/>
        <v>#VALUE!</v>
      </c>
      <c r="U215" s="205" t="e">
        <f t="shared" ca="1" si="85"/>
        <v>#VALUE!</v>
      </c>
      <c r="V215" s="205" t="e">
        <f t="shared" ca="1" si="85"/>
        <v>#VALUE!</v>
      </c>
      <c r="W215" s="205" t="e">
        <f t="shared" ca="1" si="85"/>
        <v>#VALUE!</v>
      </c>
      <c r="X215" s="205" t="e">
        <f t="shared" ca="1" si="85"/>
        <v>#VALUE!</v>
      </c>
      <c r="Y215" s="205" t="e">
        <f t="shared" ca="1" si="85"/>
        <v>#VALUE!</v>
      </c>
      <c r="Z215" s="205" t="e">
        <f t="shared" ca="1" si="85"/>
        <v>#VALUE!</v>
      </c>
      <c r="AA215" s="205" t="e">
        <f t="shared" ca="1" si="85"/>
        <v>#VALUE!</v>
      </c>
      <c r="AB215" s="205" t="e">
        <f t="shared" ca="1" si="85"/>
        <v>#VALUE!</v>
      </c>
    </row>
    <row r="217" spans="2:28"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</row>
  </sheetData>
  <mergeCells count="4">
    <mergeCell ref="I2:L2"/>
    <mergeCell ref="I3:K3"/>
    <mergeCell ref="I4:K4"/>
    <mergeCell ref="I5:K5"/>
  </mergeCells>
  <phoneticPr fontId="7" type="noConversion"/>
  <pageMargins left="0.19685039370078741" right="0.23622047244094491" top="0.59055118110236227" bottom="0.59055118110236227" header="0.39370078740157483" footer="0.51181102362204722"/>
  <pageSetup scale="70" fitToHeight="4" orientation="landscape" r:id="rId1"/>
  <headerFooter alignWithMargins="0"/>
  <rowBreaks count="4" manualBreakCount="4">
    <brk id="27" max="16383" man="1"/>
    <brk id="67" max="16383" man="1"/>
    <brk id="96" max="16383" man="1"/>
    <brk id="12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AG86"/>
  <sheetViews>
    <sheetView showGridLines="0" zoomScale="85" zoomScaleNormal="85" workbookViewId="0">
      <pane xSplit="8" ySplit="7" topLeftCell="I34" activePane="bottomRight" state="frozen"/>
      <selection activeCell="H55" sqref="H55"/>
      <selection pane="topRight" activeCell="H55" sqref="H55"/>
      <selection pane="bottomLeft" activeCell="H55" sqref="H55"/>
      <selection pane="bottomRight" activeCell="J69" sqref="J69"/>
    </sheetView>
  </sheetViews>
  <sheetFormatPr defaultRowHeight="13.2" outlineLevelCol="1"/>
  <cols>
    <col min="1" max="1" width="3" customWidth="1"/>
    <col min="2" max="2" width="23.109375" bestFit="1" customWidth="1"/>
    <col min="3" max="3" width="10.88671875" bestFit="1" customWidth="1"/>
    <col min="4" max="4" width="11" hidden="1" customWidth="1" outlineLevel="1"/>
    <col min="5" max="6" width="11.88671875" hidden="1" customWidth="1" outlineLevel="1"/>
    <col min="7" max="7" width="11.33203125" bestFit="1" customWidth="1" outlineLevel="1"/>
    <col min="8" max="8" width="11.33203125" bestFit="1" customWidth="1"/>
    <col min="9" max="14" width="13.44140625" customWidth="1"/>
    <col min="15" max="29" width="13.44140625" customWidth="1" outlineLevel="1"/>
    <col min="32" max="32" width="16.88671875" bestFit="1" customWidth="1"/>
  </cols>
  <sheetData>
    <row r="2" spans="1:33">
      <c r="A2" s="92">
        <v>1</v>
      </c>
      <c r="B2" s="92" t="s">
        <v>373</v>
      </c>
      <c r="C2" s="94" t="s">
        <v>123</v>
      </c>
      <c r="F2" s="37"/>
      <c r="G2" s="37"/>
      <c r="I2" s="37"/>
      <c r="J2" s="9"/>
      <c r="K2" s="37"/>
      <c r="L2" s="37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>
      <c r="A3" s="92">
        <v>2</v>
      </c>
      <c r="B3" s="92" t="s">
        <v>378</v>
      </c>
      <c r="C3" s="96">
        <f>Output!G2</f>
        <v>1</v>
      </c>
      <c r="F3" s="81"/>
      <c r="G3" s="81"/>
      <c r="H3" s="29"/>
      <c r="I3" s="37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</row>
    <row r="4" spans="1:33">
      <c r="A4" s="92">
        <v>3</v>
      </c>
      <c r="B4" s="92" t="s">
        <v>350</v>
      </c>
      <c r="F4" s="46"/>
      <c r="G4" s="46"/>
      <c r="H4" s="46"/>
      <c r="I4" s="451"/>
      <c r="J4" s="104"/>
      <c r="K4" s="104"/>
      <c r="L4" s="104"/>
      <c r="M4" s="104"/>
      <c r="N4" s="37"/>
      <c r="O4" s="104"/>
      <c r="P4" s="104"/>
      <c r="Q4" s="104"/>
      <c r="R4" s="37"/>
      <c r="S4" s="104"/>
      <c r="T4" s="104"/>
      <c r="U4" s="104"/>
      <c r="V4" s="37"/>
      <c r="W4" s="104"/>
      <c r="X4" s="104"/>
      <c r="Y4" s="104"/>
      <c r="Z4" s="37"/>
      <c r="AA4" s="104"/>
      <c r="AB4" s="104"/>
      <c r="AC4" s="104"/>
    </row>
    <row r="5" spans="1:33" ht="13.8" thickBot="1">
      <c r="B5" s="92" t="s">
        <v>256</v>
      </c>
      <c r="C5" s="225">
        <v>40908</v>
      </c>
      <c r="F5" s="37"/>
      <c r="G5" s="37"/>
      <c r="H5" s="37"/>
      <c r="I5" s="46"/>
      <c r="N5" s="46"/>
      <c r="R5" s="46"/>
      <c r="V5" s="46"/>
      <c r="W5" s="37"/>
      <c r="Z5" s="46"/>
      <c r="AA5" s="37"/>
    </row>
    <row r="6" spans="1:33" ht="13.8" thickTop="1">
      <c r="H6" s="46"/>
      <c r="I6" s="104"/>
      <c r="J6" s="104"/>
      <c r="K6" s="104"/>
      <c r="L6" s="104"/>
      <c r="M6" s="104"/>
      <c r="N6" s="37"/>
      <c r="R6" s="37"/>
      <c r="V6" s="37"/>
      <c r="Z6" s="37"/>
    </row>
    <row r="7" spans="1:33" ht="16.2" thickBot="1">
      <c r="B7" s="17" t="s">
        <v>3</v>
      </c>
      <c r="C7" s="12"/>
      <c r="D7" s="1">
        <f t="shared" ref="D7:F7" si="0">+EOMONTH(E7,-12)</f>
        <v>39447</v>
      </c>
      <c r="E7" s="1">
        <f t="shared" si="0"/>
        <v>39813</v>
      </c>
      <c r="F7" s="1">
        <f t="shared" si="0"/>
        <v>40178</v>
      </c>
      <c r="G7" s="1">
        <f>+EOMONTH(H7,-12)</f>
        <v>40543</v>
      </c>
      <c r="H7" s="1">
        <f>C5</f>
        <v>40908</v>
      </c>
      <c r="I7" s="1">
        <f t="shared" ref="I7:AC7" si="1">+EOMONTH(H7,12)</f>
        <v>41274</v>
      </c>
      <c r="J7" s="1">
        <f t="shared" si="1"/>
        <v>41639</v>
      </c>
      <c r="K7" s="1">
        <f t="shared" si="1"/>
        <v>42004</v>
      </c>
      <c r="L7" s="1">
        <f t="shared" si="1"/>
        <v>42369</v>
      </c>
      <c r="M7" s="1">
        <f t="shared" si="1"/>
        <v>42735</v>
      </c>
      <c r="N7" s="1">
        <f t="shared" si="1"/>
        <v>43100</v>
      </c>
      <c r="O7" s="1">
        <f t="shared" si="1"/>
        <v>43465</v>
      </c>
      <c r="P7" s="1">
        <f t="shared" si="1"/>
        <v>43830</v>
      </c>
      <c r="Q7" s="1">
        <f t="shared" si="1"/>
        <v>44196</v>
      </c>
      <c r="R7" s="1">
        <f t="shared" si="1"/>
        <v>44561</v>
      </c>
      <c r="S7" s="1">
        <f t="shared" si="1"/>
        <v>44926</v>
      </c>
      <c r="T7" s="1">
        <f t="shared" si="1"/>
        <v>45291</v>
      </c>
      <c r="U7" s="1">
        <f t="shared" si="1"/>
        <v>45657</v>
      </c>
      <c r="V7" s="1">
        <f t="shared" si="1"/>
        <v>46022</v>
      </c>
      <c r="W7" s="1">
        <f t="shared" si="1"/>
        <v>46387</v>
      </c>
      <c r="X7" s="1">
        <f t="shared" si="1"/>
        <v>46752</v>
      </c>
      <c r="Y7" s="1">
        <f t="shared" si="1"/>
        <v>47118</v>
      </c>
      <c r="Z7" s="1">
        <f t="shared" si="1"/>
        <v>47483</v>
      </c>
      <c r="AA7" s="1">
        <f t="shared" si="1"/>
        <v>47848</v>
      </c>
      <c r="AB7" s="1">
        <f t="shared" si="1"/>
        <v>48213</v>
      </c>
      <c r="AC7" s="1">
        <f t="shared" si="1"/>
        <v>48579</v>
      </c>
      <c r="AD7" s="1"/>
      <c r="AE7" s="1"/>
      <c r="AF7" s="1"/>
      <c r="AG7" s="1"/>
    </row>
    <row r="8" spans="1:33" ht="13.8" thickTop="1">
      <c r="B8" s="41" t="s">
        <v>70</v>
      </c>
      <c r="D8" s="40"/>
      <c r="E8" s="49"/>
      <c r="F8" s="40"/>
      <c r="G8" s="40"/>
      <c r="H8" s="152"/>
      <c r="I8" s="98"/>
      <c r="J8" s="40"/>
      <c r="K8" s="40"/>
      <c r="L8" s="40"/>
      <c r="M8" s="40"/>
      <c r="N8" s="40"/>
      <c r="O8" s="40"/>
      <c r="P8" s="40"/>
      <c r="Q8" s="40"/>
      <c r="R8" s="40"/>
      <c r="S8" s="40"/>
    </row>
    <row r="9" spans="1:33">
      <c r="B9" s="41"/>
      <c r="D9" s="40"/>
      <c r="E9" s="49"/>
      <c r="F9" s="40"/>
      <c r="G9" s="40"/>
      <c r="H9" s="98"/>
      <c r="I9" s="478"/>
      <c r="J9" s="97"/>
      <c r="K9" s="40"/>
      <c r="L9" s="40"/>
      <c r="M9" s="40"/>
      <c r="N9" s="40"/>
      <c r="O9" s="40"/>
      <c r="P9" s="40"/>
      <c r="Q9" s="40"/>
      <c r="R9" s="40"/>
      <c r="S9" s="40"/>
    </row>
    <row r="10" spans="1:33">
      <c r="B10" s="28" t="s">
        <v>22</v>
      </c>
      <c r="C10" s="26" t="s">
        <v>402</v>
      </c>
      <c r="D10" s="315"/>
      <c r="E10" s="315"/>
      <c r="F10" s="315"/>
      <c r="G10" s="315">
        <f>Premissas!B9</f>
        <v>2434971</v>
      </c>
      <c r="H10" s="315">
        <f>Premissas!C9</f>
        <v>2853511</v>
      </c>
      <c r="I10" s="32">
        <f>H10*(1+CHOOSE($C$3,I11,I12,I13))</f>
        <v>3068721.7350129713</v>
      </c>
      <c r="J10" s="32">
        <f>I10*(1+CHOOSE($C$3,J11,J12,J13))</f>
        <v>3352129.263562154</v>
      </c>
      <c r="K10" s="32">
        <f>J10*(1+CHOOSE($C$3,K11,K12,K13))</f>
        <v>3604529.7177357315</v>
      </c>
      <c r="L10" s="32">
        <f t="shared" ref="L10:AC10" si="2">K10*(1+CHOOSE($C$3,L11,L12,L13))</f>
        <v>3881886.116239564</v>
      </c>
      <c r="M10" s="32">
        <f t="shared" si="2"/>
        <v>4190073.4428049237</v>
      </c>
      <c r="N10" s="32">
        <f>M10*(1+CHOOSE($C$3,N11,N12,N13))</f>
        <v>4520937.4662060812</v>
      </c>
      <c r="O10" s="32">
        <f>N10*(1+CHOOSE($C$3,O11,O12,O13))</f>
        <v>4881166.569797093</v>
      </c>
      <c r="P10" s="32">
        <f>O10*(1+CHOOSE($C$3,P11,P12,P13))</f>
        <v>5270328.7306498839</v>
      </c>
      <c r="Q10" s="32">
        <f t="shared" si="2"/>
        <v>5687296.3597034728</v>
      </c>
      <c r="R10" s="32">
        <f t="shared" si="2"/>
        <v>6134863.5717666429</v>
      </c>
      <c r="S10" s="32">
        <f t="shared" si="2"/>
        <v>6619428.2552587092</v>
      </c>
      <c r="T10" s="32">
        <f t="shared" si="2"/>
        <v>7193663.6564024016</v>
      </c>
      <c r="U10" s="32">
        <f t="shared" si="2"/>
        <v>7817713.978595309</v>
      </c>
      <c r="V10" s="32">
        <f t="shared" si="2"/>
        <v>8495900.6662384514</v>
      </c>
      <c r="W10" s="32">
        <f t="shared" si="2"/>
        <v>9232920.0490346365</v>
      </c>
      <c r="X10" s="32">
        <f t="shared" si="2"/>
        <v>10033875.86328839</v>
      </c>
      <c r="Y10" s="32">
        <f t="shared" si="2"/>
        <v>10904314.594428657</v>
      </c>
      <c r="Z10" s="32">
        <f t="shared" si="2"/>
        <v>11850263.88549534</v>
      </c>
      <c r="AA10" s="32">
        <f t="shared" si="2"/>
        <v>12878274.277562059</v>
      </c>
      <c r="AB10" s="32">
        <f t="shared" si="2"/>
        <v>12878274.277562059</v>
      </c>
      <c r="AC10" s="32">
        <f t="shared" si="2"/>
        <v>12878274.277562059</v>
      </c>
    </row>
    <row r="11" spans="1:33" s="440" customFormat="1">
      <c r="B11" s="20" t="s">
        <v>416</v>
      </c>
      <c r="D11" s="442"/>
      <c r="E11" s="442"/>
      <c r="F11" s="442"/>
      <c r="G11" s="443"/>
      <c r="H11" s="443"/>
      <c r="I11" s="443">
        <f>Anual!T20/100</f>
        <v>7.5419626913290752E-2</v>
      </c>
      <c r="J11" s="443">
        <f>Anual!U20/100</f>
        <v>9.2353609424930455E-2</v>
      </c>
      <c r="K11" s="443">
        <f>Anual!V20/100</f>
        <v>7.5295561217517959E-2</v>
      </c>
      <c r="L11" s="443">
        <f>Anual!W20/100</f>
        <v>7.6946625558149295E-2</v>
      </c>
      <c r="M11" s="443">
        <f>Anual!X20/100</f>
        <v>7.9391130326075934E-2</v>
      </c>
      <c r="N11" s="443">
        <f>Anual!Y20/100</f>
        <v>7.8963776630051261E-2</v>
      </c>
      <c r="O11" s="443">
        <f>Anual!Z20/100</f>
        <v>7.968017834436282E-2</v>
      </c>
      <c r="P11" s="443">
        <f>Anual!AA20/100</f>
        <v>7.9727285534729908E-2</v>
      </c>
      <c r="Q11" s="443">
        <f>Anual!AB20/100</f>
        <v>7.9116057150039151E-2</v>
      </c>
      <c r="R11" s="443">
        <f>Anual!AC20/100</f>
        <v>7.869595388669097E-2</v>
      </c>
      <c r="S11" s="443">
        <f>Anual!AD20/100</f>
        <v>7.8985404943981055E-2</v>
      </c>
      <c r="T11" s="443">
        <f>Anual!AE20/100</f>
        <v>8.6749999999999883E-2</v>
      </c>
      <c r="U11" s="443">
        <f>Anual!AF20/100</f>
        <v>8.6749999999999883E-2</v>
      </c>
      <c r="V11" s="443">
        <f>Anual!AG20/100</f>
        <v>8.6749999999999883E-2</v>
      </c>
      <c r="W11" s="443">
        <f>Anual!AH20/100</f>
        <v>8.6749999999999883E-2</v>
      </c>
      <c r="X11" s="443">
        <f>Anual!AI20/100</f>
        <v>8.6749999999999883E-2</v>
      </c>
      <c r="Y11" s="443">
        <f>Anual!AJ20/100</f>
        <v>8.6749999999999883E-2</v>
      </c>
      <c r="Z11" s="443">
        <f>Anual!AK20/100</f>
        <v>8.6749999999999883E-2</v>
      </c>
      <c r="AA11" s="443">
        <f>Anual!AL20/100</f>
        <v>8.6749999999999883E-2</v>
      </c>
      <c r="AB11" s="443">
        <f>Anual!AM20/100</f>
        <v>0</v>
      </c>
      <c r="AC11" s="443">
        <f>Anual!AN20/100</f>
        <v>0</v>
      </c>
    </row>
    <row r="12" spans="1:33">
      <c r="C12" s="41"/>
      <c r="D12" s="41"/>
      <c r="E12" s="41"/>
      <c r="F12" s="312"/>
      <c r="G12" s="312" t="s">
        <v>451</v>
      </c>
      <c r="H12" s="222"/>
      <c r="I12" s="314">
        <f>I11</f>
        <v>7.5419626913290752E-2</v>
      </c>
      <c r="J12" s="314">
        <f t="shared" ref="J12:AC12" si="3">J11</f>
        <v>9.2353609424930455E-2</v>
      </c>
      <c r="K12" s="314">
        <f t="shared" si="3"/>
        <v>7.5295561217517959E-2</v>
      </c>
      <c r="L12" s="314">
        <f t="shared" si="3"/>
        <v>7.6946625558149295E-2</v>
      </c>
      <c r="M12" s="314">
        <f t="shared" si="3"/>
        <v>7.9391130326075934E-2</v>
      </c>
      <c r="N12" s="314">
        <f t="shared" si="3"/>
        <v>7.8963776630051261E-2</v>
      </c>
      <c r="O12" s="314">
        <f t="shared" si="3"/>
        <v>7.968017834436282E-2</v>
      </c>
      <c r="P12" s="314">
        <f t="shared" si="3"/>
        <v>7.9727285534729908E-2</v>
      </c>
      <c r="Q12" s="314">
        <f t="shared" si="3"/>
        <v>7.9116057150039151E-2</v>
      </c>
      <c r="R12" s="314">
        <f t="shared" si="3"/>
        <v>7.869595388669097E-2</v>
      </c>
      <c r="S12" s="314">
        <f t="shared" si="3"/>
        <v>7.8985404943981055E-2</v>
      </c>
      <c r="T12" s="314">
        <f t="shared" si="3"/>
        <v>8.6749999999999883E-2</v>
      </c>
      <c r="U12" s="314">
        <f t="shared" si="3"/>
        <v>8.6749999999999883E-2</v>
      </c>
      <c r="V12" s="314">
        <f t="shared" si="3"/>
        <v>8.6749999999999883E-2</v>
      </c>
      <c r="W12" s="314">
        <f t="shared" si="3"/>
        <v>8.6749999999999883E-2</v>
      </c>
      <c r="X12" s="314">
        <f t="shared" si="3"/>
        <v>8.6749999999999883E-2</v>
      </c>
      <c r="Y12" s="314">
        <f t="shared" si="3"/>
        <v>8.6749999999999883E-2</v>
      </c>
      <c r="Z12" s="314">
        <f t="shared" si="3"/>
        <v>8.6749999999999883E-2</v>
      </c>
      <c r="AA12" s="314">
        <f t="shared" si="3"/>
        <v>8.6749999999999883E-2</v>
      </c>
      <c r="AB12" s="314">
        <f t="shared" si="3"/>
        <v>0</v>
      </c>
      <c r="AC12" s="314">
        <f t="shared" si="3"/>
        <v>0</v>
      </c>
      <c r="AD12" s="314">
        <f t="shared" ref="R12:AD13" si="4">AD11</f>
        <v>0</v>
      </c>
    </row>
    <row r="13" spans="1:33">
      <c r="B13" s="21"/>
      <c r="F13" s="89"/>
      <c r="G13" s="89"/>
      <c r="H13" s="90"/>
      <c r="I13" s="390">
        <v>7.0000000000000007E-2</v>
      </c>
      <c r="J13" s="390">
        <v>7.0000000000000007E-2</v>
      </c>
      <c r="K13" s="390">
        <v>7.0000000000000007E-2</v>
      </c>
      <c r="L13" s="390">
        <v>7.0000000000000007E-2</v>
      </c>
      <c r="M13" s="390">
        <v>7.0000000000000007E-2</v>
      </c>
      <c r="N13" s="390">
        <v>7.0000000000000007E-2</v>
      </c>
      <c r="O13" s="390">
        <v>7.0000000000000007E-2</v>
      </c>
      <c r="P13" s="390">
        <v>7.0000000000000007E-2</v>
      </c>
      <c r="Q13" s="390">
        <v>7.0000000000000007E-2</v>
      </c>
      <c r="R13" s="443">
        <f t="shared" si="4"/>
        <v>7.869595388669097E-2</v>
      </c>
      <c r="S13" s="443">
        <f t="shared" si="4"/>
        <v>7.8985404943981055E-2</v>
      </c>
      <c r="T13" s="443">
        <f t="shared" si="4"/>
        <v>8.6749999999999883E-2</v>
      </c>
      <c r="U13" s="443">
        <f t="shared" si="4"/>
        <v>8.6749999999999883E-2</v>
      </c>
      <c r="V13" s="443">
        <f t="shared" si="4"/>
        <v>8.6749999999999883E-2</v>
      </c>
      <c r="W13" s="443">
        <f t="shared" si="4"/>
        <v>8.6749999999999883E-2</v>
      </c>
      <c r="X13" s="443">
        <f t="shared" si="4"/>
        <v>8.6749999999999883E-2</v>
      </c>
      <c r="Y13" s="443">
        <f t="shared" si="4"/>
        <v>8.6749999999999883E-2</v>
      </c>
      <c r="Z13" s="443">
        <f t="shared" si="4"/>
        <v>8.6749999999999883E-2</v>
      </c>
      <c r="AA13" s="443">
        <f t="shared" si="4"/>
        <v>8.6749999999999883E-2</v>
      </c>
      <c r="AB13" s="443">
        <f t="shared" si="4"/>
        <v>0</v>
      </c>
      <c r="AC13" s="443">
        <f t="shared" si="4"/>
        <v>0</v>
      </c>
    </row>
    <row r="14" spans="1:33">
      <c r="B14" s="21"/>
      <c r="F14" s="89"/>
      <c r="G14" s="89"/>
      <c r="H14" s="90"/>
      <c r="I14" s="390"/>
      <c r="J14" s="390"/>
      <c r="K14" s="473"/>
      <c r="L14" s="390"/>
      <c r="M14" s="390"/>
      <c r="N14" s="390"/>
      <c r="O14" s="390"/>
      <c r="P14" s="390"/>
      <c r="Q14" s="390"/>
      <c r="R14" s="390"/>
      <c r="S14" s="390"/>
      <c r="T14" s="390"/>
      <c r="U14" s="390"/>
      <c r="V14" s="390"/>
      <c r="W14" s="390"/>
      <c r="X14" s="390"/>
      <c r="Y14" s="390"/>
      <c r="Z14" s="390"/>
      <c r="AA14" s="390"/>
      <c r="AB14" s="390"/>
      <c r="AC14" s="390"/>
    </row>
    <row r="15" spans="1:33">
      <c r="B15" s="21"/>
      <c r="F15" s="89"/>
      <c r="G15" s="89"/>
      <c r="H15" s="90"/>
      <c r="I15" s="390"/>
      <c r="J15" s="390"/>
      <c r="K15" s="390"/>
      <c r="L15" s="390"/>
      <c r="M15" s="390"/>
      <c r="N15" s="390"/>
      <c r="O15" s="390"/>
      <c r="P15" s="390"/>
      <c r="Q15" s="390"/>
      <c r="R15" s="390"/>
      <c r="S15" s="390"/>
      <c r="T15" s="390"/>
      <c r="U15" s="390"/>
      <c r="V15" s="390"/>
      <c r="W15" s="390"/>
      <c r="X15" s="390"/>
      <c r="Y15" s="390"/>
      <c r="Z15" s="390"/>
      <c r="AA15" s="390"/>
      <c r="AB15" s="390"/>
      <c r="AC15" s="390"/>
    </row>
    <row r="16" spans="1:33">
      <c r="B16" s="21"/>
      <c r="F16" s="89"/>
      <c r="G16" s="89"/>
      <c r="H16" s="90"/>
      <c r="I16" s="464"/>
      <c r="J16" s="464"/>
      <c r="K16" s="464"/>
      <c r="L16" s="464"/>
      <c r="M16" s="464"/>
      <c r="N16" s="465"/>
      <c r="O16" s="465"/>
      <c r="P16" s="464"/>
      <c r="Q16" s="464"/>
      <c r="R16" s="390"/>
      <c r="S16" s="390"/>
      <c r="T16" s="390"/>
      <c r="U16" s="390"/>
      <c r="V16" s="390"/>
      <c r="W16" s="390"/>
      <c r="X16" s="390"/>
      <c r="Y16" s="390"/>
      <c r="Z16" s="390"/>
      <c r="AA16" s="390"/>
      <c r="AB16" s="390"/>
      <c r="AC16" s="390"/>
    </row>
    <row r="17" spans="2:29">
      <c r="B17" s="21"/>
      <c r="F17" s="89"/>
      <c r="G17" s="89"/>
      <c r="H17" s="90"/>
      <c r="I17" s="464"/>
      <c r="J17" s="464"/>
      <c r="K17" s="464"/>
      <c r="L17" s="464"/>
      <c r="M17" s="464"/>
      <c r="N17" s="465"/>
      <c r="O17" s="465"/>
      <c r="P17" s="464"/>
      <c r="Q17" s="464"/>
      <c r="R17" s="390"/>
      <c r="S17" s="390"/>
      <c r="T17" s="390"/>
      <c r="U17" s="390"/>
      <c r="V17" s="390"/>
      <c r="W17" s="390"/>
      <c r="X17" s="390"/>
      <c r="Y17" s="390"/>
      <c r="Z17" s="390"/>
      <c r="AA17" s="390"/>
      <c r="AB17" s="390"/>
      <c r="AC17" s="390"/>
    </row>
    <row r="18" spans="2:29">
      <c r="B18" s="21"/>
      <c r="F18" s="89"/>
      <c r="G18" s="89"/>
      <c r="H18" s="90"/>
      <c r="I18" s="464"/>
      <c r="J18" s="464"/>
      <c r="K18" s="464"/>
      <c r="L18" s="464"/>
      <c r="M18" s="464"/>
      <c r="N18" s="465"/>
      <c r="O18" s="465"/>
      <c r="P18" s="464"/>
      <c r="Q18" s="464"/>
      <c r="R18" s="390"/>
      <c r="S18" s="390"/>
      <c r="T18" s="390"/>
      <c r="U18" s="390"/>
      <c r="V18" s="390"/>
      <c r="W18" s="390"/>
      <c r="X18" s="390"/>
      <c r="Y18" s="390"/>
      <c r="Z18" s="390"/>
      <c r="AA18" s="390"/>
      <c r="AB18" s="390"/>
      <c r="AC18" s="390"/>
    </row>
    <row r="19" spans="2:29">
      <c r="B19" s="21"/>
      <c r="F19" s="89"/>
      <c r="G19" s="89"/>
      <c r="H19" s="90"/>
      <c r="I19" s="466"/>
      <c r="J19" s="466"/>
      <c r="K19" s="466"/>
      <c r="L19" s="466"/>
      <c r="M19" s="464"/>
      <c r="N19" s="465"/>
      <c r="O19" s="465"/>
      <c r="P19" s="464"/>
      <c r="Q19" s="464"/>
      <c r="R19" s="390"/>
      <c r="S19" s="390"/>
      <c r="T19" s="390"/>
      <c r="U19" s="390"/>
      <c r="V19" s="390"/>
      <c r="W19" s="390"/>
      <c r="X19" s="390"/>
      <c r="Y19" s="390"/>
      <c r="Z19" s="390"/>
      <c r="AA19" s="390"/>
      <c r="AB19" s="390"/>
      <c r="AC19" s="390"/>
    </row>
    <row r="20" spans="2:29">
      <c r="B20" s="21"/>
      <c r="F20" s="89"/>
      <c r="G20" s="89"/>
      <c r="H20" s="90"/>
      <c r="I20" s="465"/>
      <c r="J20" s="465"/>
      <c r="K20" s="465"/>
      <c r="L20" s="465"/>
      <c r="M20" s="464"/>
      <c r="N20" s="464"/>
      <c r="O20" s="464"/>
      <c r="P20" s="464"/>
      <c r="Q20" s="464"/>
      <c r="R20" s="390"/>
      <c r="S20" s="390"/>
      <c r="T20" s="390"/>
      <c r="U20" s="390"/>
      <c r="V20" s="390"/>
      <c r="W20" s="390"/>
      <c r="X20" s="390"/>
      <c r="Y20" s="390"/>
      <c r="Z20" s="390"/>
      <c r="AA20" s="390"/>
      <c r="AB20" s="390"/>
      <c r="AC20" s="390"/>
    </row>
    <row r="21" spans="2:29">
      <c r="B21" s="21"/>
      <c r="F21" s="89"/>
      <c r="G21" s="89"/>
      <c r="H21" s="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390"/>
      <c r="T21" s="390"/>
      <c r="U21" s="390"/>
      <c r="V21" s="390"/>
      <c r="W21" s="390"/>
      <c r="X21" s="390"/>
      <c r="Y21" s="390"/>
      <c r="Z21" s="390"/>
      <c r="AA21" s="390"/>
      <c r="AB21" s="390"/>
      <c r="AC21" s="390"/>
    </row>
    <row r="22" spans="2:29">
      <c r="B22" s="21"/>
      <c r="F22" s="89"/>
      <c r="G22" s="89"/>
      <c r="H22" s="90"/>
      <c r="I22" s="221"/>
      <c r="J22" s="90"/>
      <c r="K22" s="90"/>
      <c r="L22" s="90"/>
      <c r="M22" s="221"/>
      <c r="N22" s="90"/>
      <c r="O22" s="90"/>
      <c r="P22" s="90"/>
      <c r="Q22" s="221"/>
      <c r="R22" s="90"/>
      <c r="S22" s="90"/>
      <c r="T22" s="90"/>
      <c r="U22" s="221"/>
      <c r="V22" s="90"/>
      <c r="W22" s="90"/>
      <c r="X22" s="90"/>
      <c r="Y22" s="311"/>
      <c r="Z22" s="90"/>
      <c r="AA22" s="90"/>
      <c r="AB22" s="90"/>
      <c r="AC22" s="311"/>
    </row>
    <row r="23" spans="2:29" s="2" customFormat="1">
      <c r="B23" s="28" t="s">
        <v>351</v>
      </c>
      <c r="C23" s="317"/>
      <c r="D23" s="315"/>
      <c r="E23" s="315"/>
      <c r="F23" s="315"/>
      <c r="G23" s="315"/>
      <c r="H23" s="315"/>
      <c r="I23" s="427">
        <f t="shared" ref="I23:AC23" si="5">I24*I10</f>
        <v>0</v>
      </c>
      <c r="J23" s="427">
        <f t="shared" si="5"/>
        <v>0</v>
      </c>
      <c r="K23" s="427">
        <f t="shared" si="5"/>
        <v>0</v>
      </c>
      <c r="L23" s="427">
        <f t="shared" si="5"/>
        <v>0</v>
      </c>
      <c r="M23" s="427">
        <f t="shared" si="5"/>
        <v>0</v>
      </c>
      <c r="N23" s="427">
        <f t="shared" si="5"/>
        <v>0</v>
      </c>
      <c r="O23" s="427">
        <f t="shared" si="5"/>
        <v>0</v>
      </c>
      <c r="P23" s="427">
        <f t="shared" si="5"/>
        <v>0</v>
      </c>
      <c r="Q23" s="427">
        <f t="shared" si="5"/>
        <v>0</v>
      </c>
      <c r="R23" s="427">
        <f t="shared" si="5"/>
        <v>0</v>
      </c>
      <c r="S23" s="427">
        <f t="shared" si="5"/>
        <v>0</v>
      </c>
      <c r="T23" s="427">
        <f t="shared" si="5"/>
        <v>0</v>
      </c>
      <c r="U23" s="427">
        <f t="shared" si="5"/>
        <v>0</v>
      </c>
      <c r="V23" s="427">
        <f t="shared" si="5"/>
        <v>0</v>
      </c>
      <c r="W23" s="427">
        <f t="shared" si="5"/>
        <v>0</v>
      </c>
      <c r="X23" s="427">
        <f t="shared" si="5"/>
        <v>0</v>
      </c>
      <c r="Y23" s="427">
        <f t="shared" si="5"/>
        <v>0</v>
      </c>
      <c r="Z23" s="427">
        <f t="shared" si="5"/>
        <v>0</v>
      </c>
      <c r="AA23" s="427">
        <f t="shared" si="5"/>
        <v>0</v>
      </c>
      <c r="AB23" s="427">
        <f t="shared" si="5"/>
        <v>0</v>
      </c>
      <c r="AC23" s="427">
        <f t="shared" si="5"/>
        <v>0</v>
      </c>
    </row>
    <row r="24" spans="2:29">
      <c r="B24" s="21" t="s">
        <v>352</v>
      </c>
      <c r="D24" s="90">
        <f>IF(D10&gt;0,D23/D10,0)</f>
        <v>0</v>
      </c>
      <c r="E24" s="90">
        <f>IF(E10&gt;0,E23/E10,0)</f>
        <v>0</v>
      </c>
      <c r="F24" s="90">
        <f>IF(F10&gt;0,F23/F10,0)</f>
        <v>0</v>
      </c>
      <c r="G24" s="90">
        <f>IF(G10&gt;0,G23/G10,0)</f>
        <v>0</v>
      </c>
      <c r="H24" s="90">
        <f>IF(H10&gt;0,H23/H10,0)</f>
        <v>0</v>
      </c>
      <c r="I24" s="90">
        <f>AVERAGE(G24:H24)</f>
        <v>0</v>
      </c>
      <c r="J24" s="90">
        <f>I24</f>
        <v>0</v>
      </c>
      <c r="K24" s="90">
        <f t="shared" ref="K24:AC24" si="6">J24</f>
        <v>0</v>
      </c>
      <c r="L24" s="90">
        <f t="shared" si="6"/>
        <v>0</v>
      </c>
      <c r="M24" s="90">
        <f t="shared" si="6"/>
        <v>0</v>
      </c>
      <c r="N24" s="90">
        <f t="shared" si="6"/>
        <v>0</v>
      </c>
      <c r="O24" s="90">
        <f t="shared" si="6"/>
        <v>0</v>
      </c>
      <c r="P24" s="90">
        <f t="shared" si="6"/>
        <v>0</v>
      </c>
      <c r="Q24" s="90">
        <f t="shared" si="6"/>
        <v>0</v>
      </c>
      <c r="R24" s="90">
        <f t="shared" si="6"/>
        <v>0</v>
      </c>
      <c r="S24" s="90">
        <f t="shared" si="6"/>
        <v>0</v>
      </c>
      <c r="T24" s="90">
        <f t="shared" si="6"/>
        <v>0</v>
      </c>
      <c r="U24" s="90">
        <f t="shared" si="6"/>
        <v>0</v>
      </c>
      <c r="V24" s="90">
        <f t="shared" si="6"/>
        <v>0</v>
      </c>
      <c r="W24" s="90">
        <f t="shared" si="6"/>
        <v>0</v>
      </c>
      <c r="X24" s="90">
        <f t="shared" si="6"/>
        <v>0</v>
      </c>
      <c r="Y24" s="90">
        <f t="shared" si="6"/>
        <v>0</v>
      </c>
      <c r="Z24" s="90">
        <f t="shared" si="6"/>
        <v>0</v>
      </c>
      <c r="AA24" s="90">
        <f t="shared" si="6"/>
        <v>0</v>
      </c>
      <c r="AB24" s="90">
        <f t="shared" si="6"/>
        <v>0</v>
      </c>
      <c r="AC24" s="90">
        <f t="shared" si="6"/>
        <v>0</v>
      </c>
    </row>
    <row r="25" spans="2:29">
      <c r="B25" s="21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</row>
    <row r="26" spans="2:29">
      <c r="B26" s="21"/>
      <c r="D26" s="90"/>
      <c r="E26" s="90"/>
      <c r="F26" s="90"/>
      <c r="G26" s="90"/>
      <c r="H26" s="90"/>
      <c r="I26" s="316"/>
      <c r="J26" s="316"/>
      <c r="K26" s="316"/>
      <c r="L26" s="316"/>
      <c r="M26" s="316"/>
      <c r="N26" s="316"/>
      <c r="O26" s="316"/>
      <c r="P26" s="316"/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</row>
    <row r="27" spans="2:29" s="2" customFormat="1">
      <c r="B27" s="28" t="s">
        <v>426</v>
      </c>
      <c r="C27" s="317"/>
      <c r="D27" s="315"/>
      <c r="E27" s="315"/>
      <c r="F27" s="315"/>
      <c r="G27" s="315"/>
      <c r="H27" s="315"/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</row>
    <row r="28" spans="2:29">
      <c r="B28" s="21" t="s">
        <v>352</v>
      </c>
      <c r="D28" s="90">
        <f>IF(D13&gt;0,D27/D13,0)</f>
        <v>0</v>
      </c>
      <c r="E28" s="90">
        <f>IF(E13&gt;0,E27/E13,0)</f>
        <v>0</v>
      </c>
      <c r="F28" s="90">
        <f>IF(F13&gt;0,F27/F13,0)</f>
        <v>0</v>
      </c>
      <c r="G28" s="90">
        <f>IF(G10&gt;0,G27/(G10-G23),0)</f>
        <v>0</v>
      </c>
      <c r="H28" s="90">
        <f>IF(H10&gt;0,H27/(H10-H23),0)</f>
        <v>0</v>
      </c>
      <c r="I28" s="90">
        <f>CHOOSE($C$3,I30,I31,I32)</f>
        <v>0</v>
      </c>
      <c r="J28" s="90">
        <f>CHOOSE($C$3,J30,J31,J32)</f>
        <v>0</v>
      </c>
      <c r="K28" s="90">
        <f t="shared" ref="K28:AC28" si="7">CHOOSE($C$3,K30,K31,K32)</f>
        <v>0</v>
      </c>
      <c r="L28" s="90">
        <f t="shared" si="7"/>
        <v>0</v>
      </c>
      <c r="M28" s="90">
        <f t="shared" si="7"/>
        <v>0</v>
      </c>
      <c r="N28" s="90">
        <f t="shared" si="7"/>
        <v>0</v>
      </c>
      <c r="O28" s="90">
        <f t="shared" si="7"/>
        <v>0</v>
      </c>
      <c r="P28" s="90">
        <f t="shared" si="7"/>
        <v>0</v>
      </c>
      <c r="Q28" s="90">
        <f t="shared" si="7"/>
        <v>0</v>
      </c>
      <c r="R28" s="90">
        <f t="shared" si="7"/>
        <v>0</v>
      </c>
      <c r="S28" s="90">
        <f t="shared" si="7"/>
        <v>0</v>
      </c>
      <c r="T28" s="90">
        <f t="shared" si="7"/>
        <v>0</v>
      </c>
      <c r="U28" s="90">
        <f t="shared" si="7"/>
        <v>0</v>
      </c>
      <c r="V28" s="90">
        <f t="shared" si="7"/>
        <v>0</v>
      </c>
      <c r="W28" s="90">
        <f t="shared" si="7"/>
        <v>0</v>
      </c>
      <c r="X28" s="90">
        <f t="shared" si="7"/>
        <v>0</v>
      </c>
      <c r="Y28" s="90">
        <f t="shared" si="7"/>
        <v>0</v>
      </c>
      <c r="Z28" s="90">
        <f t="shared" si="7"/>
        <v>0</v>
      </c>
      <c r="AA28" s="90">
        <f t="shared" si="7"/>
        <v>0</v>
      </c>
      <c r="AB28" s="90">
        <f t="shared" si="7"/>
        <v>0</v>
      </c>
      <c r="AC28" s="90">
        <f t="shared" si="7"/>
        <v>0</v>
      </c>
    </row>
    <row r="29" spans="2:29">
      <c r="B29" s="21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</row>
    <row r="30" spans="2:29">
      <c r="B30" s="21"/>
      <c r="D30" s="90"/>
      <c r="E30" s="90"/>
      <c r="F30" s="90"/>
      <c r="G30" s="90"/>
      <c r="H30" s="90"/>
      <c r="I30" s="461">
        <v>0</v>
      </c>
      <c r="J30" s="461">
        <v>0</v>
      </c>
      <c r="K30" s="461">
        <v>0</v>
      </c>
      <c r="L30" s="461">
        <v>0</v>
      </c>
      <c r="M30" s="461">
        <v>0</v>
      </c>
      <c r="N30" s="461">
        <v>0</v>
      </c>
      <c r="O30" s="461">
        <v>0</v>
      </c>
      <c r="P30" s="461">
        <v>0</v>
      </c>
      <c r="Q30" s="461">
        <v>0</v>
      </c>
      <c r="R30" s="461">
        <v>0</v>
      </c>
      <c r="S30" s="461">
        <v>0</v>
      </c>
      <c r="T30" s="461">
        <v>0</v>
      </c>
      <c r="U30" s="461">
        <v>0</v>
      </c>
      <c r="V30" s="461">
        <v>0</v>
      </c>
      <c r="W30" s="461">
        <v>0</v>
      </c>
      <c r="X30" s="461">
        <v>0</v>
      </c>
      <c r="Y30" s="461">
        <v>0</v>
      </c>
      <c r="Z30" s="461">
        <v>0</v>
      </c>
      <c r="AA30" s="461">
        <v>0</v>
      </c>
      <c r="AB30" s="461">
        <v>0</v>
      </c>
      <c r="AC30" s="461">
        <v>0</v>
      </c>
    </row>
    <row r="31" spans="2:29">
      <c r="B31" s="21"/>
      <c r="D31" s="90"/>
      <c r="E31" s="90"/>
      <c r="F31" s="90"/>
      <c r="G31" s="90"/>
      <c r="H31" s="90"/>
      <c r="I31" s="462">
        <v>0</v>
      </c>
      <c r="J31" s="462">
        <v>0</v>
      </c>
      <c r="K31" s="462">
        <v>0</v>
      </c>
      <c r="L31" s="462">
        <v>0</v>
      </c>
      <c r="M31" s="462">
        <v>0</v>
      </c>
      <c r="N31" s="462">
        <v>0</v>
      </c>
      <c r="O31" s="462">
        <v>0</v>
      </c>
      <c r="P31" s="462">
        <v>0</v>
      </c>
      <c r="Q31" s="462">
        <v>0</v>
      </c>
      <c r="R31" s="462">
        <v>0</v>
      </c>
      <c r="S31" s="462">
        <v>0</v>
      </c>
      <c r="T31" s="462">
        <v>0</v>
      </c>
      <c r="U31" s="462">
        <v>0</v>
      </c>
      <c r="V31" s="462">
        <v>0</v>
      </c>
      <c r="W31" s="462">
        <v>0</v>
      </c>
      <c r="X31" s="462">
        <v>0</v>
      </c>
      <c r="Y31" s="462">
        <v>0</v>
      </c>
      <c r="Z31" s="462">
        <v>0</v>
      </c>
      <c r="AA31" s="462">
        <v>0</v>
      </c>
      <c r="AB31" s="462">
        <v>0</v>
      </c>
      <c r="AC31" s="462">
        <v>0</v>
      </c>
    </row>
    <row r="32" spans="2:29">
      <c r="B32" s="21"/>
      <c r="D32" s="90"/>
      <c r="E32" s="90"/>
      <c r="F32" s="90"/>
      <c r="G32" s="90"/>
      <c r="H32" s="90"/>
      <c r="I32" s="463">
        <v>0</v>
      </c>
      <c r="J32" s="463">
        <v>0</v>
      </c>
      <c r="K32" s="463">
        <v>0</v>
      </c>
      <c r="L32" s="463">
        <v>0</v>
      </c>
      <c r="M32" s="463">
        <v>0</v>
      </c>
      <c r="N32" s="463">
        <v>0</v>
      </c>
      <c r="O32" s="463">
        <v>0</v>
      </c>
      <c r="P32" s="463">
        <v>0</v>
      </c>
      <c r="Q32" s="463">
        <v>0</v>
      </c>
      <c r="R32" s="463">
        <v>0</v>
      </c>
      <c r="S32" s="463">
        <v>0</v>
      </c>
      <c r="T32" s="463">
        <v>0</v>
      </c>
      <c r="U32" s="463">
        <v>0</v>
      </c>
      <c r="V32" s="463">
        <v>0</v>
      </c>
      <c r="W32" s="463">
        <v>0</v>
      </c>
      <c r="X32" s="463">
        <v>0</v>
      </c>
      <c r="Y32" s="463">
        <v>0</v>
      </c>
      <c r="Z32" s="463">
        <v>0</v>
      </c>
      <c r="AA32" s="463">
        <v>0</v>
      </c>
      <c r="AB32" s="463">
        <v>0</v>
      </c>
      <c r="AC32" s="463">
        <v>0</v>
      </c>
    </row>
    <row r="33" spans="2:30">
      <c r="F33" s="29"/>
      <c r="G33" s="29"/>
      <c r="H33" s="29"/>
      <c r="I33" s="81"/>
      <c r="J33" s="81"/>
      <c r="K33" s="81"/>
      <c r="L33" s="81"/>
      <c r="M33" s="81"/>
    </row>
    <row r="34" spans="2:30">
      <c r="B34" s="28" t="s">
        <v>353</v>
      </c>
      <c r="C34" s="26"/>
      <c r="D34" s="315">
        <f>D10-D23</f>
        <v>0</v>
      </c>
      <c r="E34" s="315">
        <f>E10-E23</f>
        <v>0</v>
      </c>
      <c r="F34" s="315">
        <f>F10-F23</f>
        <v>0</v>
      </c>
      <c r="G34" s="315">
        <f>G10-G23-G27</f>
        <v>2434971</v>
      </c>
      <c r="H34" s="315">
        <f t="shared" ref="H34:AC34" si="8">H10-H23-H27</f>
        <v>2853511</v>
      </c>
      <c r="I34" s="428">
        <f>I10-I23-I27</f>
        <v>3068721.7350129713</v>
      </c>
      <c r="J34" s="428">
        <f t="shared" si="8"/>
        <v>3352129.263562154</v>
      </c>
      <c r="K34" s="428">
        <f t="shared" si="8"/>
        <v>3604529.7177357315</v>
      </c>
      <c r="L34" s="428">
        <f t="shared" si="8"/>
        <v>3881886.116239564</v>
      </c>
      <c r="M34" s="428">
        <f t="shared" si="8"/>
        <v>4190073.4428049237</v>
      </c>
      <c r="N34" s="428">
        <f t="shared" si="8"/>
        <v>4520937.4662060812</v>
      </c>
      <c r="O34" s="428">
        <f t="shared" si="8"/>
        <v>4881166.569797093</v>
      </c>
      <c r="P34" s="428">
        <f t="shared" si="8"/>
        <v>5270328.7306498839</v>
      </c>
      <c r="Q34" s="428">
        <f t="shared" si="8"/>
        <v>5687296.3597034728</v>
      </c>
      <c r="R34" s="428">
        <f t="shared" si="8"/>
        <v>6134863.5717666429</v>
      </c>
      <c r="S34" s="428">
        <f t="shared" si="8"/>
        <v>6619428.2552587092</v>
      </c>
      <c r="T34" s="428">
        <f t="shared" si="8"/>
        <v>7193663.6564024016</v>
      </c>
      <c r="U34" s="428">
        <f t="shared" si="8"/>
        <v>7817713.978595309</v>
      </c>
      <c r="V34" s="428">
        <f t="shared" si="8"/>
        <v>8495900.6662384514</v>
      </c>
      <c r="W34" s="428">
        <f t="shared" si="8"/>
        <v>9232920.0490346365</v>
      </c>
      <c r="X34" s="428">
        <f t="shared" si="8"/>
        <v>10033875.86328839</v>
      </c>
      <c r="Y34" s="428">
        <f t="shared" si="8"/>
        <v>10904314.594428657</v>
      </c>
      <c r="Z34" s="428">
        <f t="shared" si="8"/>
        <v>11850263.88549534</v>
      </c>
      <c r="AA34" s="428">
        <f t="shared" si="8"/>
        <v>12878274.277562059</v>
      </c>
      <c r="AB34" s="428">
        <f t="shared" si="8"/>
        <v>12878274.277562059</v>
      </c>
      <c r="AC34" s="428">
        <f t="shared" si="8"/>
        <v>12878274.277562059</v>
      </c>
    </row>
    <row r="35" spans="2:30" s="440" customFormat="1">
      <c r="B35" s="441" t="s">
        <v>352</v>
      </c>
      <c r="D35" s="442">
        <f>IF(D10&gt;0,D34/D10,0)</f>
        <v>0</v>
      </c>
      <c r="E35" s="442">
        <f>IF(E10&gt;0,E34/E10,0)</f>
        <v>0</v>
      </c>
      <c r="F35" s="442">
        <f>IF(F10&gt;0,F34/F10,0)</f>
        <v>0</v>
      </c>
      <c r="G35" s="443">
        <f>IF(G10&gt;0,G34/G10,0)</f>
        <v>1</v>
      </c>
      <c r="H35" s="443">
        <f>IF(H$10&gt;0,H34/H$10,0)</f>
        <v>1</v>
      </c>
      <c r="I35" s="443">
        <f>H35</f>
        <v>1</v>
      </c>
      <c r="J35" s="443">
        <f t="shared" ref="J35:AC35" si="9">IF(J10&gt;0,J34/J10,0)</f>
        <v>1</v>
      </c>
      <c r="K35" s="443">
        <f t="shared" si="9"/>
        <v>1</v>
      </c>
      <c r="L35" s="443">
        <f t="shared" si="9"/>
        <v>1</v>
      </c>
      <c r="M35" s="443">
        <f>IF(M10&gt;0,M34/M10,0)</f>
        <v>1</v>
      </c>
      <c r="N35" s="443">
        <f t="shared" si="9"/>
        <v>1</v>
      </c>
      <c r="O35" s="443">
        <f t="shared" si="9"/>
        <v>1</v>
      </c>
      <c r="P35" s="443">
        <f t="shared" si="9"/>
        <v>1</v>
      </c>
      <c r="Q35" s="443">
        <f t="shared" si="9"/>
        <v>1</v>
      </c>
      <c r="R35" s="443">
        <f t="shared" si="9"/>
        <v>1</v>
      </c>
      <c r="S35" s="443">
        <f t="shared" si="9"/>
        <v>1</v>
      </c>
      <c r="T35" s="443">
        <f t="shared" si="9"/>
        <v>1</v>
      </c>
      <c r="U35" s="443">
        <f t="shared" si="9"/>
        <v>1</v>
      </c>
      <c r="V35" s="443">
        <f t="shared" si="9"/>
        <v>1</v>
      </c>
      <c r="W35" s="443">
        <f t="shared" si="9"/>
        <v>1</v>
      </c>
      <c r="X35" s="443">
        <f t="shared" si="9"/>
        <v>1</v>
      </c>
      <c r="Y35" s="443">
        <f t="shared" si="9"/>
        <v>1</v>
      </c>
      <c r="Z35" s="443">
        <f t="shared" si="9"/>
        <v>1</v>
      </c>
      <c r="AA35" s="443">
        <f t="shared" si="9"/>
        <v>1</v>
      </c>
      <c r="AB35" s="443">
        <f t="shared" si="9"/>
        <v>1</v>
      </c>
      <c r="AC35" s="443">
        <f t="shared" si="9"/>
        <v>1</v>
      </c>
    </row>
    <row r="36" spans="2:30">
      <c r="B36" s="21"/>
      <c r="F36" s="89"/>
      <c r="G36" s="89"/>
      <c r="H36" s="90"/>
      <c r="I36" s="390"/>
      <c r="J36" s="390"/>
      <c r="K36" s="390"/>
      <c r="L36" s="390"/>
      <c r="M36" s="390"/>
      <c r="N36" s="390"/>
      <c r="O36" s="390"/>
      <c r="P36" s="390"/>
      <c r="Q36" s="390"/>
      <c r="R36" s="390"/>
      <c r="S36" s="390"/>
      <c r="T36" s="390"/>
      <c r="U36" s="390"/>
      <c r="V36" s="390"/>
      <c r="W36" s="390"/>
      <c r="X36" s="390"/>
      <c r="Y36" s="390"/>
      <c r="Z36" s="390"/>
      <c r="AA36" s="390"/>
      <c r="AB36" s="390"/>
      <c r="AC36" s="390"/>
    </row>
    <row r="37" spans="2:30">
      <c r="B37" t="s">
        <v>404</v>
      </c>
    </row>
    <row r="38" spans="2:30">
      <c r="B38" s="28" t="s">
        <v>354</v>
      </c>
      <c r="C38" s="26"/>
      <c r="D38" s="315"/>
      <c r="E38" s="315"/>
      <c r="F38" s="315"/>
      <c r="G38" s="315">
        <f>-Premissas!B18</f>
        <v>1897818</v>
      </c>
      <c r="H38" s="315">
        <f>-Premissas!C18</f>
        <v>2250776</v>
      </c>
      <c r="I38" s="433">
        <f>I41+I46</f>
        <v>2425322.2757875966</v>
      </c>
      <c r="J38" s="433">
        <f>J41+J46</f>
        <v>2652824.3857947863</v>
      </c>
      <c r="K38" s="433">
        <f t="shared" ref="K38:AC38" si="10">K41+K46</f>
        <v>2825774.9285272355</v>
      </c>
      <c r="L38" s="433">
        <f t="shared" si="10"/>
        <v>3061587.3703190088</v>
      </c>
      <c r="M38" s="433">
        <f t="shared" si="10"/>
        <v>3356477.8982603401</v>
      </c>
      <c r="N38" s="433">
        <f t="shared" si="10"/>
        <v>3628553.8504518666</v>
      </c>
      <c r="O38" s="433">
        <f t="shared" si="10"/>
        <v>3924326.8517051614</v>
      </c>
      <c r="P38" s="433">
        <f t="shared" si="10"/>
        <v>4140696.6150816083</v>
      </c>
      <c r="Q38" s="433">
        <f t="shared" si="10"/>
        <v>4520362.8807474999</v>
      </c>
      <c r="R38" s="433">
        <f t="shared" si="10"/>
        <v>4848012.9360048929</v>
      </c>
      <c r="S38" s="433">
        <f t="shared" si="10"/>
        <v>5246086.4291975768</v>
      </c>
      <c r="T38" s="433">
        <f t="shared" si="10"/>
        <v>5692951.6282699732</v>
      </c>
      <c r="U38" s="433">
        <f t="shared" si="10"/>
        <v>6191288.6789945373</v>
      </c>
      <c r="V38" s="433">
        <f t="shared" si="10"/>
        <v>6725952.185480074</v>
      </c>
      <c r="W38" s="433">
        <f t="shared" si="10"/>
        <v>7310749.3661399363</v>
      </c>
      <c r="X38" s="433">
        <f t="shared" si="10"/>
        <v>7944239.1684286408</v>
      </c>
      <c r="Y38" s="433">
        <f t="shared" si="10"/>
        <v>8633791.8993658796</v>
      </c>
      <c r="Z38" s="433">
        <f t="shared" si="10"/>
        <v>9382561.4395819176</v>
      </c>
      <c r="AA38" s="433">
        <f t="shared" si="10"/>
        <v>10196613.789461087</v>
      </c>
      <c r="AB38" s="433">
        <f t="shared" si="10"/>
        <v>10196556.216963368</v>
      </c>
      <c r="AC38" s="433">
        <f t="shared" si="10"/>
        <v>10196585.003212228</v>
      </c>
    </row>
    <row r="39" spans="2:30">
      <c r="B39" s="21"/>
      <c r="D39" s="90"/>
      <c r="E39" s="90"/>
      <c r="F39" s="90"/>
      <c r="G39" s="90">
        <f t="shared" ref="G39:AC39" si="11">G38/G34</f>
        <v>0.77940065815978921</v>
      </c>
      <c r="H39" s="90" t="s">
        <v>467</v>
      </c>
      <c r="I39" s="90">
        <f>I38/I34</f>
        <v>0.79033633063420949</v>
      </c>
      <c r="J39" s="90">
        <f t="shared" si="11"/>
        <v>0.79138487129095714</v>
      </c>
      <c r="K39" s="90">
        <f t="shared" si="11"/>
        <v>0.7839510698506077</v>
      </c>
      <c r="L39" s="90">
        <f t="shared" si="11"/>
        <v>0.78868552003911185</v>
      </c>
      <c r="M39" s="90">
        <f>M38/M34</f>
        <v>0.80105466982302886</v>
      </c>
      <c r="N39" s="90">
        <f>N38/N34</f>
        <v>0.80261093580153131</v>
      </c>
      <c r="O39" s="90">
        <f t="shared" si="11"/>
        <v>0.8039731477281451</v>
      </c>
      <c r="P39" s="90">
        <f t="shared" si="11"/>
        <v>0.78566192484373154</v>
      </c>
      <c r="Q39" s="90">
        <f t="shared" si="11"/>
        <v>0.79481753628593832</v>
      </c>
      <c r="R39" s="90">
        <f t="shared" si="11"/>
        <v>0.79023973056483499</v>
      </c>
      <c r="S39" s="90">
        <f t="shared" si="11"/>
        <v>0.79252863342538671</v>
      </c>
      <c r="T39" s="90">
        <f t="shared" si="11"/>
        <v>0.79138418199511096</v>
      </c>
      <c r="U39" s="90">
        <f t="shared" si="11"/>
        <v>0.79195640771024878</v>
      </c>
      <c r="V39" s="90">
        <f t="shared" si="11"/>
        <v>0.79167029485267981</v>
      </c>
      <c r="W39" s="90">
        <f t="shared" si="11"/>
        <v>0.79181335128146424</v>
      </c>
      <c r="X39" s="90">
        <f t="shared" si="11"/>
        <v>0.79174182306707208</v>
      </c>
      <c r="Y39" s="90">
        <f t="shared" si="11"/>
        <v>0.79177758717426805</v>
      </c>
      <c r="Z39" s="90">
        <f t="shared" si="11"/>
        <v>0.79175970512067018</v>
      </c>
      <c r="AA39" s="90">
        <f t="shared" si="11"/>
        <v>0.79176864614746911</v>
      </c>
      <c r="AB39" s="90">
        <f t="shared" si="11"/>
        <v>0.79176417563406964</v>
      </c>
      <c r="AC39" s="90">
        <f t="shared" si="11"/>
        <v>0.79176641089076938</v>
      </c>
    </row>
    <row r="40" spans="2:30">
      <c r="B40" s="25"/>
      <c r="D40" s="87"/>
      <c r="E40" s="87"/>
      <c r="F40" s="87"/>
      <c r="G40" s="87"/>
      <c r="H40" s="87"/>
      <c r="I40" s="88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</row>
    <row r="41" spans="2:30" s="38" customFormat="1">
      <c r="B41" s="431" t="s">
        <v>448</v>
      </c>
      <c r="D41" s="432">
        <f>IF(D$10&gt;0,D38/D$10,0)</f>
        <v>0</v>
      </c>
      <c r="E41" s="432">
        <f>IF(E$34&gt;0,E38/E$34,0)</f>
        <v>0</v>
      </c>
      <c r="F41" s="432">
        <f>IF(F$34&gt;0,F38/F$34,0)</f>
        <v>0</v>
      </c>
      <c r="G41" s="423">
        <f>G38</f>
        <v>1897818</v>
      </c>
      <c r="H41" s="423">
        <f>H38</f>
        <v>2250776</v>
      </c>
      <c r="I41" s="423">
        <f>CHOOSE($C$3,I42,I43,I44)*(I34)</f>
        <v>2425322.2757875966</v>
      </c>
      <c r="J41" s="423">
        <f>CHOOSE($C$3,J42,J43,J44)*(J34)</f>
        <v>2652824.3857947863</v>
      </c>
      <c r="K41" s="423">
        <f t="shared" ref="K41:AC41" si="12">CHOOSE($C$3,K42,K43,K44)*(K34)</f>
        <v>2825774.9285272355</v>
      </c>
      <c r="L41" s="423">
        <f>CHOOSE($C$3,L42,L43,L44)*(L34)</f>
        <v>3061587.3703190088</v>
      </c>
      <c r="M41" s="423">
        <f t="shared" si="12"/>
        <v>3356477.8982603401</v>
      </c>
      <c r="N41" s="423">
        <f t="shared" si="12"/>
        <v>3628553.8504518666</v>
      </c>
      <c r="O41" s="423">
        <f t="shared" si="12"/>
        <v>3924326.8517051614</v>
      </c>
      <c r="P41" s="423">
        <f t="shared" si="12"/>
        <v>4140696.6150816083</v>
      </c>
      <c r="Q41" s="423">
        <f t="shared" si="12"/>
        <v>4520362.8807474999</v>
      </c>
      <c r="R41" s="423">
        <f t="shared" si="12"/>
        <v>4848012.9360048929</v>
      </c>
      <c r="S41" s="423">
        <f t="shared" si="12"/>
        <v>5246086.4291975768</v>
      </c>
      <c r="T41" s="423">
        <f t="shared" si="12"/>
        <v>5692951.6282699732</v>
      </c>
      <c r="U41" s="423">
        <f t="shared" si="12"/>
        <v>6191288.6789945373</v>
      </c>
      <c r="V41" s="423">
        <f t="shared" si="12"/>
        <v>6725952.185480074</v>
      </c>
      <c r="W41" s="423">
        <f t="shared" si="12"/>
        <v>7310749.3661399363</v>
      </c>
      <c r="X41" s="423">
        <f t="shared" si="12"/>
        <v>7944239.1684286408</v>
      </c>
      <c r="Y41" s="423">
        <f t="shared" si="12"/>
        <v>8633791.8993658796</v>
      </c>
      <c r="Z41" s="423">
        <f t="shared" si="12"/>
        <v>9382561.4395819176</v>
      </c>
      <c r="AA41" s="423">
        <f t="shared" si="12"/>
        <v>10196613.789461087</v>
      </c>
      <c r="AB41" s="423">
        <f t="shared" si="12"/>
        <v>10196556.216963368</v>
      </c>
      <c r="AC41" s="423">
        <f t="shared" si="12"/>
        <v>10196585.003212228</v>
      </c>
    </row>
    <row r="42" spans="2:30" s="440" customFormat="1">
      <c r="B42" s="441"/>
      <c r="D42" s="442"/>
      <c r="E42" s="442"/>
      <c r="F42" s="442"/>
      <c r="G42" s="443">
        <f>G38/G34</f>
        <v>0.77940065815978921</v>
      </c>
      <c r="H42" s="443">
        <f>H38/H34</f>
        <v>0.78877425038838123</v>
      </c>
      <c r="I42" s="443">
        <v>0.79033633063420938</v>
      </c>
      <c r="J42" s="443">
        <v>0.79138487129095714</v>
      </c>
      <c r="K42" s="443">
        <v>0.7839510698506077</v>
      </c>
      <c r="L42" s="443">
        <v>0.78868552003911185</v>
      </c>
      <c r="M42" s="443">
        <v>0.80105466982302886</v>
      </c>
      <c r="N42" s="443">
        <v>0.80261093580153131</v>
      </c>
      <c r="O42" s="443">
        <v>0.8039731477281451</v>
      </c>
      <c r="P42" s="443">
        <v>0.78566192484373154</v>
      </c>
      <c r="Q42" s="443">
        <f t="shared" ref="Q42" si="13">AVERAGE(O42:P42)</f>
        <v>0.79481753628593832</v>
      </c>
      <c r="R42" s="443">
        <f t="shared" ref="R42" si="14">AVERAGE(P42:Q42)</f>
        <v>0.79023973056483499</v>
      </c>
      <c r="S42" s="443">
        <f t="shared" ref="S42" si="15">AVERAGE(Q42:R42)</f>
        <v>0.79252863342538671</v>
      </c>
      <c r="T42" s="443">
        <f t="shared" ref="T42" si="16">AVERAGE(R42:S42)</f>
        <v>0.79138418199511085</v>
      </c>
      <c r="U42" s="443">
        <f t="shared" ref="U42" si="17">AVERAGE(S42:T42)</f>
        <v>0.79195640771024878</v>
      </c>
      <c r="V42" s="443">
        <f t="shared" ref="V42" si="18">AVERAGE(T42:U42)</f>
        <v>0.79167029485267981</v>
      </c>
      <c r="W42" s="443">
        <f t="shared" ref="W42" si="19">AVERAGE(U42:V42)</f>
        <v>0.79181335128146424</v>
      </c>
      <c r="X42" s="443">
        <f t="shared" ref="X42" si="20">AVERAGE(V42:W42)</f>
        <v>0.79174182306707208</v>
      </c>
      <c r="Y42" s="443">
        <f t="shared" ref="Y42" si="21">AVERAGE(W42:X42)</f>
        <v>0.79177758717426816</v>
      </c>
      <c r="Z42" s="443">
        <f t="shared" ref="Z42" si="22">AVERAGE(X42:Y42)</f>
        <v>0.79175970512067018</v>
      </c>
      <c r="AA42" s="443">
        <f t="shared" ref="AA42" si="23">AVERAGE(Y42:Z42)</f>
        <v>0.79176864614746911</v>
      </c>
      <c r="AB42" s="443">
        <f t="shared" ref="AB42" si="24">AVERAGE(Z42:AA42)</f>
        <v>0.79176417563406964</v>
      </c>
      <c r="AC42" s="443">
        <f t="shared" ref="AC42" si="25">AVERAGE(AA42:AB42)</f>
        <v>0.79176641089076938</v>
      </c>
      <c r="AD42" s="38"/>
    </row>
    <row r="43" spans="2:30">
      <c r="B43" s="20"/>
      <c r="C43" s="41"/>
      <c r="D43" s="41"/>
      <c r="E43" s="41"/>
      <c r="F43" s="312"/>
      <c r="G43" s="312"/>
      <c r="H43" s="222"/>
      <c r="I43" s="314">
        <f>I42</f>
        <v>0.79033633063420938</v>
      </c>
      <c r="J43" s="314">
        <f t="shared" ref="J43:AC43" si="26">J42</f>
        <v>0.79138487129095714</v>
      </c>
      <c r="K43" s="314">
        <f t="shared" si="26"/>
        <v>0.7839510698506077</v>
      </c>
      <c r="L43" s="314">
        <f t="shared" si="26"/>
        <v>0.78868552003911185</v>
      </c>
      <c r="M43" s="314">
        <f t="shared" si="26"/>
        <v>0.80105466982302886</v>
      </c>
      <c r="N43" s="314">
        <f t="shared" si="26"/>
        <v>0.80261093580153131</v>
      </c>
      <c r="O43" s="314">
        <f t="shared" si="26"/>
        <v>0.8039731477281451</v>
      </c>
      <c r="P43" s="314">
        <f t="shared" si="26"/>
        <v>0.78566192484373154</v>
      </c>
      <c r="Q43" s="314">
        <f t="shared" si="26"/>
        <v>0.79481753628593832</v>
      </c>
      <c r="R43" s="314">
        <f t="shared" si="26"/>
        <v>0.79023973056483499</v>
      </c>
      <c r="S43" s="314">
        <f t="shared" si="26"/>
        <v>0.79252863342538671</v>
      </c>
      <c r="T43" s="314">
        <f t="shared" si="26"/>
        <v>0.79138418199511085</v>
      </c>
      <c r="U43" s="314">
        <f t="shared" si="26"/>
        <v>0.79195640771024878</v>
      </c>
      <c r="V43" s="314">
        <f t="shared" si="26"/>
        <v>0.79167029485267981</v>
      </c>
      <c r="W43" s="314">
        <f t="shared" si="26"/>
        <v>0.79181335128146424</v>
      </c>
      <c r="X43" s="314">
        <f t="shared" si="26"/>
        <v>0.79174182306707208</v>
      </c>
      <c r="Y43" s="314">
        <f t="shared" si="26"/>
        <v>0.79177758717426816</v>
      </c>
      <c r="Z43" s="314">
        <f t="shared" si="26"/>
        <v>0.79175970512067018</v>
      </c>
      <c r="AA43" s="314">
        <f t="shared" si="26"/>
        <v>0.79176864614746911</v>
      </c>
      <c r="AB43" s="314">
        <f t="shared" si="26"/>
        <v>0.79176417563406964</v>
      </c>
      <c r="AC43" s="314">
        <f t="shared" si="26"/>
        <v>0.79176641089076938</v>
      </c>
      <c r="AD43" s="38"/>
    </row>
    <row r="44" spans="2:30">
      <c r="B44" s="21"/>
      <c r="F44" s="89"/>
      <c r="G44" s="89"/>
      <c r="H44" s="90"/>
      <c r="I44" s="390">
        <f>I43</f>
        <v>0.79033633063420938</v>
      </c>
      <c r="J44" s="390">
        <v>0.35270000000000001</v>
      </c>
      <c r="K44" s="390">
        <v>0.38690000000000002</v>
      </c>
      <c r="L44" s="390">
        <v>0.41639999999999999</v>
      </c>
      <c r="M44" s="390">
        <v>0.45279999999999998</v>
      </c>
      <c r="N44" s="390">
        <v>0.50319999999999998</v>
      </c>
      <c r="O44" s="390">
        <v>0.5</v>
      </c>
      <c r="P44" s="390">
        <f t="shared" ref="P44:AC44" si="27">P43</f>
        <v>0.78566192484373154</v>
      </c>
      <c r="Q44" s="390">
        <f t="shared" si="27"/>
        <v>0.79481753628593832</v>
      </c>
      <c r="R44" s="390">
        <f t="shared" si="27"/>
        <v>0.79023973056483499</v>
      </c>
      <c r="S44" s="390">
        <f t="shared" si="27"/>
        <v>0.79252863342538671</v>
      </c>
      <c r="T44" s="390">
        <f t="shared" si="27"/>
        <v>0.79138418199511085</v>
      </c>
      <c r="U44" s="390">
        <f t="shared" si="27"/>
        <v>0.79195640771024878</v>
      </c>
      <c r="V44" s="390">
        <f t="shared" si="27"/>
        <v>0.79167029485267981</v>
      </c>
      <c r="W44" s="390">
        <f t="shared" si="27"/>
        <v>0.79181335128146424</v>
      </c>
      <c r="X44" s="390">
        <f t="shared" si="27"/>
        <v>0.79174182306707208</v>
      </c>
      <c r="Y44" s="390">
        <f t="shared" si="27"/>
        <v>0.79177758717426816</v>
      </c>
      <c r="Z44" s="390">
        <f t="shared" si="27"/>
        <v>0.79175970512067018</v>
      </c>
      <c r="AA44" s="390">
        <f t="shared" si="27"/>
        <v>0.79176864614746911</v>
      </c>
      <c r="AB44" s="390">
        <f t="shared" si="27"/>
        <v>0.79176417563406964</v>
      </c>
      <c r="AC44" s="390">
        <f t="shared" si="27"/>
        <v>0.79176641089076938</v>
      </c>
      <c r="AD44" s="38"/>
    </row>
    <row r="45" spans="2:30">
      <c r="I45" s="390"/>
      <c r="J45" s="390"/>
      <c r="K45" s="390"/>
      <c r="L45" s="390"/>
      <c r="M45" s="390"/>
      <c r="N45" s="390"/>
      <c r="O45" s="390"/>
      <c r="P45" s="390"/>
      <c r="Q45" s="390"/>
      <c r="R45" s="390"/>
      <c r="S45" s="390"/>
      <c r="T45" s="390"/>
      <c r="U45" s="390"/>
      <c r="V45" s="390"/>
      <c r="W45" s="390"/>
      <c r="X45" s="390"/>
      <c r="Y45" s="390"/>
      <c r="Z45" s="390"/>
      <c r="AA45" s="390"/>
      <c r="AB45" s="390"/>
      <c r="AC45" s="390"/>
      <c r="AD45" s="38"/>
    </row>
    <row r="46" spans="2:30">
      <c r="B46" s="21" t="s">
        <v>449</v>
      </c>
      <c r="F46" s="89"/>
      <c r="G46" s="89"/>
      <c r="H46" s="90"/>
      <c r="I46" s="460">
        <f>H46*(1+Anual!T41/100)*H41</f>
        <v>0</v>
      </c>
      <c r="J46" s="460">
        <f>I46*(1+Anual!U41/100)</f>
        <v>0</v>
      </c>
      <c r="K46" s="460">
        <f>J46*(1+Anual!V41/100)</f>
        <v>0</v>
      </c>
      <c r="L46" s="460">
        <f>K46*(1+Anual!W41/100)</f>
        <v>0</v>
      </c>
      <c r="M46" s="460">
        <f>L46*(1+Anual!X41/100)</f>
        <v>0</v>
      </c>
      <c r="N46" s="460">
        <f>M46*(1+Anual!Y41/100)</f>
        <v>0</v>
      </c>
      <c r="O46" s="460">
        <f>N46*(1+Anual!Z41/100)</f>
        <v>0</v>
      </c>
      <c r="P46" s="460">
        <f>O46*(1+Anual!AA41/100)</f>
        <v>0</v>
      </c>
      <c r="Q46" s="460">
        <f>P46*(1+Anual!AB41/100)</f>
        <v>0</v>
      </c>
      <c r="R46" s="460">
        <f>Q46*(1+Anual!AC41/100)</f>
        <v>0</v>
      </c>
      <c r="S46" s="460">
        <f>R46*(1+Anual!AD41/100)</f>
        <v>0</v>
      </c>
      <c r="T46" s="460">
        <f>S46*(1+Anual!AE41/100)</f>
        <v>0</v>
      </c>
      <c r="U46" s="460">
        <f>T46*(1+Anual!AF41/100)</f>
        <v>0</v>
      </c>
      <c r="V46" s="460">
        <f>U46*(1+Anual!AG41/100)</f>
        <v>0</v>
      </c>
      <c r="W46" s="460">
        <f>V46*(1+Anual!AH41/100)</f>
        <v>0</v>
      </c>
      <c r="X46" s="460">
        <f>W46*(1+Anual!AI41/100)</f>
        <v>0</v>
      </c>
      <c r="Y46" s="460">
        <f>X46*(1+Anual!AJ41/100)</f>
        <v>0</v>
      </c>
      <c r="Z46" s="460">
        <f>Y46*(1+Anual!AK41/100)</f>
        <v>0</v>
      </c>
      <c r="AA46" s="460">
        <f>Z46*(1+Anual!AL41/100)</f>
        <v>0</v>
      </c>
      <c r="AB46" s="460">
        <f>AA46*(1+Anual!AM41/100)</f>
        <v>0</v>
      </c>
      <c r="AC46" s="460">
        <f>AB46*(1+Anual!AN41/100)</f>
        <v>0</v>
      </c>
    </row>
    <row r="47" spans="2:30">
      <c r="B47" s="25"/>
      <c r="D47" s="87"/>
      <c r="E47" s="87"/>
      <c r="F47" s="87"/>
      <c r="G47" s="429"/>
      <c r="H47" s="430"/>
      <c r="I47" s="88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</row>
    <row r="48" spans="2:30" s="2" customFormat="1">
      <c r="B48" s="28" t="s">
        <v>4</v>
      </c>
      <c r="C48" s="317"/>
      <c r="D48" s="315"/>
      <c r="E48" s="315"/>
      <c r="F48" s="315"/>
      <c r="G48" s="32">
        <f>-Premissas!B28</f>
        <v>492128</v>
      </c>
      <c r="H48" s="32">
        <f>-Premissas!C28</f>
        <v>535439</v>
      </c>
      <c r="I48" s="32">
        <f>I52</f>
        <v>575821.60961482557</v>
      </c>
      <c r="J48" s="32">
        <f t="shared" ref="J48:U48" si="28">J52</f>
        <v>629000.81364762783</v>
      </c>
      <c r="K48" s="32">
        <f t="shared" si="28"/>
        <v>676361.7829175014</v>
      </c>
      <c r="L48" s="32">
        <f t="shared" si="28"/>
        <v>728405.53976949665</v>
      </c>
      <c r="M48" s="32">
        <f t="shared" si="28"/>
        <v>786234.47890757234</v>
      </c>
      <c r="N48" s="32">
        <f t="shared" si="28"/>
        <v>848318.52267887455</v>
      </c>
      <c r="O48" s="32">
        <f t="shared" si="28"/>
        <v>915912.69385875354</v>
      </c>
      <c r="P48" s="32">
        <f t="shared" si="28"/>
        <v>988935.92672691413</v>
      </c>
      <c r="Q48" s="32">
        <f t="shared" si="28"/>
        <v>1067176.6380235674</v>
      </c>
      <c r="R48" s="32">
        <f t="shared" si="28"/>
        <v>1151159.121518424</v>
      </c>
      <c r="S48" s="32">
        <f t="shared" si="28"/>
        <v>1242083.8908865142</v>
      </c>
      <c r="T48" s="32">
        <f t="shared" si="28"/>
        <v>1349834.6684209192</v>
      </c>
      <c r="U48" s="32">
        <f t="shared" si="28"/>
        <v>1466932.8259064339</v>
      </c>
      <c r="V48" s="32">
        <f t="shared" ref="V48:AC48" ca="1" si="29">V52-V57</f>
        <v>1470298.2161899216</v>
      </c>
      <c r="W48" s="32">
        <f t="shared" ca="1" si="29"/>
        <v>1606315.5127317323</v>
      </c>
      <c r="X48" s="32">
        <f t="shared" ca="1" si="29"/>
        <v>1756207.3340101712</v>
      </c>
      <c r="Y48" s="32">
        <f t="shared" ca="1" si="29"/>
        <v>1918760.5891966606</v>
      </c>
      <c r="Z48" s="32">
        <f t="shared" ca="1" si="29"/>
        <v>2095642.3722615791</v>
      </c>
      <c r="AA48" s="32">
        <f t="shared" ca="1" si="29"/>
        <v>2289053.3210898777</v>
      </c>
      <c r="AB48" s="32">
        <f t="shared" ca="1" si="29"/>
        <v>2290848.5126937083</v>
      </c>
      <c r="AC48" s="32">
        <f t="shared" ca="1" si="29"/>
        <v>2290070.2026961725</v>
      </c>
    </row>
    <row r="49" spans="2:29">
      <c r="B49" s="21" t="s">
        <v>352</v>
      </c>
      <c r="D49" s="90" t="e">
        <f t="shared" ref="D49:AC49" si="30">D48/D34</f>
        <v>#DIV/0!</v>
      </c>
      <c r="E49" s="90" t="e">
        <f t="shared" si="30"/>
        <v>#DIV/0!</v>
      </c>
      <c r="F49" s="90" t="e">
        <f t="shared" si="30"/>
        <v>#DIV/0!</v>
      </c>
      <c r="G49" s="90">
        <f t="shared" si="30"/>
        <v>0.20210836186550066</v>
      </c>
      <c r="H49" s="90">
        <f t="shared" si="30"/>
        <v>0.18764217134610661</v>
      </c>
      <c r="I49" s="90">
        <f>I48/I34</f>
        <v>0.18764217134610661</v>
      </c>
      <c r="J49" s="90">
        <f>J48/J34</f>
        <v>0.18764217134610658</v>
      </c>
      <c r="K49" s="90">
        <f t="shared" si="30"/>
        <v>0.18764217134610661</v>
      </c>
      <c r="L49" s="90">
        <f t="shared" si="30"/>
        <v>0.18764217134610661</v>
      </c>
      <c r="M49" s="90">
        <f t="shared" si="30"/>
        <v>0.18764217134610661</v>
      </c>
      <c r="N49" s="90">
        <f t="shared" si="30"/>
        <v>0.18764217134610661</v>
      </c>
      <c r="O49" s="90">
        <f t="shared" si="30"/>
        <v>0.18764217134610661</v>
      </c>
      <c r="P49" s="90">
        <f t="shared" si="30"/>
        <v>0.18764217134610661</v>
      </c>
      <c r="Q49" s="90">
        <f t="shared" si="30"/>
        <v>0.18764217134610661</v>
      </c>
      <c r="R49" s="90">
        <f t="shared" si="30"/>
        <v>0.18764217134610661</v>
      </c>
      <c r="S49" s="90">
        <f t="shared" si="30"/>
        <v>0.18764217134610661</v>
      </c>
      <c r="T49" s="90">
        <f t="shared" si="30"/>
        <v>0.18764217134610661</v>
      </c>
      <c r="U49" s="90">
        <f t="shared" si="30"/>
        <v>0.18764217134610661</v>
      </c>
      <c r="V49" s="90">
        <f t="shared" ca="1" si="30"/>
        <v>0.17305972303003564</v>
      </c>
      <c r="W49" s="90">
        <f t="shared" ca="1" si="30"/>
        <v>0.17397697631960793</v>
      </c>
      <c r="X49" s="90">
        <f t="shared" ca="1" si="30"/>
        <v>0.17502781157934433</v>
      </c>
      <c r="Y49" s="90">
        <f t="shared" ca="1" si="30"/>
        <v>0.17596342920783056</v>
      </c>
      <c r="Z49" s="90">
        <f t="shared" ca="1" si="30"/>
        <v>0.17684351947863661</v>
      </c>
      <c r="AA49" s="90">
        <f t="shared" ca="1" si="30"/>
        <v>0.17774534629054431</v>
      </c>
      <c r="AB49" s="90">
        <f t="shared" ca="1" si="30"/>
        <v>0.17788474319770278</v>
      </c>
      <c r="AC49" s="90">
        <f t="shared" ca="1" si="30"/>
        <v>0.17782430730538049</v>
      </c>
    </row>
    <row r="50" spans="2:29">
      <c r="B50" s="25"/>
      <c r="D50" s="87"/>
      <c r="E50" s="87"/>
      <c r="F50" s="87"/>
      <c r="G50" s="87"/>
      <c r="H50" s="87"/>
      <c r="I50" s="88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</row>
    <row r="51" spans="2:29">
      <c r="B51" s="25"/>
      <c r="D51" s="87"/>
      <c r="E51" s="87"/>
      <c r="F51" s="87"/>
      <c r="G51" s="87"/>
      <c r="H51" s="87"/>
      <c r="I51" s="88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</row>
    <row r="52" spans="2:29">
      <c r="B52" s="435"/>
      <c r="C52" s="37"/>
      <c r="D52" s="153"/>
      <c r="E52" s="153"/>
      <c r="F52" s="153"/>
      <c r="G52" s="423">
        <f>G48</f>
        <v>492128</v>
      </c>
      <c r="H52" s="423">
        <f>H48</f>
        <v>535439</v>
      </c>
      <c r="I52" s="423">
        <f>CHOOSE($C$3,I53,I54,I55)*(I34)</f>
        <v>575821.60961482557</v>
      </c>
      <c r="J52" s="423">
        <f>CHOOSE($C$3,J53,J54,J55)*(J34)</f>
        <v>629000.81364762783</v>
      </c>
      <c r="K52" s="423">
        <f t="shared" ref="K52:AC52" si="31">CHOOSE($C$3,K53,K54,K55)*(K34)</f>
        <v>676361.7829175014</v>
      </c>
      <c r="L52" s="423">
        <f t="shared" si="31"/>
        <v>728405.53976949665</v>
      </c>
      <c r="M52" s="423">
        <f t="shared" si="31"/>
        <v>786234.47890757234</v>
      </c>
      <c r="N52" s="423">
        <f>CHOOSE($C$3,N53,N54,N55)*(N34)</f>
        <v>848318.52267887455</v>
      </c>
      <c r="O52" s="423">
        <f t="shared" si="31"/>
        <v>915912.69385875354</v>
      </c>
      <c r="P52" s="423">
        <f t="shared" si="31"/>
        <v>988935.92672691413</v>
      </c>
      <c r="Q52" s="423">
        <f t="shared" si="31"/>
        <v>1067176.6380235674</v>
      </c>
      <c r="R52" s="423">
        <f t="shared" si="31"/>
        <v>1151159.121518424</v>
      </c>
      <c r="S52" s="423">
        <f t="shared" si="31"/>
        <v>1242083.8908865142</v>
      </c>
      <c r="T52" s="423">
        <f t="shared" si="31"/>
        <v>1349834.6684209192</v>
      </c>
      <c r="U52" s="423">
        <f t="shared" si="31"/>
        <v>1466932.8259064339</v>
      </c>
      <c r="V52" s="423">
        <f t="shared" si="31"/>
        <v>1594189.2485538169</v>
      </c>
      <c r="W52" s="423">
        <f t="shared" si="31"/>
        <v>1732485.1658658604</v>
      </c>
      <c r="X52" s="423">
        <f t="shared" si="31"/>
        <v>1882778.2540047234</v>
      </c>
      <c r="Y52" s="423">
        <f t="shared" si="31"/>
        <v>2046109.267539633</v>
      </c>
      <c r="Z52" s="423">
        <f t="shared" si="31"/>
        <v>2223609.2464986956</v>
      </c>
      <c r="AA52" s="423">
        <f t="shared" si="31"/>
        <v>2416507.3486324572</v>
      </c>
      <c r="AB52" s="423">
        <f t="shared" si="31"/>
        <v>2416507.3486324572</v>
      </c>
      <c r="AC52" s="423">
        <f t="shared" si="31"/>
        <v>2416507.3486324572</v>
      </c>
    </row>
    <row r="53" spans="2:29" s="313" customFormat="1">
      <c r="B53" s="424"/>
      <c r="D53" s="422"/>
      <c r="E53" s="422"/>
      <c r="F53" s="422"/>
      <c r="G53" s="90">
        <f>G48/G34</f>
        <v>0.20210836186550066</v>
      </c>
      <c r="H53" s="90">
        <f>H48/H34</f>
        <v>0.18764217134610661</v>
      </c>
      <c r="I53" s="443">
        <f>H53</f>
        <v>0.18764217134610661</v>
      </c>
      <c r="J53" s="443">
        <f t="shared" ref="J53:AC53" si="32">AVERAGE(H53:I53)</f>
        <v>0.18764217134610661</v>
      </c>
      <c r="K53" s="443">
        <f t="shared" si="32"/>
        <v>0.18764217134610661</v>
      </c>
      <c r="L53" s="443">
        <f t="shared" si="32"/>
        <v>0.18764217134610661</v>
      </c>
      <c r="M53" s="443">
        <f t="shared" si="32"/>
        <v>0.18764217134610661</v>
      </c>
      <c r="N53" s="443">
        <f t="shared" si="32"/>
        <v>0.18764217134610661</v>
      </c>
      <c r="O53" s="443">
        <f t="shared" si="32"/>
        <v>0.18764217134610661</v>
      </c>
      <c r="P53" s="443">
        <f t="shared" si="32"/>
        <v>0.18764217134610661</v>
      </c>
      <c r="Q53" s="443">
        <f t="shared" si="32"/>
        <v>0.18764217134610661</v>
      </c>
      <c r="R53" s="443">
        <f t="shared" si="32"/>
        <v>0.18764217134610661</v>
      </c>
      <c r="S53" s="443">
        <f t="shared" si="32"/>
        <v>0.18764217134610661</v>
      </c>
      <c r="T53" s="443">
        <f t="shared" si="32"/>
        <v>0.18764217134610661</v>
      </c>
      <c r="U53" s="443">
        <f t="shared" si="32"/>
        <v>0.18764217134610661</v>
      </c>
      <c r="V53" s="443">
        <f t="shared" si="32"/>
        <v>0.18764217134610661</v>
      </c>
      <c r="W53" s="443">
        <f t="shared" si="32"/>
        <v>0.18764217134610661</v>
      </c>
      <c r="X53" s="443">
        <f t="shared" si="32"/>
        <v>0.18764217134610661</v>
      </c>
      <c r="Y53" s="443">
        <f t="shared" si="32"/>
        <v>0.18764217134610661</v>
      </c>
      <c r="Z53" s="443">
        <f t="shared" si="32"/>
        <v>0.18764217134610661</v>
      </c>
      <c r="AA53" s="443">
        <f t="shared" si="32"/>
        <v>0.18764217134610661</v>
      </c>
      <c r="AB53" s="443">
        <f t="shared" si="32"/>
        <v>0.18764217134610661</v>
      </c>
      <c r="AC53" s="443">
        <f t="shared" si="32"/>
        <v>0.18764217134610661</v>
      </c>
    </row>
    <row r="54" spans="2:29" s="313" customFormat="1">
      <c r="B54" s="425"/>
      <c r="C54" s="310"/>
      <c r="D54" s="310"/>
      <c r="E54" s="310"/>
      <c r="F54" s="310"/>
      <c r="G54" s="310"/>
      <c r="H54" s="426"/>
      <c r="I54" s="314">
        <f>I53</f>
        <v>0.18764217134610661</v>
      </c>
      <c r="J54" s="314">
        <f t="shared" ref="J54:AC54" si="33">J53</f>
        <v>0.18764217134610661</v>
      </c>
      <c r="K54" s="314">
        <f t="shared" si="33"/>
        <v>0.18764217134610661</v>
      </c>
      <c r="L54" s="314">
        <f t="shared" si="33"/>
        <v>0.18764217134610661</v>
      </c>
      <c r="M54" s="314">
        <f t="shared" si="33"/>
        <v>0.18764217134610661</v>
      </c>
      <c r="N54" s="314">
        <f t="shared" si="33"/>
        <v>0.18764217134610661</v>
      </c>
      <c r="O54" s="314">
        <f t="shared" si="33"/>
        <v>0.18764217134610661</v>
      </c>
      <c r="P54" s="314">
        <f t="shared" si="33"/>
        <v>0.18764217134610661</v>
      </c>
      <c r="Q54" s="314">
        <f t="shared" si="33"/>
        <v>0.18764217134610661</v>
      </c>
      <c r="R54" s="314">
        <f t="shared" si="33"/>
        <v>0.18764217134610661</v>
      </c>
      <c r="S54" s="314">
        <f t="shared" si="33"/>
        <v>0.18764217134610661</v>
      </c>
      <c r="T54" s="314">
        <f t="shared" si="33"/>
        <v>0.18764217134610661</v>
      </c>
      <c r="U54" s="314">
        <f t="shared" si="33"/>
        <v>0.18764217134610661</v>
      </c>
      <c r="V54" s="314">
        <f t="shared" si="33"/>
        <v>0.18764217134610661</v>
      </c>
      <c r="W54" s="314">
        <f t="shared" si="33"/>
        <v>0.18764217134610661</v>
      </c>
      <c r="X54" s="314">
        <f t="shared" si="33"/>
        <v>0.18764217134610661</v>
      </c>
      <c r="Y54" s="314">
        <f t="shared" si="33"/>
        <v>0.18764217134610661</v>
      </c>
      <c r="Z54" s="314">
        <f t="shared" si="33"/>
        <v>0.18764217134610661</v>
      </c>
      <c r="AA54" s="314">
        <f t="shared" si="33"/>
        <v>0.18764217134610661</v>
      </c>
      <c r="AB54" s="314">
        <f t="shared" si="33"/>
        <v>0.18764217134610661</v>
      </c>
      <c r="AC54" s="314">
        <f t="shared" si="33"/>
        <v>0.18764217134610661</v>
      </c>
    </row>
    <row r="55" spans="2:29" s="313" customFormat="1">
      <c r="B55" s="424"/>
      <c r="H55" s="422"/>
      <c r="I55" s="443">
        <f>I54</f>
        <v>0.18764217134610661</v>
      </c>
      <c r="J55" s="443">
        <f t="shared" ref="J55:AB55" si="34">J54</f>
        <v>0.18764217134610661</v>
      </c>
      <c r="K55" s="443">
        <f t="shared" si="34"/>
        <v>0.18764217134610661</v>
      </c>
      <c r="L55" s="443">
        <f t="shared" si="34"/>
        <v>0.18764217134610661</v>
      </c>
      <c r="M55" s="443">
        <f t="shared" si="34"/>
        <v>0.18764217134610661</v>
      </c>
      <c r="N55" s="443">
        <f t="shared" si="34"/>
        <v>0.18764217134610661</v>
      </c>
      <c r="O55" s="443">
        <f t="shared" si="34"/>
        <v>0.18764217134610661</v>
      </c>
      <c r="P55" s="443">
        <f t="shared" si="34"/>
        <v>0.18764217134610661</v>
      </c>
      <c r="Q55" s="443">
        <f t="shared" si="34"/>
        <v>0.18764217134610661</v>
      </c>
      <c r="R55" s="443">
        <f t="shared" si="34"/>
        <v>0.18764217134610661</v>
      </c>
      <c r="S55" s="443">
        <f t="shared" si="34"/>
        <v>0.18764217134610661</v>
      </c>
      <c r="T55" s="443">
        <f t="shared" si="34"/>
        <v>0.18764217134610661</v>
      </c>
      <c r="U55" s="443">
        <f t="shared" si="34"/>
        <v>0.18764217134610661</v>
      </c>
      <c r="V55" s="443">
        <f t="shared" si="34"/>
        <v>0.18764217134610661</v>
      </c>
      <c r="W55" s="443">
        <f t="shared" si="34"/>
        <v>0.18764217134610661</v>
      </c>
      <c r="X55" s="443">
        <f t="shared" si="34"/>
        <v>0.18764217134610661</v>
      </c>
      <c r="Y55" s="443">
        <f t="shared" si="34"/>
        <v>0.18764217134610661</v>
      </c>
      <c r="Z55" s="443">
        <f t="shared" si="34"/>
        <v>0.18764217134610661</v>
      </c>
      <c r="AA55" s="443">
        <f t="shared" si="34"/>
        <v>0.18764217134610661</v>
      </c>
      <c r="AB55" s="443">
        <f t="shared" si="34"/>
        <v>0.18764217134610661</v>
      </c>
      <c r="AC55" s="443">
        <f t="shared" ref="AC55" si="35">AC54</f>
        <v>0.18764217134610661</v>
      </c>
    </row>
    <row r="56" spans="2:29">
      <c r="B56" s="25"/>
      <c r="D56" s="87"/>
      <c r="E56" s="87"/>
      <c r="F56" s="87"/>
      <c r="G56" s="87"/>
      <c r="H56" s="87"/>
      <c r="I56" s="88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</row>
    <row r="57" spans="2:29" s="2" customFormat="1">
      <c r="B57" s="28" t="s">
        <v>398</v>
      </c>
      <c r="C57" s="317"/>
      <c r="D57" s="315"/>
      <c r="E57" s="315"/>
      <c r="F57" s="315"/>
      <c r="G57" s="315">
        <v>37436</v>
      </c>
      <c r="H57" s="315">
        <v>48205</v>
      </c>
      <c r="I57" s="32">
        <f ca="1">'Fixed Assets &amp; CAPEX'!H77</f>
        <v>28006.6</v>
      </c>
      <c r="J57" s="32">
        <f ca="1">'Fixed Assets &amp; CAPEX'!I77</f>
        <v>47863.742857142854</v>
      </c>
      <c r="K57" s="32">
        <f ca="1">'Fixed Assets &amp; CAPEX'!J77</f>
        <v>63272.848979591829</v>
      </c>
      <c r="L57" s="32">
        <f ca="1">'Fixed Assets &amp; CAPEX'!K77</f>
        <v>72311.827405247808</v>
      </c>
      <c r="M57" s="32">
        <f ca="1">'Fixed Assets &amp; CAPEX'!L77</f>
        <v>82642.088463140361</v>
      </c>
      <c r="N57" s="32">
        <f ca="1">'Fixed Assets &amp; CAPEX'!M77</f>
        <v>94448.101100731845</v>
      </c>
      <c r="O57" s="32">
        <f ca="1">'Fixed Assets &amp; CAPEX'!N77</f>
        <v>107940.68697226496</v>
      </c>
      <c r="P57" s="32">
        <f ca="1">'Fixed Assets &amp; CAPEX'!O77</f>
        <v>123360.78511115996</v>
      </c>
      <c r="Q57" s="32">
        <f ca="1">'Fixed Assets &amp; CAPEX'!P77</f>
        <v>121126.61155561139</v>
      </c>
      <c r="R57" s="32">
        <f ca="1">'Fixed Assets &amp; CAPEX'!Q77</f>
        <v>123021.30708396403</v>
      </c>
      <c r="S57" s="32">
        <f ca="1">'Fixed Assets &amp; CAPEX'!R77</f>
        <v>131556.80109887433</v>
      </c>
      <c r="T57" s="32">
        <f ca="1">'Fixed Assets &amp; CAPEX'!S77</f>
        <v>140020.3687693924</v>
      </c>
      <c r="U57" s="32">
        <f ca="1">'Fixed Assets &amp; CAPEX'!T77</f>
        <v>120210.66595599982</v>
      </c>
      <c r="V57" s="32">
        <f ca="1">'Fixed Assets &amp; CAPEX'!U77</f>
        <v>123891.03236389525</v>
      </c>
      <c r="W57" s="32">
        <f ca="1">'Fixed Assets &amp; CAPEX'!V77</f>
        <v>126169.65313412815</v>
      </c>
      <c r="X57" s="32">
        <f ca="1">'Fixed Assets &amp; CAPEX'!W77</f>
        <v>126570.9199945522</v>
      </c>
      <c r="Y57" s="32">
        <f ca="1">'Fixed Assets &amp; CAPEX'!X77</f>
        <v>127348.67834297231</v>
      </c>
      <c r="Z57" s="32">
        <f ca="1">'Fixed Assets &amp; CAPEX'!Y77</f>
        <v>127966.87423711634</v>
      </c>
      <c r="AA57" s="32">
        <f ca="1">'Fixed Assets &amp; CAPEX'!Z77</f>
        <v>127454.02754257948</v>
      </c>
      <c r="AB57" s="32">
        <f ca="1">'Fixed Assets &amp; CAPEX'!AA77</f>
        <v>125658.83593874906</v>
      </c>
      <c r="AC57" s="32">
        <f ca="1">'Fixed Assets &amp; CAPEX'!AB77</f>
        <v>126437.14593628468</v>
      </c>
    </row>
    <row r="58" spans="2:29">
      <c r="B58" s="21" t="s">
        <v>352</v>
      </c>
      <c r="D58" s="90" t="e">
        <f>D57/D34</f>
        <v>#DIV/0!</v>
      </c>
      <c r="E58" s="90" t="e">
        <f>E57/E34</f>
        <v>#DIV/0!</v>
      </c>
      <c r="F58" s="90" t="e">
        <f>F57/F34</f>
        <v>#DIV/0!</v>
      </c>
      <c r="G58" s="90">
        <f>G57/G34</f>
        <v>1.5374310412731814E-2</v>
      </c>
      <c r="H58" s="90">
        <f t="shared" ref="H58:AC58" si="36">H57/H34</f>
        <v>1.6893223821460648E-2</v>
      </c>
      <c r="I58" s="90">
        <f ca="1">I57/I34</f>
        <v>9.1264710255267306E-3</v>
      </c>
      <c r="J58" s="90">
        <f t="shared" ca="1" si="36"/>
        <v>1.4278608935945462E-2</v>
      </c>
      <c r="K58" s="90">
        <f t="shared" ca="1" si="36"/>
        <v>1.7553704348243833E-2</v>
      </c>
      <c r="L58" s="90">
        <f t="shared" ca="1" si="36"/>
        <v>1.8628013609862739E-2</v>
      </c>
      <c r="M58" s="90">
        <f t="shared" ca="1" si="36"/>
        <v>1.9723303085546394E-2</v>
      </c>
      <c r="N58" s="90">
        <f t="shared" ca="1" si="36"/>
        <v>2.0891264656219988E-2</v>
      </c>
      <c r="O58" s="90">
        <f t="shared" ca="1" si="36"/>
        <v>2.2113706924111787E-2</v>
      </c>
      <c r="P58" s="90">
        <f ca="1">P57/P34</f>
        <v>2.3406658562633596E-2</v>
      </c>
      <c r="Q58" s="90">
        <f t="shared" ca="1" si="36"/>
        <v>2.1297749210650727E-2</v>
      </c>
      <c r="R58" s="90">
        <f t="shared" ca="1" si="36"/>
        <v>2.005281872120554E-2</v>
      </c>
      <c r="S58" s="90">
        <f t="shared" ca="1" si="36"/>
        <v>1.9874345037936007E-2</v>
      </c>
      <c r="T58" s="90">
        <f t="shared" ca="1" si="36"/>
        <v>1.9464403043749964E-2</v>
      </c>
      <c r="U58" s="90">
        <f t="shared" ca="1" si="36"/>
        <v>1.5376702995931215E-2</v>
      </c>
      <c r="V58" s="90">
        <f t="shared" ca="1" si="36"/>
        <v>1.4582448316070983E-2</v>
      </c>
      <c r="W58" s="90">
        <f t="shared" ca="1" si="36"/>
        <v>1.366519502649869E-2</v>
      </c>
      <c r="X58" s="90">
        <f t="shared" ca="1" si="36"/>
        <v>1.2614359766762279E-2</v>
      </c>
      <c r="Y58" s="90">
        <f t="shared" ca="1" si="36"/>
        <v>1.1678742138276035E-2</v>
      </c>
      <c r="Z58" s="90">
        <f t="shared" ca="1" si="36"/>
        <v>1.0798651867469982E-2</v>
      </c>
      <c r="AA58" s="90">
        <f t="shared" ca="1" si="36"/>
        <v>9.8968250555622854E-3</v>
      </c>
      <c r="AB58" s="90">
        <f t="shared" ca="1" si="36"/>
        <v>9.7574281484038329E-3</v>
      </c>
      <c r="AC58" s="90">
        <f t="shared" ca="1" si="36"/>
        <v>9.8178640407261195E-3</v>
      </c>
    </row>
    <row r="59" spans="2:29">
      <c r="B59" s="21"/>
      <c r="F59" s="89"/>
      <c r="G59" s="89"/>
      <c r="H59" s="90"/>
      <c r="I59" s="221"/>
      <c r="J59" s="90"/>
      <c r="K59" s="90"/>
      <c r="L59" s="90"/>
      <c r="M59" s="221"/>
      <c r="N59" s="90"/>
      <c r="O59" s="90"/>
      <c r="P59" s="90"/>
      <c r="Q59" s="221"/>
      <c r="R59" s="90"/>
      <c r="S59" s="90"/>
      <c r="T59" s="90"/>
      <c r="U59" s="221"/>
      <c r="V59" s="90"/>
      <c r="W59" s="90"/>
      <c r="X59" s="90"/>
      <c r="Y59" s="311"/>
      <c r="Z59" s="90"/>
      <c r="AA59" s="90"/>
      <c r="AB59" s="90"/>
      <c r="AC59" s="311"/>
    </row>
    <row r="60" spans="2:29" s="2" customFormat="1">
      <c r="B60" s="28" t="s">
        <v>420</v>
      </c>
      <c r="C60" s="317"/>
      <c r="D60" s="315"/>
      <c r="E60" s="315"/>
      <c r="F60" s="315"/>
      <c r="G60" s="315"/>
      <c r="H60" s="315"/>
      <c r="I60" s="32">
        <f>'Goodwill, Taxes &amp; Div.'!H31</f>
        <v>0</v>
      </c>
      <c r="J60" s="32">
        <f>'Goodwill, Taxes &amp; Div.'!I31</f>
        <v>0</v>
      </c>
      <c r="K60" s="32">
        <f>'Goodwill, Taxes &amp; Div.'!J31</f>
        <v>0</v>
      </c>
      <c r="L60" s="32">
        <f>'Goodwill, Taxes &amp; Div.'!K31</f>
        <v>0</v>
      </c>
      <c r="M60" s="32">
        <f>'Goodwill, Taxes &amp; Div.'!L31</f>
        <v>0</v>
      </c>
      <c r="N60" s="32">
        <f>'Goodwill, Taxes &amp; Div.'!M31</f>
        <v>0</v>
      </c>
      <c r="O60" s="32">
        <f>'Goodwill, Taxes &amp; Div.'!N31</f>
        <v>0</v>
      </c>
      <c r="P60" s="32">
        <f>'Goodwill, Taxes &amp; Div.'!O31</f>
        <v>0</v>
      </c>
      <c r="Q60" s="32">
        <f>'Goodwill, Taxes &amp; Div.'!P31</f>
        <v>0</v>
      </c>
      <c r="R60" s="32">
        <f>'Goodwill, Taxes &amp; Div.'!Q31</f>
        <v>0</v>
      </c>
      <c r="S60" s="32">
        <f>'Goodwill, Taxes &amp; Div.'!R31</f>
        <v>0</v>
      </c>
      <c r="T60" s="32">
        <f>'Goodwill, Taxes &amp; Div.'!S31</f>
        <v>0</v>
      </c>
      <c r="U60" s="32">
        <f>'Goodwill, Taxes &amp; Div.'!T31</f>
        <v>0</v>
      </c>
      <c r="V60" s="32">
        <f>'Goodwill, Taxes &amp; Div.'!U31</f>
        <v>0</v>
      </c>
      <c r="W60" s="32">
        <f>'Goodwill, Taxes &amp; Div.'!V31</f>
        <v>0</v>
      </c>
      <c r="X60" s="32">
        <f>'Goodwill, Taxes &amp; Div.'!W31</f>
        <v>0</v>
      </c>
      <c r="Y60" s="32">
        <f>'Goodwill, Taxes &amp; Div.'!X31</f>
        <v>0</v>
      </c>
      <c r="Z60" s="32">
        <f>'Goodwill, Taxes &amp; Div.'!Y31</f>
        <v>0</v>
      </c>
      <c r="AA60" s="32">
        <f>'Goodwill, Taxes &amp; Div.'!Z31</f>
        <v>0</v>
      </c>
      <c r="AB60" s="32">
        <f>'Goodwill, Taxes &amp; Div.'!AA31</f>
        <v>0</v>
      </c>
      <c r="AC60" s="32">
        <f>'Goodwill, Taxes &amp; Div.'!AB31</f>
        <v>0</v>
      </c>
    </row>
    <row r="61" spans="2:29">
      <c r="B61" s="21" t="s">
        <v>352</v>
      </c>
      <c r="D61" s="90" t="e">
        <f>D60/#REF!</f>
        <v>#REF!</v>
      </c>
      <c r="E61" s="90" t="e">
        <f>E60/#REF!</f>
        <v>#REF!</v>
      </c>
      <c r="F61" s="90" t="e">
        <f>F60/#REF!</f>
        <v>#REF!</v>
      </c>
      <c r="G61" s="90" t="e">
        <f>G60/#REF!</f>
        <v>#REF!</v>
      </c>
      <c r="H61" s="316" t="e">
        <f>G61</f>
        <v>#REF!</v>
      </c>
      <c r="I61" s="316" t="e">
        <f>H61</f>
        <v>#REF!</v>
      </c>
      <c r="J61" s="316" t="e">
        <f t="shared" ref="J61" si="37">I61</f>
        <v>#REF!</v>
      </c>
      <c r="K61" s="316" t="e">
        <f t="shared" ref="K61" si="38">J61</f>
        <v>#REF!</v>
      </c>
      <c r="L61" s="316" t="e">
        <f t="shared" ref="L61" si="39">K61</f>
        <v>#REF!</v>
      </c>
      <c r="M61" s="316" t="e">
        <f t="shared" ref="M61" si="40">L61</f>
        <v>#REF!</v>
      </c>
      <c r="N61" s="316" t="e">
        <f t="shared" ref="N61" si="41">M61</f>
        <v>#REF!</v>
      </c>
      <c r="O61" s="316" t="e">
        <f t="shared" ref="O61" si="42">N61</f>
        <v>#REF!</v>
      </c>
      <c r="P61" s="316" t="e">
        <f t="shared" ref="P61" si="43">O61</f>
        <v>#REF!</v>
      </c>
      <c r="Q61" s="316" t="e">
        <f t="shared" ref="Q61" si="44">P61</f>
        <v>#REF!</v>
      </c>
      <c r="R61" s="316" t="e">
        <f t="shared" ref="R61" si="45">Q61</f>
        <v>#REF!</v>
      </c>
      <c r="S61" s="316" t="e">
        <f t="shared" ref="S61" si="46">R61</f>
        <v>#REF!</v>
      </c>
      <c r="T61" s="316" t="e">
        <f t="shared" ref="T61" si="47">S61</f>
        <v>#REF!</v>
      </c>
      <c r="U61" s="316" t="e">
        <f t="shared" ref="U61" si="48">T61</f>
        <v>#REF!</v>
      </c>
      <c r="V61" s="316" t="e">
        <f t="shared" ref="V61" si="49">U61</f>
        <v>#REF!</v>
      </c>
      <c r="W61" s="316" t="e">
        <f t="shared" ref="W61" si="50">V61</f>
        <v>#REF!</v>
      </c>
      <c r="X61" s="316" t="e">
        <f t="shared" ref="X61" si="51">W61</f>
        <v>#REF!</v>
      </c>
      <c r="Y61" s="316" t="e">
        <f t="shared" ref="Y61" si="52">X61</f>
        <v>#REF!</v>
      </c>
      <c r="Z61" s="316" t="e">
        <f t="shared" ref="Z61" si="53">Y61</f>
        <v>#REF!</v>
      </c>
      <c r="AA61" s="316" t="e">
        <f t="shared" ref="AA61" si="54">Z61</f>
        <v>#REF!</v>
      </c>
      <c r="AB61" s="316" t="e">
        <f t="shared" ref="AB61" si="55">AA61</f>
        <v>#REF!</v>
      </c>
      <c r="AC61" s="316" t="e">
        <f t="shared" ref="AC61" si="56">AB61</f>
        <v>#REF!</v>
      </c>
    </row>
    <row r="62" spans="2:29">
      <c r="B62" s="21"/>
      <c r="F62" s="89"/>
      <c r="G62" s="89"/>
      <c r="H62" s="90"/>
      <c r="I62" s="221"/>
      <c r="J62" s="90"/>
      <c r="K62" s="90"/>
      <c r="L62" s="90"/>
      <c r="M62" s="221"/>
      <c r="N62" s="90"/>
      <c r="O62" s="90"/>
      <c r="P62" s="90"/>
      <c r="Q62" s="221"/>
      <c r="R62" s="90"/>
      <c r="S62" s="90"/>
      <c r="T62" s="90"/>
      <c r="U62" s="221"/>
      <c r="V62" s="90"/>
      <c r="W62" s="90"/>
      <c r="X62" s="90"/>
      <c r="Y62" s="311"/>
      <c r="Z62" s="90"/>
      <c r="AA62" s="90"/>
      <c r="AB62" s="90"/>
      <c r="AC62" s="311"/>
    </row>
    <row r="63" spans="2:29">
      <c r="B63" s="25"/>
      <c r="D63" s="87"/>
      <c r="E63" s="87"/>
      <c r="F63" s="87"/>
      <c r="G63" s="87"/>
      <c r="H63" s="87"/>
      <c r="I63" s="88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</row>
    <row r="64" spans="2:29" s="2" customFormat="1">
      <c r="B64" s="28" t="s">
        <v>23</v>
      </c>
      <c r="C64" s="317"/>
      <c r="D64" s="315">
        <f t="shared" ref="D64:I64" si="57">D34-D38-D48+D57</f>
        <v>0</v>
      </c>
      <c r="E64" s="315">
        <f t="shared" si="57"/>
        <v>0</v>
      </c>
      <c r="F64" s="315">
        <f t="shared" si="57"/>
        <v>0</v>
      </c>
      <c r="G64" s="315">
        <f t="shared" si="57"/>
        <v>82461</v>
      </c>
      <c r="H64" s="315">
        <f t="shared" si="57"/>
        <v>115501</v>
      </c>
      <c r="I64" s="315">
        <f t="shared" ca="1" si="57"/>
        <v>95584.449610549171</v>
      </c>
      <c r="J64" s="315">
        <f t="shared" ref="J64:AC64" ca="1" si="58">J34-J38-J48+J57</f>
        <v>118167.80697688277</v>
      </c>
      <c r="K64" s="315">
        <f t="shared" ca="1" si="58"/>
        <v>165665.85527058641</v>
      </c>
      <c r="L64" s="315">
        <f t="shared" ca="1" si="58"/>
        <v>164205.03355630636</v>
      </c>
      <c r="M64" s="315">
        <f t="shared" ca="1" si="58"/>
        <v>130003.15410015167</v>
      </c>
      <c r="N64" s="315">
        <f t="shared" ca="1" si="58"/>
        <v>138513.19417607188</v>
      </c>
      <c r="O64" s="315">
        <f t="shared" ca="1" si="58"/>
        <v>148867.71120544308</v>
      </c>
      <c r="P64" s="315">
        <f t="shared" ca="1" si="58"/>
        <v>264056.9739525214</v>
      </c>
      <c r="Q64" s="315">
        <f t="shared" ca="1" si="58"/>
        <v>220883.45248801695</v>
      </c>
      <c r="R64" s="315">
        <f t="shared" ca="1" si="58"/>
        <v>258712.82132728994</v>
      </c>
      <c r="S64" s="315">
        <f t="shared" ca="1" si="58"/>
        <v>262814.73627349245</v>
      </c>
      <c r="T64" s="315">
        <f t="shared" ca="1" si="58"/>
        <v>290897.72848090157</v>
      </c>
      <c r="U64" s="315">
        <f t="shared" ca="1" si="58"/>
        <v>279703.13965033757</v>
      </c>
      <c r="V64" s="315">
        <f t="shared" ca="1" si="58"/>
        <v>423541.29693235102</v>
      </c>
      <c r="W64" s="315">
        <f t="shared" ca="1" si="58"/>
        <v>442024.82329709601</v>
      </c>
      <c r="X64" s="315">
        <f t="shared" ca="1" si="58"/>
        <v>460000.28084412968</v>
      </c>
      <c r="Y64" s="315">
        <f t="shared" ca="1" si="58"/>
        <v>479110.78420908877</v>
      </c>
      <c r="Z64" s="315">
        <f t="shared" ca="1" si="58"/>
        <v>500026.94788896001</v>
      </c>
      <c r="AA64" s="315">
        <f t="shared" ca="1" si="58"/>
        <v>520061.19455367373</v>
      </c>
      <c r="AB64" s="315">
        <f t="shared" ca="1" si="58"/>
        <v>516528.38384373271</v>
      </c>
      <c r="AC64" s="315">
        <f t="shared" ca="1" si="58"/>
        <v>518056.2175899432</v>
      </c>
    </row>
    <row r="65" spans="1:29">
      <c r="B65" s="21" t="s">
        <v>118</v>
      </c>
      <c r="D65" s="90" t="e">
        <f t="shared" ref="D65:AC65" si="59">D64/D34</f>
        <v>#DIV/0!</v>
      </c>
      <c r="E65" s="90" t="e">
        <f t="shared" si="59"/>
        <v>#DIV/0!</v>
      </c>
      <c r="F65" s="90" t="e">
        <f t="shared" si="59"/>
        <v>#DIV/0!</v>
      </c>
      <c r="G65" s="90">
        <f t="shared" si="59"/>
        <v>3.3865290387441987E-2</v>
      </c>
      <c r="H65" s="90">
        <f>H64/H34</f>
        <v>4.0476802086972859E-2</v>
      </c>
      <c r="I65" s="90">
        <f ca="1">I64/I34</f>
        <v>3.1147969045210656E-2</v>
      </c>
      <c r="J65" s="90">
        <f ca="1">J64/J34</f>
        <v>3.5251566298881702E-2</v>
      </c>
      <c r="K65" s="90">
        <f t="shared" ca="1" si="59"/>
        <v>4.5960463151529581E-2</v>
      </c>
      <c r="L65" s="90">
        <f t="shared" ca="1" si="59"/>
        <v>4.2300322224644242E-2</v>
      </c>
      <c r="M65" s="90">
        <f t="shared" ca="1" si="59"/>
        <v>3.10264619164109E-2</v>
      </c>
      <c r="N65" s="90">
        <f t="shared" ca="1" si="59"/>
        <v>3.0638157508582078E-2</v>
      </c>
      <c r="O65" s="90">
        <f t="shared" ca="1" si="59"/>
        <v>3.0498387849860122E-2</v>
      </c>
      <c r="P65" s="90">
        <f t="shared" ca="1" si="59"/>
        <v>5.0102562372795395E-2</v>
      </c>
      <c r="Q65" s="90">
        <f t="shared" ca="1" si="59"/>
        <v>3.8838041578605813E-2</v>
      </c>
      <c r="R65" s="90">
        <f t="shared" ca="1" si="59"/>
        <v>4.2170916810263963E-2</v>
      </c>
      <c r="S65" s="90">
        <f t="shared" ca="1" si="59"/>
        <v>3.9703540266442662E-2</v>
      </c>
      <c r="T65" s="90">
        <f t="shared" ca="1" si="59"/>
        <v>4.0438049702532439E-2</v>
      </c>
      <c r="U65" s="90">
        <f t="shared" ca="1" si="59"/>
        <v>3.577812393957585E-2</v>
      </c>
      <c r="V65" s="90">
        <f t="shared" ca="1" si="59"/>
        <v>4.98524304333555E-2</v>
      </c>
      <c r="W65" s="90">
        <f t="shared" ca="1" si="59"/>
        <v>4.787486742542655E-2</v>
      </c>
      <c r="X65" s="90">
        <f t="shared" ca="1" si="59"/>
        <v>4.5844725120345903E-2</v>
      </c>
      <c r="Y65" s="90">
        <f t="shared" ca="1" si="59"/>
        <v>4.3937725756177368E-2</v>
      </c>
      <c r="Z65" s="90">
        <f t="shared" ca="1" si="59"/>
        <v>4.2195427268163228E-2</v>
      </c>
      <c r="AA65" s="90">
        <f t="shared" ca="1" si="59"/>
        <v>4.0382832617548867E-2</v>
      </c>
      <c r="AB65" s="90">
        <f t="shared" ca="1" si="59"/>
        <v>4.0108509316631423E-2</v>
      </c>
      <c r="AC65" s="90">
        <f t="shared" ca="1" si="59"/>
        <v>4.0227145844576206E-2</v>
      </c>
    </row>
    <row r="66" spans="1:29">
      <c r="B66" s="20"/>
      <c r="C66" s="41"/>
      <c r="D66" s="41"/>
      <c r="E66" s="41"/>
      <c r="F66" s="312"/>
      <c r="G66" s="312"/>
      <c r="H66" s="222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4"/>
      <c r="U66" s="314"/>
      <c r="V66" s="314"/>
      <c r="W66" s="314"/>
      <c r="X66" s="314"/>
      <c r="Y66" s="314"/>
      <c r="Z66" s="314"/>
      <c r="AA66" s="314"/>
      <c r="AB66" s="314"/>
      <c r="AC66" s="314"/>
    </row>
    <row r="67" spans="1:29">
      <c r="B67" s="21"/>
      <c r="I67" s="498">
        <v>7.1168652415157643E-2</v>
      </c>
      <c r="J67" s="498">
        <v>9.80477055708045E-2</v>
      </c>
      <c r="K67" s="90">
        <v>0.15771809837073883</v>
      </c>
      <c r="L67" s="90">
        <v>0.19428324808557049</v>
      </c>
      <c r="M67" s="221">
        <v>0.24390213771088029</v>
      </c>
      <c r="N67" s="90">
        <v>0.31483632264015576</v>
      </c>
      <c r="O67" s="90"/>
      <c r="P67" s="90"/>
      <c r="Q67" s="221"/>
      <c r="R67" s="90"/>
      <c r="S67" s="90"/>
      <c r="T67" s="90"/>
      <c r="U67" s="221"/>
      <c r="V67" s="90"/>
      <c r="W67" s="90"/>
      <c r="X67" s="90"/>
      <c r="Y67" s="311"/>
      <c r="Z67" s="90"/>
      <c r="AA67" s="90"/>
      <c r="AB67" s="90"/>
      <c r="AC67" s="311"/>
    </row>
    <row r="68" spans="1:29">
      <c r="H68" s="104"/>
      <c r="I68" s="37"/>
      <c r="J68" s="37"/>
      <c r="K68" s="37"/>
      <c r="L68" s="37"/>
      <c r="M68" s="37"/>
      <c r="N68" s="37"/>
      <c r="O68" s="37"/>
      <c r="P68" s="37"/>
      <c r="Q68" s="37"/>
      <c r="R68" s="37"/>
    </row>
    <row r="69" spans="1:29">
      <c r="H69" s="104"/>
      <c r="I69" s="610">
        <f ca="1">Output!I23</f>
        <v>2.9997817792377748</v>
      </c>
      <c r="J69" s="610">
        <f ca="1">Output!J23</f>
        <v>3.000024803761399</v>
      </c>
      <c r="K69" s="610">
        <f ca="1">Output!K23</f>
        <v>2.0764737512566978</v>
      </c>
      <c r="L69" s="610">
        <f ca="1">Output!L23</f>
        <v>2.0802646961365658</v>
      </c>
      <c r="M69" s="610">
        <f ca="1">Output!M23</f>
        <v>2.7782792192797556</v>
      </c>
      <c r="N69" s="610">
        <f ca="1">Output!N23</f>
        <v>2.7958094555256587</v>
      </c>
      <c r="O69" s="610">
        <f ca="1">Output!O23</f>
        <v>2.8122905847180588</v>
      </c>
      <c r="P69" s="610">
        <f ca="1">Output!P23</f>
        <v>1.4727764766195488</v>
      </c>
      <c r="Q69" s="37"/>
      <c r="R69" s="37"/>
    </row>
    <row r="70" spans="1:29">
      <c r="A70" s="13"/>
      <c r="H70" s="104"/>
      <c r="I70" s="496"/>
      <c r="J70" s="405"/>
      <c r="K70" s="405"/>
      <c r="L70" s="405"/>
      <c r="M70" s="405"/>
      <c r="N70" s="405"/>
      <c r="O70" s="37"/>
      <c r="P70" s="37"/>
      <c r="Q70" s="37"/>
      <c r="R70" s="37"/>
    </row>
    <row r="71" spans="1:29">
      <c r="A71" s="14"/>
      <c r="H71" s="104"/>
      <c r="I71" s="49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spans="1:29">
      <c r="A72" s="14"/>
      <c r="H72" s="104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spans="1:29">
      <c r="B73" s="345"/>
      <c r="I73" s="224"/>
      <c r="J73" s="224"/>
      <c r="K73" s="224"/>
      <c r="L73" s="224"/>
      <c r="M73" s="224"/>
      <c r="N73" s="224"/>
      <c r="O73" s="224"/>
      <c r="P73" s="224"/>
      <c r="Q73" s="224"/>
      <c r="R73" s="224"/>
      <c r="S73" s="224"/>
      <c r="T73" s="224"/>
      <c r="U73" s="224"/>
      <c r="V73" s="46"/>
      <c r="W73" s="46"/>
      <c r="X73" s="46"/>
    </row>
    <row r="74" spans="1:29">
      <c r="H74" s="2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</row>
    <row r="75" spans="1:29">
      <c r="I75" s="405"/>
      <c r="J75" s="405"/>
      <c r="K75" s="405"/>
      <c r="L75" s="405"/>
      <c r="M75" s="405"/>
      <c r="N75" s="405"/>
      <c r="O75" s="405"/>
      <c r="P75" s="405"/>
      <c r="Q75" s="405"/>
      <c r="R75" s="405"/>
      <c r="S75" s="405"/>
      <c r="T75" s="405"/>
      <c r="U75" s="405"/>
    </row>
    <row r="76" spans="1:29">
      <c r="I76" s="405"/>
      <c r="J76" s="405"/>
      <c r="K76" s="405"/>
      <c r="L76" s="405"/>
      <c r="M76" s="405"/>
      <c r="N76" s="405"/>
      <c r="O76" s="405"/>
      <c r="P76" s="405"/>
      <c r="Q76" s="405"/>
      <c r="R76" s="405"/>
      <c r="S76" s="405"/>
      <c r="T76" s="405"/>
      <c r="U76" s="405"/>
    </row>
    <row r="80" spans="1:29">
      <c r="I80" s="405"/>
      <c r="J80" s="405"/>
      <c r="K80" s="405"/>
      <c r="L80" s="405"/>
      <c r="M80" s="405"/>
      <c r="N80" s="405"/>
      <c r="O80" s="405"/>
      <c r="P80" s="405"/>
      <c r="Q80" s="405"/>
      <c r="R80" s="405"/>
      <c r="S80" s="405"/>
      <c r="T80" s="405"/>
      <c r="U80" s="405"/>
    </row>
    <row r="81" spans="8:21">
      <c r="H81" s="37"/>
      <c r="I81" s="405"/>
      <c r="J81" s="405"/>
      <c r="K81" s="405"/>
      <c r="L81" s="405"/>
      <c r="M81" s="405"/>
      <c r="N81" s="405"/>
      <c r="O81" s="405"/>
      <c r="P81" s="405"/>
      <c r="Q81" s="405"/>
      <c r="R81" s="405"/>
      <c r="S81" s="405"/>
      <c r="T81" s="405"/>
      <c r="U81" s="405"/>
    </row>
    <row r="82" spans="8:21">
      <c r="I82" s="37"/>
      <c r="J82" s="345"/>
    </row>
    <row r="83" spans="8:21">
      <c r="I83" s="29"/>
      <c r="J83" s="29"/>
      <c r="K83" s="29"/>
      <c r="L83" s="29"/>
      <c r="M83" s="29"/>
      <c r="N83" s="29"/>
      <c r="O83" s="29"/>
      <c r="P83" s="29"/>
    </row>
    <row r="84" spans="8:21">
      <c r="I84" s="46"/>
      <c r="J84" s="46"/>
      <c r="K84" s="46"/>
      <c r="L84" s="46"/>
      <c r="M84" s="46"/>
      <c r="N84" s="46"/>
    </row>
    <row r="85" spans="8:21">
      <c r="I85" s="405"/>
      <c r="J85" s="405"/>
      <c r="K85" s="405"/>
      <c r="L85" s="405"/>
      <c r="M85" s="405"/>
      <c r="N85" s="405"/>
      <c r="O85" s="497"/>
      <c r="P85" s="37"/>
      <c r="Q85" s="37"/>
      <c r="R85" s="37"/>
    </row>
    <row r="86" spans="8:21">
      <c r="I86" s="38"/>
      <c r="J86" s="38"/>
      <c r="K86" s="38"/>
      <c r="L86" s="38"/>
      <c r="M86" s="38"/>
      <c r="N86" s="38"/>
      <c r="O86" s="497"/>
      <c r="P86" s="37"/>
      <c r="Q86" s="37"/>
      <c r="R86" s="37"/>
    </row>
  </sheetData>
  <dataConsolidate/>
  <phoneticPr fontId="7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6" zoomScale="85" zoomScaleNormal="85" workbookViewId="0">
      <selection activeCell="A47" sqref="A47"/>
    </sheetView>
  </sheetViews>
  <sheetFormatPr defaultColWidth="9.109375" defaultRowHeight="13.2"/>
  <cols>
    <col min="1" max="1" width="77.6640625" style="486" bestFit="1" customWidth="1"/>
    <col min="2" max="3" width="14.6640625" style="486" bestFit="1" customWidth="1"/>
    <col min="4" max="16384" width="9.109375" style="486"/>
  </cols>
  <sheetData>
    <row r="1" spans="1:10">
      <c r="A1" s="487" t="s">
        <v>406</v>
      </c>
    </row>
    <row r="3" spans="1:10">
      <c r="A3" s="488" t="s">
        <v>459</v>
      </c>
    </row>
    <row r="4" spans="1:10" ht="13.8" thickBot="1">
      <c r="B4" s="499">
        <v>2010</v>
      </c>
      <c r="C4" s="499">
        <v>2011</v>
      </c>
      <c r="D4" s="500">
        <f>C4+1</f>
        <v>2012</v>
      </c>
      <c r="E4" s="500">
        <f t="shared" ref="E4:J4" si="0">D4+1</f>
        <v>2013</v>
      </c>
      <c r="F4" s="500">
        <f t="shared" si="0"/>
        <v>2014</v>
      </c>
      <c r="G4" s="500">
        <f t="shared" si="0"/>
        <v>2015</v>
      </c>
      <c r="H4" s="500">
        <f t="shared" si="0"/>
        <v>2016</v>
      </c>
      <c r="I4" s="500">
        <f t="shared" si="0"/>
        <v>2017</v>
      </c>
      <c r="J4" s="500">
        <f t="shared" si="0"/>
        <v>2018</v>
      </c>
    </row>
    <row r="5" spans="1:10" ht="13.8" thickTop="1"/>
    <row r="6" spans="1:10">
      <c r="A6" s="503" t="s">
        <v>460</v>
      </c>
      <c r="B6" s="503">
        <v>2109847</v>
      </c>
      <c r="C6" s="503">
        <v>2461029</v>
      </c>
      <c r="D6" s="504"/>
      <c r="E6" s="504"/>
      <c r="F6" s="504"/>
      <c r="G6" s="504"/>
      <c r="H6" s="504"/>
      <c r="I6" s="504"/>
      <c r="J6" s="504"/>
    </row>
    <row r="7" spans="1:10">
      <c r="A7" s="511" t="s">
        <v>461</v>
      </c>
      <c r="B7" s="511">
        <v>325124</v>
      </c>
      <c r="C7" s="511">
        <v>392482</v>
      </c>
      <c r="D7" s="509"/>
      <c r="E7" s="509"/>
      <c r="F7" s="509"/>
      <c r="G7" s="509"/>
      <c r="H7" s="509"/>
      <c r="I7" s="509"/>
      <c r="J7" s="509"/>
    </row>
    <row r="9" spans="1:10">
      <c r="A9" s="488" t="s">
        <v>457</v>
      </c>
      <c r="B9" s="505">
        <f>SUM(B6:B7)</f>
        <v>2434971</v>
      </c>
      <c r="C9" s="505">
        <f>SUM(C6:C7)</f>
        <v>2853511</v>
      </c>
      <c r="D9" s="488"/>
      <c r="E9" s="488"/>
      <c r="F9" s="488"/>
      <c r="G9" s="488"/>
      <c r="H9" s="488"/>
      <c r="I9" s="488"/>
      <c r="J9" s="488"/>
    </row>
    <row r="12" spans="1:10">
      <c r="A12" s="502" t="s">
        <v>462</v>
      </c>
      <c r="B12" s="506">
        <v>-1573150</v>
      </c>
      <c r="C12" s="506">
        <v>-2046013</v>
      </c>
      <c r="D12" s="502"/>
      <c r="E12" s="502"/>
      <c r="F12" s="502"/>
      <c r="G12" s="502"/>
      <c r="H12" s="502"/>
      <c r="I12" s="502"/>
      <c r="J12" s="502"/>
    </row>
    <row r="13" spans="1:10">
      <c r="A13" s="487" t="s">
        <v>466</v>
      </c>
      <c r="B13" s="507">
        <v>8133</v>
      </c>
      <c r="C13" s="507">
        <v>209233</v>
      </c>
    </row>
    <row r="14" spans="1:10">
      <c r="A14" s="486" t="s">
        <v>463</v>
      </c>
      <c r="B14" s="507">
        <v>7741</v>
      </c>
      <c r="C14" s="507">
        <v>15434</v>
      </c>
    </row>
    <row r="15" spans="1:10">
      <c r="A15" s="486" t="s">
        <v>464</v>
      </c>
      <c r="B15" s="507">
        <v>-42210</v>
      </c>
      <c r="C15" s="507">
        <v>-56528</v>
      </c>
    </row>
    <row r="16" spans="1:10">
      <c r="A16" s="509" t="s">
        <v>468</v>
      </c>
      <c r="B16" s="510">
        <v>-298332</v>
      </c>
      <c r="C16" s="510">
        <v>-372902</v>
      </c>
      <c r="D16" s="509"/>
      <c r="E16" s="509"/>
      <c r="F16" s="509"/>
      <c r="G16" s="509"/>
      <c r="H16" s="509"/>
      <c r="I16" s="509"/>
      <c r="J16" s="509"/>
    </row>
    <row r="17" spans="1:10">
      <c r="B17" s="507"/>
      <c r="C17" s="507"/>
    </row>
    <row r="18" spans="1:10" s="488" customFormat="1">
      <c r="A18" s="488" t="s">
        <v>465</v>
      </c>
      <c r="B18" s="505">
        <f>SUM(B12:B16)</f>
        <v>-1897818</v>
      </c>
      <c r="C18" s="505">
        <f>SUM(C12:C16)</f>
        <v>-2250776</v>
      </c>
    </row>
    <row r="21" spans="1:10">
      <c r="A21" s="502" t="s">
        <v>469</v>
      </c>
      <c r="B21" s="506">
        <v>-142210</v>
      </c>
      <c r="C21" s="506">
        <v>-183324</v>
      </c>
      <c r="D21" s="502"/>
      <c r="E21" s="502"/>
      <c r="F21" s="502"/>
      <c r="G21" s="502"/>
      <c r="H21" s="502"/>
      <c r="I21" s="502"/>
      <c r="J21" s="502"/>
    </row>
    <row r="22" spans="1:10">
      <c r="A22" s="487" t="s">
        <v>470</v>
      </c>
      <c r="B22" s="507">
        <v>-300484</v>
      </c>
      <c r="C22" s="507">
        <v>-314590</v>
      </c>
    </row>
    <row r="23" spans="1:10">
      <c r="A23" s="486" t="s">
        <v>471</v>
      </c>
      <c r="B23" s="507">
        <v>4774</v>
      </c>
      <c r="C23" s="507">
        <v>4789</v>
      </c>
    </row>
    <row r="24" spans="1:10">
      <c r="A24" s="501" t="s">
        <v>472</v>
      </c>
      <c r="B24" s="508">
        <f>SUM(B25:B27)</f>
        <v>-54208</v>
      </c>
      <c r="C24" s="508">
        <f>SUM(C25:C27)</f>
        <v>-42314</v>
      </c>
      <c r="D24" s="501"/>
      <c r="E24" s="501"/>
      <c r="F24" s="501"/>
      <c r="G24" s="501"/>
      <c r="H24" s="501"/>
      <c r="I24" s="501"/>
      <c r="J24" s="501"/>
    </row>
    <row r="25" spans="1:10">
      <c r="A25" s="512" t="s">
        <v>473</v>
      </c>
      <c r="B25" s="513">
        <v>-42990</v>
      </c>
      <c r="C25" s="513">
        <v>-26184</v>
      </c>
    </row>
    <row r="26" spans="1:10">
      <c r="A26" s="512" t="s">
        <v>474</v>
      </c>
      <c r="B26" s="513">
        <v>-1406</v>
      </c>
      <c r="C26" s="513">
        <v>-7179</v>
      </c>
    </row>
    <row r="27" spans="1:10">
      <c r="A27" s="512" t="s">
        <v>475</v>
      </c>
      <c r="B27" s="513">
        <v>-9812</v>
      </c>
      <c r="C27" s="513">
        <v>-8951</v>
      </c>
    </row>
    <row r="28" spans="1:10">
      <c r="A28" s="488" t="s">
        <v>457</v>
      </c>
      <c r="B28" s="505">
        <f>SUM(B21:B24)</f>
        <v>-492128</v>
      </c>
      <c r="C28" s="505">
        <f>SUM(C21:C24)</f>
        <v>-535439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AD89"/>
  <sheetViews>
    <sheetView showGridLines="0" zoomScale="85" zoomScaleNormal="85" workbookViewId="0">
      <pane xSplit="9" ySplit="7" topLeftCell="J53" activePane="bottomRight" state="frozen"/>
      <selection activeCell="H55" sqref="H55"/>
      <selection pane="topRight" activeCell="H55" sqref="H55"/>
      <selection pane="bottomLeft" activeCell="H55" sqref="H55"/>
      <selection pane="bottomRight" activeCell="I42" sqref="I42"/>
    </sheetView>
  </sheetViews>
  <sheetFormatPr defaultRowHeight="13.2" outlineLevelCol="1"/>
  <cols>
    <col min="1" max="1" width="1.88671875" customWidth="1"/>
    <col min="2" max="2" width="4.109375" customWidth="1"/>
    <col min="3" max="3" width="29.33203125" customWidth="1"/>
    <col min="4" max="4" width="3.33203125" customWidth="1"/>
    <col min="5" max="7" width="12.5546875" style="22" hidden="1" customWidth="1" outlineLevel="1"/>
    <col min="8" max="8" width="12.5546875" style="22" customWidth="1" outlineLevel="1"/>
    <col min="9" max="9" width="12.5546875" style="22" customWidth="1"/>
    <col min="10" max="15" width="12.5546875" customWidth="1"/>
    <col min="16" max="28" width="12.5546875" customWidth="1" outlineLevel="1"/>
    <col min="29" max="30" width="11.109375" customWidth="1" outlineLevel="1"/>
  </cols>
  <sheetData>
    <row r="1" spans="1:30">
      <c r="E1"/>
      <c r="F1"/>
      <c r="G1"/>
      <c r="H1"/>
      <c r="I1"/>
    </row>
    <row r="2" spans="1:30">
      <c r="E2"/>
      <c r="F2"/>
      <c r="G2"/>
      <c r="H2"/>
      <c r="I2"/>
    </row>
    <row r="3" spans="1:30">
      <c r="E3"/>
      <c r="F3"/>
      <c r="G3"/>
      <c r="H3"/>
      <c r="I3"/>
    </row>
    <row r="4" spans="1:30">
      <c r="E4"/>
      <c r="F4"/>
      <c r="G4"/>
      <c r="H4"/>
      <c r="I4"/>
    </row>
    <row r="5" spans="1:30">
      <c r="E5"/>
      <c r="F5"/>
      <c r="G5"/>
      <c r="H5"/>
      <c r="I5"/>
    </row>
    <row r="6" spans="1:30">
      <c r="E6"/>
      <c r="F6"/>
      <c r="G6"/>
      <c r="H6"/>
      <c r="I6"/>
    </row>
    <row r="7" spans="1:30" ht="16.2" thickBot="1">
      <c r="A7" s="226">
        <f>+A6+1</f>
        <v>1</v>
      </c>
      <c r="C7" s="17" t="s">
        <v>9</v>
      </c>
      <c r="D7" s="12"/>
      <c r="E7" s="1">
        <f>'Revenues, COGS &amp; SG&amp;A'!D7</f>
        <v>39447</v>
      </c>
      <c r="F7" s="1">
        <f>'Revenues, COGS &amp; SG&amp;A'!E7</f>
        <v>39813</v>
      </c>
      <c r="G7" s="1">
        <f>'Revenues, COGS &amp; SG&amp;A'!F7</f>
        <v>40178</v>
      </c>
      <c r="H7" s="1">
        <f>'Revenues, COGS &amp; SG&amp;A'!G7</f>
        <v>40543</v>
      </c>
      <c r="I7" s="1">
        <f>'Revenues, COGS &amp; SG&amp;A'!H7</f>
        <v>40908</v>
      </c>
      <c r="J7" s="1">
        <f>'Revenues, COGS &amp; SG&amp;A'!I7</f>
        <v>41274</v>
      </c>
      <c r="K7" s="1">
        <f>'Revenues, COGS &amp; SG&amp;A'!J7</f>
        <v>41639</v>
      </c>
      <c r="L7" s="1">
        <f>'Revenues, COGS &amp; SG&amp;A'!K7</f>
        <v>42004</v>
      </c>
      <c r="M7" s="1">
        <f>'Revenues, COGS &amp; SG&amp;A'!L7</f>
        <v>42369</v>
      </c>
      <c r="N7" s="1">
        <f>'Revenues, COGS &amp; SG&amp;A'!M7</f>
        <v>42735</v>
      </c>
      <c r="O7" s="1">
        <f>'Revenues, COGS &amp; SG&amp;A'!N7</f>
        <v>43100</v>
      </c>
      <c r="P7" s="1">
        <f>'Revenues, COGS &amp; SG&amp;A'!O7</f>
        <v>43465</v>
      </c>
      <c r="Q7" s="1">
        <f>'Revenues, COGS &amp; SG&amp;A'!P7</f>
        <v>43830</v>
      </c>
      <c r="R7" s="1">
        <f>'Revenues, COGS &amp; SG&amp;A'!Q7</f>
        <v>44196</v>
      </c>
      <c r="S7" s="1">
        <f>'Revenues, COGS &amp; SG&amp;A'!R7</f>
        <v>44561</v>
      </c>
      <c r="T7" s="1">
        <f>'Revenues, COGS &amp; SG&amp;A'!S7</f>
        <v>44926</v>
      </c>
      <c r="U7" s="1">
        <f>'Revenues, COGS &amp; SG&amp;A'!T7</f>
        <v>45291</v>
      </c>
      <c r="V7" s="1">
        <f>'Revenues, COGS &amp; SG&amp;A'!U7</f>
        <v>45657</v>
      </c>
      <c r="W7" s="1">
        <f>'Revenues, COGS &amp; SG&amp;A'!V7</f>
        <v>46022</v>
      </c>
      <c r="X7" s="1">
        <f>'Revenues, COGS &amp; SG&amp;A'!W7</f>
        <v>46387</v>
      </c>
      <c r="Y7" s="1">
        <f>'Revenues, COGS &amp; SG&amp;A'!X7</f>
        <v>46752</v>
      </c>
      <c r="Z7" s="1">
        <f>'Revenues, COGS &amp; SG&amp;A'!Y7</f>
        <v>47118</v>
      </c>
      <c r="AA7" s="1">
        <f>'Revenues, COGS &amp; SG&amp;A'!Z7</f>
        <v>47483</v>
      </c>
      <c r="AB7" s="1">
        <f>'Revenues, COGS &amp; SG&amp;A'!AA7</f>
        <v>47848</v>
      </c>
      <c r="AC7" s="1">
        <f>'Revenues, COGS &amp; SG&amp;A'!AB7</f>
        <v>48213</v>
      </c>
      <c r="AD7" s="1">
        <f>'Revenues, COGS &amp; SG&amp;A'!AC7</f>
        <v>48579</v>
      </c>
    </row>
    <row r="8" spans="1:30" ht="13.8" thickTop="1">
      <c r="A8" s="226">
        <f t="shared" ref="A8:A75" si="0">+A7+1</f>
        <v>2</v>
      </c>
      <c r="C8" s="41" t="s">
        <v>70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spans="1:30">
      <c r="A9" s="226">
        <f t="shared" si="0"/>
        <v>3</v>
      </c>
      <c r="E9"/>
      <c r="F9"/>
      <c r="G9"/>
      <c r="H9"/>
      <c r="I9"/>
    </row>
    <row r="10" spans="1:30">
      <c r="A10" s="226">
        <f t="shared" si="0"/>
        <v>4</v>
      </c>
      <c r="B10" s="13" t="s">
        <v>19</v>
      </c>
      <c r="C10" s="28" t="s">
        <v>22</v>
      </c>
      <c r="D10" s="26"/>
      <c r="E10" s="35">
        <f>'Revenues, COGS &amp; SG&amp;A'!D10</f>
        <v>0</v>
      </c>
      <c r="F10" s="35">
        <f>'Revenues, COGS &amp; SG&amp;A'!E10</f>
        <v>0</v>
      </c>
      <c r="G10" s="35">
        <f>'Revenues, COGS &amp; SG&amp;A'!F10</f>
        <v>0</v>
      </c>
      <c r="H10" s="35">
        <f>'Revenues, COGS &amp; SG&amp;A'!G10</f>
        <v>2434971</v>
      </c>
      <c r="I10" s="35">
        <f>'Revenues, COGS &amp; SG&amp;A'!H10</f>
        <v>2853511</v>
      </c>
      <c r="J10" s="35">
        <f>'Revenues, COGS &amp; SG&amp;A'!I10</f>
        <v>3068721.7350129713</v>
      </c>
      <c r="K10" s="35">
        <f>'Revenues, COGS &amp; SG&amp;A'!J10</f>
        <v>3352129.263562154</v>
      </c>
      <c r="L10" s="35">
        <f>'Revenues, COGS &amp; SG&amp;A'!K10</f>
        <v>3604529.7177357315</v>
      </c>
      <c r="M10" s="35">
        <f>'Revenues, COGS &amp; SG&amp;A'!L10</f>
        <v>3881886.116239564</v>
      </c>
      <c r="N10" s="35">
        <f>'Revenues, COGS &amp; SG&amp;A'!M10</f>
        <v>4190073.4428049237</v>
      </c>
      <c r="O10" s="35">
        <f>'Revenues, COGS &amp; SG&amp;A'!N10</f>
        <v>4520937.4662060812</v>
      </c>
      <c r="P10" s="35">
        <f>'Revenues, COGS &amp; SG&amp;A'!O10</f>
        <v>4881166.569797093</v>
      </c>
      <c r="Q10" s="35">
        <f>'Revenues, COGS &amp; SG&amp;A'!P10</f>
        <v>5270328.7306498839</v>
      </c>
      <c r="R10" s="35">
        <f>'Revenues, COGS &amp; SG&amp;A'!Q10</f>
        <v>5687296.3597034728</v>
      </c>
      <c r="S10" s="35">
        <f>'Revenues, COGS &amp; SG&amp;A'!R10</f>
        <v>6134863.5717666429</v>
      </c>
      <c r="T10" s="35">
        <f>'Revenues, COGS &amp; SG&amp;A'!S10</f>
        <v>6619428.2552587092</v>
      </c>
      <c r="U10" s="35">
        <f>'Revenues, COGS &amp; SG&amp;A'!T10</f>
        <v>7193663.6564024016</v>
      </c>
      <c r="V10" s="35">
        <f>'Revenues, COGS &amp; SG&amp;A'!U10</f>
        <v>7817713.978595309</v>
      </c>
      <c r="W10" s="35">
        <f>'Revenues, COGS &amp; SG&amp;A'!V10</f>
        <v>8495900.6662384514</v>
      </c>
      <c r="X10" s="35">
        <f>'Revenues, COGS &amp; SG&amp;A'!W10</f>
        <v>9232920.0490346365</v>
      </c>
      <c r="Y10" s="35">
        <f>'Revenues, COGS &amp; SG&amp;A'!X10</f>
        <v>10033875.86328839</v>
      </c>
      <c r="Z10" s="35">
        <f>'Revenues, COGS &amp; SG&amp;A'!Y10</f>
        <v>10904314.594428657</v>
      </c>
      <c r="AA10" s="35">
        <f>'Revenues, COGS &amp; SG&amp;A'!Z10</f>
        <v>11850263.88549534</v>
      </c>
      <c r="AB10" s="35">
        <f>'Revenues, COGS &amp; SG&amp;A'!AA10</f>
        <v>12878274.277562059</v>
      </c>
      <c r="AC10" s="35">
        <f>'Revenues, COGS &amp; SG&amp;A'!AB10</f>
        <v>12878274.277562059</v>
      </c>
      <c r="AD10" s="35">
        <f>'Revenues, COGS &amp; SG&amp;A'!AC10</f>
        <v>12878274.277562059</v>
      </c>
    </row>
    <row r="11" spans="1:30">
      <c r="A11" s="226">
        <f t="shared" si="0"/>
        <v>5</v>
      </c>
      <c r="B11" s="13"/>
      <c r="C11" s="19" t="s">
        <v>119</v>
      </c>
      <c r="E11" s="145"/>
      <c r="F11" s="145"/>
      <c r="G11" s="145"/>
      <c r="H11" s="145"/>
      <c r="I11" s="145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 spans="1:30">
      <c r="A12" s="226">
        <f t="shared" si="0"/>
        <v>6</v>
      </c>
      <c r="C12" s="19" t="s">
        <v>12</v>
      </c>
      <c r="E12" s="145"/>
      <c r="F12" s="145"/>
      <c r="G12" s="145"/>
      <c r="H12" s="145"/>
      <c r="I12" s="145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 spans="1:30">
      <c r="A13" s="226">
        <f t="shared" si="0"/>
        <v>7</v>
      </c>
      <c r="C13" s="19" t="s">
        <v>13</v>
      </c>
      <c r="E13" s="145"/>
      <c r="F13" s="145"/>
      <c r="G13" s="145"/>
      <c r="H13" s="145"/>
      <c r="I13" s="145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 spans="1:30">
      <c r="A14" s="226">
        <f t="shared" si="0"/>
        <v>8</v>
      </c>
      <c r="C14" s="19" t="s">
        <v>14</v>
      </c>
      <c r="E14" s="145"/>
      <c r="F14" s="145"/>
      <c r="G14" s="145"/>
      <c r="H14" s="145"/>
      <c r="I14" s="145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30">
      <c r="A15" s="226">
        <f t="shared" si="0"/>
        <v>9</v>
      </c>
      <c r="C15" s="19" t="s">
        <v>15</v>
      </c>
      <c r="E15" s="145"/>
      <c r="F15" s="145"/>
      <c r="G15" s="145"/>
      <c r="H15" s="145"/>
      <c r="I15" s="145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 spans="1:30" ht="7.5" customHeight="1">
      <c r="A16" s="226">
        <f t="shared" si="0"/>
        <v>10</v>
      </c>
      <c r="E16" s="72"/>
      <c r="F16" s="72"/>
      <c r="G16" s="72"/>
      <c r="H16" s="72"/>
      <c r="I16" s="72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 s="2" customFormat="1">
      <c r="A17" s="377">
        <f t="shared" si="0"/>
        <v>11</v>
      </c>
      <c r="B17" s="3" t="s">
        <v>17</v>
      </c>
      <c r="C17" s="2" t="s">
        <v>16</v>
      </c>
      <c r="E17" s="36"/>
      <c r="F17" s="36" t="e">
        <f>'Revenues, COGS &amp; SG&amp;A'!D23+'Revenues, COGS &amp; SG&amp;A'!#REF!</f>
        <v>#REF!</v>
      </c>
      <c r="G17" s="36" t="e">
        <f>'Revenues, COGS &amp; SG&amp;A'!E23+'Revenues, COGS &amp; SG&amp;A'!#REF!</f>
        <v>#REF!</v>
      </c>
      <c r="H17" s="36">
        <f t="shared" ref="H17" si="1">SUM(H18:H22)</f>
        <v>0</v>
      </c>
      <c r="I17" s="36">
        <f>SUM(I18:I22)</f>
        <v>0</v>
      </c>
      <c r="J17" s="36">
        <f>SUM(J18:J22)</f>
        <v>0</v>
      </c>
      <c r="K17" s="36">
        <f t="shared" ref="K17:AD17" si="2">SUM(K18:K22)</f>
        <v>0</v>
      </c>
      <c r="L17" s="36">
        <f t="shared" si="2"/>
        <v>0</v>
      </c>
      <c r="M17" s="36">
        <f t="shared" si="2"/>
        <v>0</v>
      </c>
      <c r="N17" s="36">
        <f t="shared" si="2"/>
        <v>0</v>
      </c>
      <c r="O17" s="36">
        <f t="shared" si="2"/>
        <v>0</v>
      </c>
      <c r="P17" s="36">
        <f t="shared" si="2"/>
        <v>0</v>
      </c>
      <c r="Q17" s="36">
        <f t="shared" si="2"/>
        <v>0</v>
      </c>
      <c r="R17" s="36">
        <f t="shared" si="2"/>
        <v>0</v>
      </c>
      <c r="S17" s="36">
        <f t="shared" si="2"/>
        <v>0</v>
      </c>
      <c r="T17" s="36">
        <f t="shared" si="2"/>
        <v>0</v>
      </c>
      <c r="U17" s="36">
        <f t="shared" si="2"/>
        <v>0</v>
      </c>
      <c r="V17" s="36">
        <f t="shared" si="2"/>
        <v>0</v>
      </c>
      <c r="W17" s="36">
        <f t="shared" si="2"/>
        <v>0</v>
      </c>
      <c r="X17" s="36">
        <f t="shared" si="2"/>
        <v>0</v>
      </c>
      <c r="Y17" s="36">
        <f t="shared" si="2"/>
        <v>0</v>
      </c>
      <c r="Z17" s="36">
        <f t="shared" si="2"/>
        <v>0</v>
      </c>
      <c r="AA17" s="36">
        <f t="shared" si="2"/>
        <v>0</v>
      </c>
      <c r="AB17" s="36">
        <f t="shared" si="2"/>
        <v>0</v>
      </c>
      <c r="AC17" s="36">
        <f t="shared" si="2"/>
        <v>0</v>
      </c>
      <c r="AD17" s="36">
        <f t="shared" si="2"/>
        <v>0</v>
      </c>
    </row>
    <row r="18" spans="1:30">
      <c r="A18" s="226">
        <f t="shared" si="0"/>
        <v>12</v>
      </c>
      <c r="B18" s="14"/>
      <c r="C18" s="403" t="s">
        <v>427</v>
      </c>
      <c r="E18" s="145"/>
      <c r="F18" s="145"/>
      <c r="G18" s="145"/>
      <c r="H18" s="145">
        <f>'Revenues, COGS &amp; SG&amp;A'!G23</f>
        <v>0</v>
      </c>
      <c r="I18" s="145">
        <f>'Revenues, COGS &amp; SG&amp;A'!H23</f>
        <v>0</v>
      </c>
      <c r="J18" s="5">
        <f>'Revenues, COGS &amp; SG&amp;A'!I23</f>
        <v>0</v>
      </c>
      <c r="K18" s="5">
        <f>'Revenues, COGS &amp; SG&amp;A'!J23</f>
        <v>0</v>
      </c>
      <c r="L18" s="5">
        <f>'Revenues, COGS &amp; SG&amp;A'!K23</f>
        <v>0</v>
      </c>
      <c r="M18" s="5">
        <f>'Revenues, COGS &amp; SG&amp;A'!L23</f>
        <v>0</v>
      </c>
      <c r="N18" s="5">
        <f>'Revenues, COGS &amp; SG&amp;A'!M23</f>
        <v>0</v>
      </c>
      <c r="O18" s="5">
        <f>'Revenues, COGS &amp; SG&amp;A'!N23</f>
        <v>0</v>
      </c>
      <c r="P18" s="5">
        <f>'Revenues, COGS &amp; SG&amp;A'!O23</f>
        <v>0</v>
      </c>
      <c r="Q18" s="5">
        <f>'Revenues, COGS &amp; SG&amp;A'!P23</f>
        <v>0</v>
      </c>
      <c r="R18" s="5">
        <f>'Revenues, COGS &amp; SG&amp;A'!Q23</f>
        <v>0</v>
      </c>
      <c r="S18" s="5">
        <f>'Revenues, COGS &amp; SG&amp;A'!R23</f>
        <v>0</v>
      </c>
      <c r="T18" s="5">
        <f>'Revenues, COGS &amp; SG&amp;A'!S23</f>
        <v>0</v>
      </c>
      <c r="U18" s="5">
        <f>'Revenues, COGS &amp; SG&amp;A'!T23</f>
        <v>0</v>
      </c>
      <c r="V18" s="5">
        <f>'Revenues, COGS &amp; SG&amp;A'!U23</f>
        <v>0</v>
      </c>
      <c r="W18" s="5">
        <f>'Revenues, COGS &amp; SG&amp;A'!V23</f>
        <v>0</v>
      </c>
      <c r="X18" s="5">
        <f>'Revenues, COGS &amp; SG&amp;A'!W23</f>
        <v>0</v>
      </c>
      <c r="Y18" s="5">
        <f>'Revenues, COGS &amp; SG&amp;A'!X23</f>
        <v>0</v>
      </c>
      <c r="Z18" s="5">
        <f>'Revenues, COGS &amp; SG&amp;A'!Y23</f>
        <v>0</v>
      </c>
      <c r="AA18" s="5">
        <f>'Revenues, COGS &amp; SG&amp;A'!Z23</f>
        <v>0</v>
      </c>
      <c r="AB18" s="5">
        <f>'Revenues, COGS &amp; SG&amp;A'!AA23</f>
        <v>0</v>
      </c>
      <c r="AC18" s="5">
        <f>'Revenues, COGS &amp; SG&amp;A'!AB23</f>
        <v>0</v>
      </c>
      <c r="AD18" s="5">
        <f>'Revenues, COGS &amp; SG&amp;A'!AC23</f>
        <v>0</v>
      </c>
    </row>
    <row r="19" spans="1:30">
      <c r="A19" s="226">
        <f t="shared" si="0"/>
        <v>13</v>
      </c>
      <c r="B19" s="14"/>
      <c r="C19" s="403" t="s">
        <v>428</v>
      </c>
      <c r="E19" s="145"/>
      <c r="F19" s="145"/>
      <c r="G19" s="145"/>
      <c r="H19" s="145">
        <f>'Revenues, COGS &amp; SG&amp;A'!G27</f>
        <v>0</v>
      </c>
      <c r="I19" s="145">
        <f>'Revenues, COGS &amp; SG&amp;A'!H27</f>
        <v>0</v>
      </c>
      <c r="J19" s="5">
        <f>'Revenues, COGS &amp; SG&amp;A'!I27</f>
        <v>0</v>
      </c>
      <c r="K19" s="5">
        <f>'Revenues, COGS &amp; SG&amp;A'!J27</f>
        <v>0</v>
      </c>
      <c r="L19" s="5">
        <f>'Revenues, COGS &amp; SG&amp;A'!K27</f>
        <v>0</v>
      </c>
      <c r="M19" s="5">
        <f>'Revenues, COGS &amp; SG&amp;A'!L27</f>
        <v>0</v>
      </c>
      <c r="N19" s="5">
        <f>'Revenues, COGS &amp; SG&amp;A'!M27</f>
        <v>0</v>
      </c>
      <c r="O19" s="5">
        <f>'Revenues, COGS &amp; SG&amp;A'!N27</f>
        <v>0</v>
      </c>
      <c r="P19" s="5">
        <f>'Revenues, COGS &amp; SG&amp;A'!O27</f>
        <v>0</v>
      </c>
      <c r="Q19" s="5">
        <f>'Revenues, COGS &amp; SG&amp;A'!P27</f>
        <v>0</v>
      </c>
      <c r="R19" s="5">
        <f>'Revenues, COGS &amp; SG&amp;A'!Q27</f>
        <v>0</v>
      </c>
      <c r="S19" s="5">
        <f>'Revenues, COGS &amp; SG&amp;A'!R27</f>
        <v>0</v>
      </c>
      <c r="T19" s="5">
        <f>'Revenues, COGS &amp; SG&amp;A'!S27</f>
        <v>0</v>
      </c>
      <c r="U19" s="5">
        <f>'Revenues, COGS &amp; SG&amp;A'!T27</f>
        <v>0</v>
      </c>
      <c r="V19" s="5">
        <f>'Revenues, COGS &amp; SG&amp;A'!U27</f>
        <v>0</v>
      </c>
      <c r="W19" s="5">
        <f>'Revenues, COGS &amp; SG&amp;A'!V27</f>
        <v>0</v>
      </c>
      <c r="X19" s="5">
        <f>'Revenues, COGS &amp; SG&amp;A'!W27</f>
        <v>0</v>
      </c>
      <c r="Y19" s="5">
        <f>'Revenues, COGS &amp; SG&amp;A'!X27</f>
        <v>0</v>
      </c>
      <c r="Z19" s="5">
        <f>'Revenues, COGS &amp; SG&amp;A'!Y27</f>
        <v>0</v>
      </c>
      <c r="AA19" s="5">
        <f>'Revenues, COGS &amp; SG&amp;A'!Z27</f>
        <v>0</v>
      </c>
      <c r="AB19" s="5">
        <f>'Revenues, COGS &amp; SG&amp;A'!AA27</f>
        <v>0</v>
      </c>
      <c r="AC19" s="5">
        <f>'Revenues, COGS &amp; SG&amp;A'!AB27</f>
        <v>0</v>
      </c>
      <c r="AD19" s="5">
        <f>'Revenues, COGS &amp; SG&amp;A'!AC27</f>
        <v>0</v>
      </c>
    </row>
    <row r="20" spans="1:30">
      <c r="A20" s="226">
        <f t="shared" si="0"/>
        <v>14</v>
      </c>
      <c r="B20" s="14"/>
      <c r="C20" s="19" t="s">
        <v>13</v>
      </c>
      <c r="E20" s="145"/>
      <c r="F20" s="145"/>
      <c r="G20" s="145"/>
      <c r="H20" s="145"/>
      <c r="I20" s="14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>
      <c r="A21" s="226"/>
      <c r="B21" s="14"/>
      <c r="C21" s="19" t="s">
        <v>14</v>
      </c>
      <c r="E21" s="145"/>
      <c r="F21" s="145"/>
      <c r="G21" s="145"/>
      <c r="H21" s="145"/>
      <c r="I21" s="14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>
      <c r="A22" s="226"/>
      <c r="B22" s="14"/>
      <c r="C22" s="19" t="s">
        <v>15</v>
      </c>
      <c r="E22" s="145"/>
      <c r="F22" s="145"/>
      <c r="G22" s="145"/>
      <c r="H22" s="145"/>
      <c r="I22" s="14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>
      <c r="A23" s="226">
        <f>+A20+1</f>
        <v>15</v>
      </c>
      <c r="E23" s="72"/>
      <c r="F23" s="72"/>
      <c r="G23" s="72"/>
      <c r="H23" s="72"/>
      <c r="I23" s="72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spans="1:30">
      <c r="A24" s="226">
        <f t="shared" si="0"/>
        <v>16</v>
      </c>
      <c r="B24" s="13" t="s">
        <v>18</v>
      </c>
      <c r="C24" s="28" t="s">
        <v>21</v>
      </c>
      <c r="D24" s="26"/>
      <c r="E24" s="35">
        <f>E10-E17</f>
        <v>0</v>
      </c>
      <c r="F24" s="35" t="e">
        <f>F10-F17</f>
        <v>#REF!</v>
      </c>
      <c r="G24" s="35" t="e">
        <f>G10-G17</f>
        <v>#REF!</v>
      </c>
      <c r="H24" s="35">
        <f>H10-H17</f>
        <v>2434971</v>
      </c>
      <c r="I24" s="35">
        <f>I10-I17</f>
        <v>2853511</v>
      </c>
      <c r="J24" s="35">
        <f t="shared" ref="J24:AB24" si="3">J10-J17</f>
        <v>3068721.7350129713</v>
      </c>
      <c r="K24" s="35">
        <f t="shared" si="3"/>
        <v>3352129.263562154</v>
      </c>
      <c r="L24" s="35">
        <f t="shared" si="3"/>
        <v>3604529.7177357315</v>
      </c>
      <c r="M24" s="35">
        <f t="shared" si="3"/>
        <v>3881886.116239564</v>
      </c>
      <c r="N24" s="35">
        <f t="shared" si="3"/>
        <v>4190073.4428049237</v>
      </c>
      <c r="O24" s="35">
        <f t="shared" si="3"/>
        <v>4520937.4662060812</v>
      </c>
      <c r="P24" s="35">
        <f t="shared" si="3"/>
        <v>4881166.569797093</v>
      </c>
      <c r="Q24" s="35">
        <f t="shared" si="3"/>
        <v>5270328.7306498839</v>
      </c>
      <c r="R24" s="35">
        <f t="shared" si="3"/>
        <v>5687296.3597034728</v>
      </c>
      <c r="S24" s="35">
        <f t="shared" si="3"/>
        <v>6134863.5717666429</v>
      </c>
      <c r="T24" s="35">
        <f t="shared" si="3"/>
        <v>6619428.2552587092</v>
      </c>
      <c r="U24" s="35">
        <f t="shared" si="3"/>
        <v>7193663.6564024016</v>
      </c>
      <c r="V24" s="35">
        <f t="shared" si="3"/>
        <v>7817713.978595309</v>
      </c>
      <c r="W24" s="35">
        <f t="shared" si="3"/>
        <v>8495900.6662384514</v>
      </c>
      <c r="X24" s="35">
        <f t="shared" si="3"/>
        <v>9232920.0490346365</v>
      </c>
      <c r="Y24" s="35">
        <f t="shared" si="3"/>
        <v>10033875.86328839</v>
      </c>
      <c r="Z24" s="35">
        <f t="shared" si="3"/>
        <v>10904314.594428657</v>
      </c>
      <c r="AA24" s="35">
        <f t="shared" si="3"/>
        <v>11850263.88549534</v>
      </c>
      <c r="AB24" s="35">
        <f t="shared" si="3"/>
        <v>12878274.277562059</v>
      </c>
      <c r="AC24" s="35">
        <f>AC10-AC17</f>
        <v>12878274.277562059</v>
      </c>
      <c r="AD24" s="35">
        <f>AD10-AD17</f>
        <v>12878274.277562059</v>
      </c>
    </row>
    <row r="25" spans="1:30" ht="7.5" customHeight="1">
      <c r="A25" s="226">
        <f t="shared" si="0"/>
        <v>17</v>
      </c>
      <c r="E25" s="72"/>
      <c r="F25" s="72"/>
      <c r="G25" s="72"/>
      <c r="H25" s="72"/>
      <c r="I25" s="72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0">
      <c r="A26" s="226">
        <f t="shared" si="0"/>
        <v>18</v>
      </c>
      <c r="B26" s="14" t="s">
        <v>17</v>
      </c>
      <c r="C26" s="16" t="s">
        <v>5</v>
      </c>
      <c r="E26" s="33">
        <f>'Revenues, COGS &amp; SG&amp;A'!D38</f>
        <v>0</v>
      </c>
      <c r="F26" s="33">
        <f>'Revenues, COGS &amp; SG&amp;A'!E38</f>
        <v>0</v>
      </c>
      <c r="G26" s="33">
        <f>'Revenues, COGS &amp; SG&amp;A'!F38</f>
        <v>0</v>
      </c>
      <c r="H26" s="33">
        <f>SUM(H27:H31)</f>
        <v>1897818</v>
      </c>
      <c r="I26" s="33">
        <f>SUM(I27:I31)</f>
        <v>2250776</v>
      </c>
      <c r="J26" s="33">
        <f t="shared" ref="J26:AD26" si="4">SUM(J27:J31)</f>
        <v>2425322.2757875966</v>
      </c>
      <c r="K26" s="33">
        <f t="shared" si="4"/>
        <v>2652824.3857947863</v>
      </c>
      <c r="L26" s="33">
        <f t="shared" si="4"/>
        <v>2825774.9285272355</v>
      </c>
      <c r="M26" s="33">
        <f t="shared" si="4"/>
        <v>3061587.3703190088</v>
      </c>
      <c r="N26" s="33">
        <f t="shared" si="4"/>
        <v>3356477.8982603401</v>
      </c>
      <c r="O26" s="33">
        <f t="shared" si="4"/>
        <v>3628553.8504518666</v>
      </c>
      <c r="P26" s="33">
        <f t="shared" si="4"/>
        <v>3924326.8517051614</v>
      </c>
      <c r="Q26" s="33">
        <f t="shared" si="4"/>
        <v>4140696.6150816083</v>
      </c>
      <c r="R26" s="33">
        <f t="shared" si="4"/>
        <v>4520362.8807474999</v>
      </c>
      <c r="S26" s="33">
        <f t="shared" si="4"/>
        <v>4848012.9360048929</v>
      </c>
      <c r="T26" s="33">
        <f t="shared" si="4"/>
        <v>5246086.4291975768</v>
      </c>
      <c r="U26" s="33">
        <f t="shared" si="4"/>
        <v>5692951.6282699732</v>
      </c>
      <c r="V26" s="33">
        <f t="shared" si="4"/>
        <v>6191288.6789945373</v>
      </c>
      <c r="W26" s="33">
        <f t="shared" si="4"/>
        <v>6725952.185480074</v>
      </c>
      <c r="X26" s="33">
        <f t="shared" si="4"/>
        <v>7310749.3661399363</v>
      </c>
      <c r="Y26" s="33">
        <f t="shared" si="4"/>
        <v>7944239.1684286408</v>
      </c>
      <c r="Z26" s="33">
        <f t="shared" si="4"/>
        <v>8633791.8993658796</v>
      </c>
      <c r="AA26" s="33">
        <f t="shared" si="4"/>
        <v>9382561.4395819176</v>
      </c>
      <c r="AB26" s="33">
        <f t="shared" si="4"/>
        <v>10196613.789461087</v>
      </c>
      <c r="AC26" s="33">
        <f t="shared" si="4"/>
        <v>10196556.216963368</v>
      </c>
      <c r="AD26" s="33">
        <f t="shared" si="4"/>
        <v>10196585.003212228</v>
      </c>
    </row>
    <row r="27" spans="1:30">
      <c r="A27" s="226">
        <f t="shared" si="0"/>
        <v>19</v>
      </c>
      <c r="B27" s="14"/>
      <c r="C27" s="19" t="s">
        <v>11</v>
      </c>
      <c r="E27" s="145"/>
      <c r="F27" s="145"/>
      <c r="G27" s="145"/>
      <c r="H27" s="145">
        <f>'Revenues, COGS &amp; SG&amp;A'!G38</f>
        <v>1897818</v>
      </c>
      <c r="I27" s="145">
        <f>'Revenues, COGS &amp; SG&amp;A'!H38</f>
        <v>2250776</v>
      </c>
      <c r="J27" s="29">
        <f>'Revenues, COGS &amp; SG&amp;A'!I38</f>
        <v>2425322.2757875966</v>
      </c>
      <c r="K27" s="29">
        <f>'Revenues, COGS &amp; SG&amp;A'!J38</f>
        <v>2652824.3857947863</v>
      </c>
      <c r="L27" s="29">
        <f>'Revenues, COGS &amp; SG&amp;A'!K38</f>
        <v>2825774.9285272355</v>
      </c>
      <c r="M27" s="29">
        <f>'Revenues, COGS &amp; SG&amp;A'!L38</f>
        <v>3061587.3703190088</v>
      </c>
      <c r="N27" s="29">
        <f>'Revenues, COGS &amp; SG&amp;A'!M38</f>
        <v>3356477.8982603401</v>
      </c>
      <c r="O27" s="29">
        <f>'Revenues, COGS &amp; SG&amp;A'!N38</f>
        <v>3628553.8504518666</v>
      </c>
      <c r="P27" s="29">
        <f>'Revenues, COGS &amp; SG&amp;A'!O38</f>
        <v>3924326.8517051614</v>
      </c>
      <c r="Q27" s="29">
        <f>'Revenues, COGS &amp; SG&amp;A'!P38</f>
        <v>4140696.6150816083</v>
      </c>
      <c r="R27" s="29">
        <f>'Revenues, COGS &amp; SG&amp;A'!Q38</f>
        <v>4520362.8807474999</v>
      </c>
      <c r="S27" s="29">
        <f>'Revenues, COGS &amp; SG&amp;A'!R38</f>
        <v>4848012.9360048929</v>
      </c>
      <c r="T27" s="29">
        <f>'Revenues, COGS &amp; SG&amp;A'!S38</f>
        <v>5246086.4291975768</v>
      </c>
      <c r="U27" s="29">
        <f>'Revenues, COGS &amp; SG&amp;A'!T38</f>
        <v>5692951.6282699732</v>
      </c>
      <c r="V27" s="29">
        <f>'Revenues, COGS &amp; SG&amp;A'!U38</f>
        <v>6191288.6789945373</v>
      </c>
      <c r="W27" s="29">
        <f>'Revenues, COGS &amp; SG&amp;A'!V38</f>
        <v>6725952.185480074</v>
      </c>
      <c r="X27" s="29">
        <f>'Revenues, COGS &amp; SG&amp;A'!W38</f>
        <v>7310749.3661399363</v>
      </c>
      <c r="Y27" s="29">
        <f>'Revenues, COGS &amp; SG&amp;A'!X38</f>
        <v>7944239.1684286408</v>
      </c>
      <c r="Z27" s="29">
        <f>'Revenues, COGS &amp; SG&amp;A'!Y38</f>
        <v>8633791.8993658796</v>
      </c>
      <c r="AA27" s="29">
        <f>'Revenues, COGS &amp; SG&amp;A'!Z38</f>
        <v>9382561.4395819176</v>
      </c>
      <c r="AB27" s="29">
        <f>'Revenues, COGS &amp; SG&amp;A'!AA38</f>
        <v>10196613.789461087</v>
      </c>
      <c r="AC27" s="29">
        <f>'Revenues, COGS &amp; SG&amp;A'!AB38</f>
        <v>10196556.216963368</v>
      </c>
      <c r="AD27" s="29">
        <f>'Revenues, COGS &amp; SG&amp;A'!AC38</f>
        <v>10196585.003212228</v>
      </c>
    </row>
    <row r="28" spans="1:30">
      <c r="A28" s="226">
        <f t="shared" si="0"/>
        <v>20</v>
      </c>
      <c r="B28" s="14"/>
      <c r="C28" s="19" t="s">
        <v>12</v>
      </c>
      <c r="E28" s="145"/>
      <c r="F28" s="145"/>
      <c r="G28" s="146"/>
      <c r="H28" s="146"/>
      <c r="I28" s="146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spans="1:30">
      <c r="A29" s="226">
        <f t="shared" si="0"/>
        <v>21</v>
      </c>
      <c r="B29" s="14"/>
      <c r="C29" s="19" t="s">
        <v>13</v>
      </c>
      <c r="E29" s="145"/>
      <c r="F29" s="145"/>
      <c r="G29" s="146"/>
      <c r="H29" s="146"/>
      <c r="I29" s="146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spans="1:30">
      <c r="A30" s="226">
        <f t="shared" si="0"/>
        <v>22</v>
      </c>
      <c r="B30" s="14"/>
      <c r="C30" s="19" t="s">
        <v>14</v>
      </c>
      <c r="E30" s="145"/>
      <c r="F30" s="145"/>
      <c r="G30" s="146"/>
      <c r="H30" s="146"/>
      <c r="I30" s="146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spans="1:30">
      <c r="A31" s="226">
        <f t="shared" si="0"/>
        <v>23</v>
      </c>
      <c r="B31" s="14"/>
      <c r="C31" s="19" t="s">
        <v>15</v>
      </c>
      <c r="E31" s="145"/>
      <c r="F31" s="145"/>
      <c r="G31" s="146"/>
      <c r="H31" s="146"/>
      <c r="I31" s="146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spans="1:30">
      <c r="A32" s="226">
        <f t="shared" si="0"/>
        <v>24</v>
      </c>
      <c r="E32" s="72"/>
      <c r="F32" s="72"/>
      <c r="G32" s="72"/>
      <c r="H32" s="72"/>
      <c r="I32" s="72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>
      <c r="A33" s="226">
        <f t="shared" si="0"/>
        <v>25</v>
      </c>
      <c r="B33" s="13" t="s">
        <v>18</v>
      </c>
      <c r="C33" s="28" t="s">
        <v>20</v>
      </c>
      <c r="D33" s="26"/>
      <c r="E33" s="35">
        <f>E24-E26</f>
        <v>0</v>
      </c>
      <c r="F33" s="35" t="e">
        <f t="shared" ref="F33:AB33" si="5">F24-F26</f>
        <v>#REF!</v>
      </c>
      <c r="G33" s="35" t="e">
        <f t="shared" si="5"/>
        <v>#REF!</v>
      </c>
      <c r="H33" s="35">
        <f t="shared" si="5"/>
        <v>537153</v>
      </c>
      <c r="I33" s="35">
        <f t="shared" si="5"/>
        <v>602735</v>
      </c>
      <c r="J33" s="35">
        <f t="shared" si="5"/>
        <v>643399.45922537474</v>
      </c>
      <c r="K33" s="35">
        <f t="shared" si="5"/>
        <v>699304.87776736775</v>
      </c>
      <c r="L33" s="35">
        <f t="shared" si="5"/>
        <v>778754.78920849599</v>
      </c>
      <c r="M33" s="35">
        <f t="shared" si="5"/>
        <v>820298.7459205552</v>
      </c>
      <c r="N33" s="35">
        <f t="shared" si="5"/>
        <v>833595.54454458365</v>
      </c>
      <c r="O33" s="35">
        <f t="shared" si="5"/>
        <v>892383.61575421458</v>
      </c>
      <c r="P33" s="35">
        <f t="shared" si="5"/>
        <v>956839.71809193166</v>
      </c>
      <c r="Q33" s="35">
        <f t="shared" si="5"/>
        <v>1129632.1155682756</v>
      </c>
      <c r="R33" s="35">
        <f t="shared" si="5"/>
        <v>1166933.4789559729</v>
      </c>
      <c r="S33" s="35">
        <f t="shared" si="5"/>
        <v>1286850.6357617499</v>
      </c>
      <c r="T33" s="35">
        <f t="shared" si="5"/>
        <v>1373341.8260611324</v>
      </c>
      <c r="U33" s="35">
        <f t="shared" si="5"/>
        <v>1500712.0281324284</v>
      </c>
      <c r="V33" s="35">
        <f t="shared" si="5"/>
        <v>1626425.2996007716</v>
      </c>
      <c r="W33" s="35">
        <f t="shared" si="5"/>
        <v>1769948.4807583774</v>
      </c>
      <c r="X33" s="35">
        <f t="shared" si="5"/>
        <v>1922170.6828947002</v>
      </c>
      <c r="Y33" s="35">
        <f t="shared" si="5"/>
        <v>2089636.6948597487</v>
      </c>
      <c r="Z33" s="35">
        <f t="shared" si="5"/>
        <v>2270522.695062777</v>
      </c>
      <c r="AA33" s="35">
        <f t="shared" si="5"/>
        <v>2467702.4459134229</v>
      </c>
      <c r="AB33" s="35">
        <f t="shared" si="5"/>
        <v>2681660.488100972</v>
      </c>
      <c r="AC33" s="35">
        <f>AC24-AC26</f>
        <v>2681718.0605986919</v>
      </c>
      <c r="AD33" s="35">
        <f>AD24-AD26</f>
        <v>2681689.274349831</v>
      </c>
    </row>
    <row r="34" spans="1:30" ht="6.75" customHeight="1">
      <c r="A34" s="226">
        <f t="shared" si="0"/>
        <v>26</v>
      </c>
      <c r="E34" s="72"/>
      <c r="F34" s="72"/>
      <c r="G34" s="72"/>
      <c r="H34" s="72"/>
      <c r="I34" s="72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spans="1:30">
      <c r="A35" s="226">
        <f t="shared" si="0"/>
        <v>27</v>
      </c>
      <c r="B35" s="14" t="s">
        <v>17</v>
      </c>
      <c r="C35" s="2" t="s">
        <v>4</v>
      </c>
      <c r="E35" s="33">
        <f>'Revenues, COGS &amp; SG&amp;A'!D48</f>
        <v>0</v>
      </c>
      <c r="F35" s="33">
        <f>'Revenues, COGS &amp; SG&amp;A'!E48</f>
        <v>0</v>
      </c>
      <c r="G35" s="33">
        <f>'Revenues, COGS &amp; SG&amp;A'!F48</f>
        <v>0</v>
      </c>
      <c r="H35" s="421">
        <f>SUM(H36:H40)</f>
        <v>492128</v>
      </c>
      <c r="I35" s="421">
        <f>SUM(I36:I40)</f>
        <v>535439</v>
      </c>
      <c r="J35" s="33">
        <f>SUM(J36:J40)</f>
        <v>575821.60961482557</v>
      </c>
      <c r="K35" s="33">
        <f>'Revenues, COGS &amp; SG&amp;A'!J48</f>
        <v>629000.81364762783</v>
      </c>
      <c r="L35" s="33">
        <f>'Revenues, COGS &amp; SG&amp;A'!K48</f>
        <v>676361.7829175014</v>
      </c>
      <c r="M35" s="33">
        <f>'Revenues, COGS &amp; SG&amp;A'!L48</f>
        <v>728405.53976949665</v>
      </c>
      <c r="N35" s="33">
        <f>'Revenues, COGS &amp; SG&amp;A'!M48</f>
        <v>786234.47890757234</v>
      </c>
      <c r="O35" s="33">
        <f>'Revenues, COGS &amp; SG&amp;A'!N48</f>
        <v>848318.52267887455</v>
      </c>
      <c r="P35" s="33">
        <f>'Revenues, COGS &amp; SG&amp;A'!O48</f>
        <v>915912.69385875354</v>
      </c>
      <c r="Q35" s="33">
        <f>'Revenues, COGS &amp; SG&amp;A'!P48</f>
        <v>988935.92672691413</v>
      </c>
      <c r="R35" s="33">
        <f>'Revenues, COGS &amp; SG&amp;A'!Q48</f>
        <v>1067176.6380235674</v>
      </c>
      <c r="S35" s="33">
        <f>'Revenues, COGS &amp; SG&amp;A'!R48</f>
        <v>1151159.121518424</v>
      </c>
      <c r="T35" s="33">
        <f>'Revenues, COGS &amp; SG&amp;A'!S48</f>
        <v>1242083.8908865142</v>
      </c>
      <c r="U35" s="33">
        <f>'Revenues, COGS &amp; SG&amp;A'!T48</f>
        <v>1349834.6684209192</v>
      </c>
      <c r="V35" s="33">
        <f>'Revenues, COGS &amp; SG&amp;A'!U48</f>
        <v>1466932.8259064339</v>
      </c>
      <c r="W35" s="33">
        <f ca="1">'Revenues, COGS &amp; SG&amp;A'!V48</f>
        <v>1470298.2161899216</v>
      </c>
      <c r="X35" s="33">
        <f ca="1">'Revenues, COGS &amp; SG&amp;A'!W48</f>
        <v>1606315.5127317323</v>
      </c>
      <c r="Y35" s="33">
        <f ca="1">'Revenues, COGS &amp; SG&amp;A'!X48</f>
        <v>1756207.3340101712</v>
      </c>
      <c r="Z35" s="33">
        <f ca="1">'Revenues, COGS &amp; SG&amp;A'!Y48</f>
        <v>1918760.5891966606</v>
      </c>
      <c r="AA35" s="33">
        <f ca="1">'Revenues, COGS &amp; SG&amp;A'!Z48</f>
        <v>2095642.3722615791</v>
      </c>
      <c r="AB35" s="33">
        <f ca="1">'Revenues, COGS &amp; SG&amp;A'!AA48</f>
        <v>2289053.3210898777</v>
      </c>
      <c r="AC35" s="33">
        <f ca="1">'Revenues, COGS &amp; SG&amp;A'!AB48</f>
        <v>2290848.5126937083</v>
      </c>
      <c r="AD35" s="33">
        <f ca="1">'Revenues, COGS &amp; SG&amp;A'!AC48</f>
        <v>2290070.2026961725</v>
      </c>
    </row>
    <row r="36" spans="1:30">
      <c r="A36" s="226">
        <f t="shared" si="0"/>
        <v>28</v>
      </c>
      <c r="C36" s="20" t="s">
        <v>11</v>
      </c>
      <c r="E36" s="145"/>
      <c r="F36" s="145"/>
      <c r="G36" s="145"/>
      <c r="H36" s="145">
        <f>'Revenues, COGS &amp; SG&amp;A'!G48</f>
        <v>492128</v>
      </c>
      <c r="I36" s="145">
        <f>'Revenues, COGS &amp; SG&amp;A'!H48</f>
        <v>535439</v>
      </c>
      <c r="J36" s="29">
        <f>'Revenues, COGS &amp; SG&amp;A'!I48</f>
        <v>575821.60961482557</v>
      </c>
      <c r="K36" s="29">
        <f>'Revenues, COGS &amp; SG&amp;A'!J48</f>
        <v>629000.81364762783</v>
      </c>
      <c r="L36" s="29">
        <f>'Revenues, COGS &amp; SG&amp;A'!K48</f>
        <v>676361.7829175014</v>
      </c>
      <c r="M36" s="29">
        <f>'Revenues, COGS &amp; SG&amp;A'!L48</f>
        <v>728405.53976949665</v>
      </c>
      <c r="N36" s="29">
        <f>'Revenues, COGS &amp; SG&amp;A'!M48</f>
        <v>786234.47890757234</v>
      </c>
      <c r="O36" s="29">
        <f>'Revenues, COGS &amp; SG&amp;A'!N48</f>
        <v>848318.52267887455</v>
      </c>
      <c r="P36" s="29">
        <f>'Revenues, COGS &amp; SG&amp;A'!O48</f>
        <v>915912.69385875354</v>
      </c>
      <c r="Q36" s="29">
        <f>'Revenues, COGS &amp; SG&amp;A'!P48</f>
        <v>988935.92672691413</v>
      </c>
      <c r="R36" s="29">
        <f>'Revenues, COGS &amp; SG&amp;A'!Q48</f>
        <v>1067176.6380235674</v>
      </c>
      <c r="S36" s="29">
        <f>'Revenues, COGS &amp; SG&amp;A'!R48</f>
        <v>1151159.121518424</v>
      </c>
      <c r="T36" s="29">
        <f>'Revenues, COGS &amp; SG&amp;A'!S48</f>
        <v>1242083.8908865142</v>
      </c>
      <c r="U36" s="29">
        <f>'Revenues, COGS &amp; SG&amp;A'!T48</f>
        <v>1349834.6684209192</v>
      </c>
      <c r="V36" s="29">
        <f>'Revenues, COGS &amp; SG&amp;A'!U48</f>
        <v>1466932.8259064339</v>
      </c>
      <c r="W36" s="29">
        <f ca="1">'Revenues, COGS &amp; SG&amp;A'!V48</f>
        <v>1470298.2161899216</v>
      </c>
      <c r="X36" s="29">
        <f ca="1">'Revenues, COGS &amp; SG&amp;A'!W48</f>
        <v>1606315.5127317323</v>
      </c>
      <c r="Y36" s="29">
        <f ca="1">'Revenues, COGS &amp; SG&amp;A'!X48</f>
        <v>1756207.3340101712</v>
      </c>
      <c r="Z36" s="29">
        <f ca="1">'Revenues, COGS &amp; SG&amp;A'!Y48</f>
        <v>1918760.5891966606</v>
      </c>
      <c r="AA36" s="29">
        <f ca="1">'Revenues, COGS &amp; SG&amp;A'!Z48</f>
        <v>2095642.3722615791</v>
      </c>
      <c r="AB36" s="29">
        <f ca="1">'Revenues, COGS &amp; SG&amp;A'!AA48</f>
        <v>2289053.3210898777</v>
      </c>
      <c r="AC36" s="29">
        <f ca="1">'Revenues, COGS &amp; SG&amp;A'!AB48</f>
        <v>2290848.5126937083</v>
      </c>
      <c r="AD36" s="29">
        <f ca="1">'Revenues, COGS &amp; SG&amp;A'!AC48</f>
        <v>2290070.2026961725</v>
      </c>
    </row>
    <row r="37" spans="1:30">
      <c r="A37" s="226">
        <f t="shared" si="0"/>
        <v>29</v>
      </c>
      <c r="C37" s="20" t="s">
        <v>12</v>
      </c>
      <c r="E37" s="145"/>
      <c r="F37" s="145"/>
      <c r="G37" s="146"/>
      <c r="H37" s="146"/>
      <c r="I37" s="146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>
      <c r="A38" s="226">
        <f t="shared" si="0"/>
        <v>30</v>
      </c>
      <c r="C38" s="20" t="s">
        <v>13</v>
      </c>
      <c r="E38" s="145"/>
      <c r="F38" s="145"/>
      <c r="G38" s="146"/>
      <c r="H38" s="146"/>
      <c r="I38" s="146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>
      <c r="A39" s="226">
        <f t="shared" si="0"/>
        <v>31</v>
      </c>
      <c r="C39" s="20" t="s">
        <v>14</v>
      </c>
      <c r="E39" s="145"/>
      <c r="F39" s="145"/>
      <c r="G39" s="146"/>
      <c r="H39" s="146"/>
      <c r="I39" s="146"/>
      <c r="J39" s="2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>
      <c r="A40" s="226">
        <f t="shared" si="0"/>
        <v>32</v>
      </c>
      <c r="C40" s="20" t="s">
        <v>15</v>
      </c>
      <c r="E40" s="145"/>
      <c r="F40" s="145"/>
      <c r="G40" s="146"/>
      <c r="H40" s="146"/>
      <c r="I40" s="146"/>
      <c r="J40" s="2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>
      <c r="A41" s="226">
        <f t="shared" si="0"/>
        <v>33</v>
      </c>
      <c r="E41" s="72"/>
      <c r="F41" s="72"/>
      <c r="G41" s="147"/>
      <c r="H41" s="147"/>
      <c r="I41" s="86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>
      <c r="A42" s="226">
        <f t="shared" ref="A42:A48" si="6">+A41+1</f>
        <v>34</v>
      </c>
      <c r="B42" s="13" t="s">
        <v>18</v>
      </c>
      <c r="C42" s="28" t="s">
        <v>23</v>
      </c>
      <c r="D42" s="26"/>
      <c r="E42" s="35">
        <f>E33-E35</f>
        <v>0</v>
      </c>
      <c r="F42" s="35" t="e">
        <f>F33-F35+F44</f>
        <v>#REF!</v>
      </c>
      <c r="G42" s="35" t="e">
        <f>G33-G35+G44</f>
        <v>#REF!</v>
      </c>
      <c r="H42" s="35">
        <f>H33-H36+H44</f>
        <v>82461</v>
      </c>
      <c r="I42" s="35">
        <f>I33-I36+I44</f>
        <v>115501</v>
      </c>
      <c r="J42" s="35">
        <f t="shared" ref="J42:AD42" ca="1" si="7">J33-J36+J44</f>
        <v>95584.449610549171</v>
      </c>
      <c r="K42" s="35">
        <f t="shared" ca="1" si="7"/>
        <v>118167.80697688277</v>
      </c>
      <c r="L42" s="35">
        <f t="shared" ca="1" si="7"/>
        <v>165665.85527058641</v>
      </c>
      <c r="M42" s="35">
        <f t="shared" ca="1" si="7"/>
        <v>164205.03355630636</v>
      </c>
      <c r="N42" s="35">
        <f t="shared" ca="1" si="7"/>
        <v>130003.15410015167</v>
      </c>
      <c r="O42" s="35">
        <f t="shared" ca="1" si="7"/>
        <v>138513.19417607188</v>
      </c>
      <c r="P42" s="35">
        <f t="shared" ca="1" si="7"/>
        <v>148867.71120544308</v>
      </c>
      <c r="Q42" s="35">
        <f t="shared" ca="1" si="7"/>
        <v>264056.9739525214</v>
      </c>
      <c r="R42" s="35">
        <f t="shared" ca="1" si="7"/>
        <v>220883.45248801695</v>
      </c>
      <c r="S42" s="35">
        <f t="shared" ca="1" si="7"/>
        <v>258712.82132728994</v>
      </c>
      <c r="T42" s="35">
        <f t="shared" ca="1" si="7"/>
        <v>262814.73627349245</v>
      </c>
      <c r="U42" s="35">
        <f t="shared" ca="1" si="7"/>
        <v>290897.72848090157</v>
      </c>
      <c r="V42" s="35">
        <f t="shared" ca="1" si="7"/>
        <v>279703.13965033757</v>
      </c>
      <c r="W42" s="35">
        <f t="shared" ca="1" si="7"/>
        <v>423541.29693235102</v>
      </c>
      <c r="X42" s="35">
        <f t="shared" ca="1" si="7"/>
        <v>442024.82329709601</v>
      </c>
      <c r="Y42" s="35">
        <f t="shared" ca="1" si="7"/>
        <v>460000.28084412968</v>
      </c>
      <c r="Z42" s="35">
        <f t="shared" ca="1" si="7"/>
        <v>479110.78420908877</v>
      </c>
      <c r="AA42" s="35">
        <f t="shared" ca="1" si="7"/>
        <v>500026.94788896001</v>
      </c>
      <c r="AB42" s="35">
        <f t="shared" ca="1" si="7"/>
        <v>520061.19455367373</v>
      </c>
      <c r="AC42" s="35">
        <f t="shared" ca="1" si="7"/>
        <v>516528.38384373271</v>
      </c>
      <c r="AD42" s="35">
        <f t="shared" ca="1" si="7"/>
        <v>518056.2175899432</v>
      </c>
    </row>
    <row r="43" spans="1:30" ht="6.75" customHeight="1">
      <c r="A43" s="226">
        <f t="shared" si="6"/>
        <v>35</v>
      </c>
      <c r="E43" s="72"/>
      <c r="F43" s="72"/>
      <c r="G43" s="72"/>
      <c r="H43" s="72"/>
      <c r="I43" s="72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>
      <c r="A44" s="226">
        <f t="shared" si="6"/>
        <v>36</v>
      </c>
      <c r="B44" s="14" t="s">
        <v>17</v>
      </c>
      <c r="C44" s="16" t="s">
        <v>24</v>
      </c>
      <c r="E44" s="145"/>
      <c r="F44" s="145">
        <v>4900</v>
      </c>
      <c r="G44" s="145">
        <v>2300</v>
      </c>
      <c r="H44" s="420">
        <f>'Revenues, COGS &amp; SG&amp;A'!G57</f>
        <v>37436</v>
      </c>
      <c r="I44" s="420">
        <f>'Revenues, COGS &amp; SG&amp;A'!H57</f>
        <v>48205</v>
      </c>
      <c r="J44" s="52">
        <f ca="1">'Fixed Assets &amp; CAPEX'!H28</f>
        <v>28006.6</v>
      </c>
      <c r="K44" s="52">
        <f ca="1">'Fixed Assets &amp; CAPEX'!I28</f>
        <v>47863.742857142854</v>
      </c>
      <c r="L44" s="52">
        <f ca="1">'Fixed Assets &amp; CAPEX'!J28</f>
        <v>63272.848979591829</v>
      </c>
      <c r="M44" s="52">
        <f ca="1">'Fixed Assets &amp; CAPEX'!K28</f>
        <v>72311.827405247808</v>
      </c>
      <c r="N44" s="52">
        <f ca="1">'Fixed Assets &amp; CAPEX'!L28</f>
        <v>82642.088463140361</v>
      </c>
      <c r="O44" s="52">
        <f ca="1">'Fixed Assets &amp; CAPEX'!M28</f>
        <v>94448.101100731845</v>
      </c>
      <c r="P44" s="52">
        <f ca="1">'Fixed Assets &amp; CAPEX'!N28</f>
        <v>107940.68697226496</v>
      </c>
      <c r="Q44" s="52">
        <f ca="1">'Fixed Assets &amp; CAPEX'!O28</f>
        <v>123360.78511115996</v>
      </c>
      <c r="R44" s="52">
        <f ca="1">'Fixed Assets &amp; CAPEX'!P28</f>
        <v>121126.61155561139</v>
      </c>
      <c r="S44" s="52">
        <f ca="1">'Fixed Assets &amp; CAPEX'!Q28</f>
        <v>123021.30708396403</v>
      </c>
      <c r="T44" s="52">
        <f ca="1">'Fixed Assets &amp; CAPEX'!R28</f>
        <v>131556.80109887433</v>
      </c>
      <c r="U44" s="52">
        <f ca="1">'Fixed Assets &amp; CAPEX'!S28</f>
        <v>140020.3687693924</v>
      </c>
      <c r="V44" s="52">
        <f ca="1">'Fixed Assets &amp; CAPEX'!T28</f>
        <v>120210.66595599982</v>
      </c>
      <c r="W44" s="52">
        <f ca="1">'Fixed Assets &amp; CAPEX'!U28</f>
        <v>123891.03236389525</v>
      </c>
      <c r="X44" s="52">
        <f ca="1">'Fixed Assets &amp; CAPEX'!V28</f>
        <v>126169.65313412815</v>
      </c>
      <c r="Y44" s="52">
        <f ca="1">'Fixed Assets &amp; CAPEX'!W28</f>
        <v>126570.9199945522</v>
      </c>
      <c r="Z44" s="52">
        <f ca="1">'Fixed Assets &amp; CAPEX'!X28</f>
        <v>127348.67834297231</v>
      </c>
      <c r="AA44" s="52">
        <f ca="1">'Fixed Assets &amp; CAPEX'!Y28</f>
        <v>127966.87423711634</v>
      </c>
      <c r="AB44" s="52">
        <f ca="1">'Fixed Assets &amp; CAPEX'!Z28</f>
        <v>127454.02754257948</v>
      </c>
      <c r="AC44" s="52">
        <f ca="1">'Fixed Assets &amp; CAPEX'!AA28</f>
        <v>125658.83593874906</v>
      </c>
      <c r="AD44" s="52">
        <f ca="1">'Fixed Assets &amp; CAPEX'!AB28</f>
        <v>126437.14593628468</v>
      </c>
    </row>
    <row r="45" spans="1:30" ht="6.75" customHeight="1">
      <c r="A45" s="226">
        <f t="shared" si="6"/>
        <v>37</v>
      </c>
      <c r="C45" s="16"/>
      <c r="E45" s="72"/>
      <c r="F45" s="72"/>
      <c r="G45" s="72"/>
      <c r="H45" s="72"/>
      <c r="I45" s="7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spans="1:30">
      <c r="A46" s="226">
        <f t="shared" si="6"/>
        <v>38</v>
      </c>
      <c r="B46" s="14" t="s">
        <v>17</v>
      </c>
      <c r="C46" s="16" t="s">
        <v>30</v>
      </c>
      <c r="E46" s="145"/>
      <c r="F46" s="145"/>
      <c r="G46" s="145"/>
      <c r="H46" s="145"/>
      <c r="I46" s="155"/>
      <c r="J46" s="52">
        <f>'Goodwill, Taxes &amp; Div.'!H31</f>
        <v>0</v>
      </c>
      <c r="K46" s="52">
        <f>'Goodwill, Taxes &amp; Div.'!I31</f>
        <v>0</v>
      </c>
      <c r="L46" s="52">
        <f>'Goodwill, Taxes &amp; Div.'!J31</f>
        <v>0</v>
      </c>
      <c r="M46" s="52">
        <f>'Goodwill, Taxes &amp; Div.'!K31</f>
        <v>0</v>
      </c>
      <c r="N46" s="52">
        <f>'Goodwill, Taxes &amp; Div.'!L31</f>
        <v>0</v>
      </c>
      <c r="O46" s="52">
        <f>'Goodwill, Taxes &amp; Div.'!M31</f>
        <v>0</v>
      </c>
      <c r="P46" s="52">
        <f>'Goodwill, Taxes &amp; Div.'!N31</f>
        <v>0</v>
      </c>
      <c r="Q46" s="52">
        <f>'Goodwill, Taxes &amp; Div.'!O31</f>
        <v>0</v>
      </c>
      <c r="R46" s="52">
        <f>'Goodwill, Taxes &amp; Div.'!P31</f>
        <v>0</v>
      </c>
      <c r="S46" s="52">
        <f>'Goodwill, Taxes &amp; Div.'!Q31</f>
        <v>0</v>
      </c>
      <c r="T46" s="52">
        <f>'Goodwill, Taxes &amp; Div.'!R31</f>
        <v>0</v>
      </c>
      <c r="U46" s="52">
        <f>'Goodwill, Taxes &amp; Div.'!S31</f>
        <v>0</v>
      </c>
      <c r="V46" s="52">
        <f>'Goodwill, Taxes &amp; Div.'!T31</f>
        <v>0</v>
      </c>
      <c r="W46" s="52">
        <f>'Goodwill, Taxes &amp; Div.'!U31</f>
        <v>0</v>
      </c>
      <c r="X46" s="52">
        <f>'Goodwill, Taxes &amp; Div.'!V31</f>
        <v>0</v>
      </c>
      <c r="Y46" s="52">
        <f>'Goodwill, Taxes &amp; Div.'!W31</f>
        <v>0</v>
      </c>
      <c r="Z46" s="52">
        <f>'Goodwill, Taxes &amp; Div.'!X31</f>
        <v>0</v>
      </c>
      <c r="AA46" s="52">
        <f>'Goodwill, Taxes &amp; Div.'!Y31</f>
        <v>0</v>
      </c>
      <c r="AB46" s="52">
        <f>'Goodwill, Taxes &amp; Div.'!Z31</f>
        <v>0</v>
      </c>
      <c r="AC46" s="52">
        <f>'Goodwill, Taxes &amp; Div.'!AA31</f>
        <v>0</v>
      </c>
      <c r="AD46" s="52">
        <f>'Goodwill, Taxes &amp; Div.'!AB31</f>
        <v>0</v>
      </c>
    </row>
    <row r="47" spans="1:30" ht="6.75" customHeight="1">
      <c r="A47" s="226">
        <f t="shared" si="6"/>
        <v>39</v>
      </c>
      <c r="C47" s="19"/>
      <c r="E47" s="72"/>
      <c r="F47" s="72"/>
      <c r="G47" s="72"/>
      <c r="H47" s="72"/>
      <c r="I47" s="7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spans="1:30">
      <c r="A48" s="226">
        <f t="shared" si="6"/>
        <v>40</v>
      </c>
      <c r="B48" s="13" t="s">
        <v>19</v>
      </c>
      <c r="C48" s="2" t="s">
        <v>63</v>
      </c>
      <c r="E48" s="33"/>
      <c r="F48" s="33"/>
      <c r="G48" s="33"/>
      <c r="H48" s="33">
        <f>SUM(H49:H51)</f>
        <v>0</v>
      </c>
      <c r="I48" s="33">
        <f>SUM(I49:I51)</f>
        <v>0</v>
      </c>
      <c r="J48" s="33">
        <f t="shared" ref="J48:AD48" si="8">SUM(J49:J51)</f>
        <v>0</v>
      </c>
      <c r="K48" s="33">
        <f t="shared" si="8"/>
        <v>0</v>
      </c>
      <c r="L48" s="33">
        <f t="shared" si="8"/>
        <v>0</v>
      </c>
      <c r="M48" s="33">
        <f t="shared" si="8"/>
        <v>0</v>
      </c>
      <c r="N48" s="33">
        <f t="shared" si="8"/>
        <v>0</v>
      </c>
      <c r="O48" s="33">
        <f t="shared" si="8"/>
        <v>0</v>
      </c>
      <c r="P48" s="33">
        <f t="shared" si="8"/>
        <v>0</v>
      </c>
      <c r="Q48" s="33">
        <f t="shared" si="8"/>
        <v>0</v>
      </c>
      <c r="R48" s="33">
        <f t="shared" si="8"/>
        <v>0</v>
      </c>
      <c r="S48" s="33">
        <f t="shared" si="8"/>
        <v>0</v>
      </c>
      <c r="T48" s="33">
        <f t="shared" si="8"/>
        <v>0</v>
      </c>
      <c r="U48" s="33">
        <f t="shared" si="8"/>
        <v>0</v>
      </c>
      <c r="V48" s="33">
        <f t="shared" si="8"/>
        <v>0</v>
      </c>
      <c r="W48" s="33">
        <f t="shared" si="8"/>
        <v>0</v>
      </c>
      <c r="X48" s="33">
        <f t="shared" si="8"/>
        <v>0</v>
      </c>
      <c r="Y48" s="33">
        <f t="shared" si="8"/>
        <v>0</v>
      </c>
      <c r="Z48" s="33">
        <f t="shared" si="8"/>
        <v>0</v>
      </c>
      <c r="AA48" s="33">
        <f t="shared" si="8"/>
        <v>0</v>
      </c>
      <c r="AB48" s="33">
        <f t="shared" si="8"/>
        <v>0</v>
      </c>
      <c r="AC48" s="33">
        <f t="shared" si="8"/>
        <v>0</v>
      </c>
      <c r="AD48" s="33">
        <f t="shared" si="8"/>
        <v>0</v>
      </c>
    </row>
    <row r="49" spans="1:30">
      <c r="A49" s="226">
        <f t="shared" si="0"/>
        <v>41</v>
      </c>
      <c r="C49" s="19" t="s">
        <v>11</v>
      </c>
      <c r="E49" s="145"/>
      <c r="F49" s="145"/>
      <c r="G49" s="145"/>
      <c r="H49" s="145"/>
      <c r="I49" s="155"/>
      <c r="J49" s="52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>
      <c r="A50" s="226">
        <f t="shared" si="0"/>
        <v>42</v>
      </c>
      <c r="C50" s="19" t="s">
        <v>12</v>
      </c>
      <c r="E50" s="145"/>
      <c r="F50" s="145"/>
      <c r="G50" s="145"/>
      <c r="H50" s="145"/>
      <c r="I50" s="155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 spans="1:30">
      <c r="A51" s="226">
        <f t="shared" si="0"/>
        <v>43</v>
      </c>
      <c r="C51" s="19" t="s">
        <v>13</v>
      </c>
      <c r="E51" s="145"/>
      <c r="F51" s="145"/>
      <c r="G51" s="145"/>
      <c r="H51" s="145"/>
      <c r="I51" s="155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 spans="1:30" ht="6.75" customHeight="1">
      <c r="A52" s="226">
        <f t="shared" si="0"/>
        <v>44</v>
      </c>
      <c r="E52" s="72"/>
      <c r="F52" s="72"/>
      <c r="G52" s="72"/>
      <c r="H52" s="72"/>
      <c r="I52" s="72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spans="1:30">
      <c r="A53" s="226">
        <f t="shared" si="0"/>
        <v>45</v>
      </c>
      <c r="B53" s="14" t="s">
        <v>19</v>
      </c>
      <c r="C53" s="2" t="s">
        <v>31</v>
      </c>
      <c r="E53" s="33"/>
      <c r="F53" s="33"/>
      <c r="G53" s="33"/>
      <c r="H53" s="33"/>
      <c r="I53" s="33">
        <f>I54+I57</f>
        <v>0</v>
      </c>
      <c r="J53" s="33">
        <f t="shared" ref="J53:AD53" si="9">J54+J57</f>
        <v>0</v>
      </c>
      <c r="K53" s="33">
        <f t="shared" si="9"/>
        <v>0</v>
      </c>
      <c r="L53" s="33">
        <f t="shared" si="9"/>
        <v>0</v>
      </c>
      <c r="M53" s="33">
        <f t="shared" si="9"/>
        <v>0</v>
      </c>
      <c r="N53" s="33">
        <f t="shared" si="9"/>
        <v>0</v>
      </c>
      <c r="O53" s="33">
        <f t="shared" si="9"/>
        <v>0</v>
      </c>
      <c r="P53" s="33">
        <f t="shared" si="9"/>
        <v>0</v>
      </c>
      <c r="Q53" s="33">
        <f t="shared" si="9"/>
        <v>0</v>
      </c>
      <c r="R53" s="33">
        <f t="shared" si="9"/>
        <v>0</v>
      </c>
      <c r="S53" s="33">
        <f t="shared" si="9"/>
        <v>0</v>
      </c>
      <c r="T53" s="33">
        <f t="shared" si="9"/>
        <v>0</v>
      </c>
      <c r="U53" s="33">
        <f t="shared" si="9"/>
        <v>0</v>
      </c>
      <c r="V53" s="33">
        <f t="shared" si="9"/>
        <v>0</v>
      </c>
      <c r="W53" s="33">
        <f t="shared" si="9"/>
        <v>0</v>
      </c>
      <c r="X53" s="33">
        <f t="shared" si="9"/>
        <v>0</v>
      </c>
      <c r="Y53" s="33">
        <f t="shared" si="9"/>
        <v>0</v>
      </c>
      <c r="Z53" s="33">
        <f t="shared" si="9"/>
        <v>0</v>
      </c>
      <c r="AA53" s="33">
        <f t="shared" si="9"/>
        <v>0</v>
      </c>
      <c r="AB53" s="33">
        <f t="shared" si="9"/>
        <v>0</v>
      </c>
      <c r="AC53" s="33">
        <f t="shared" si="9"/>
        <v>0</v>
      </c>
      <c r="AD53" s="33">
        <f t="shared" si="9"/>
        <v>0</v>
      </c>
    </row>
    <row r="54" spans="1:30">
      <c r="A54" s="226">
        <f t="shared" si="0"/>
        <v>46</v>
      </c>
      <c r="C54" s="19" t="s">
        <v>32</v>
      </c>
      <c r="E54" s="33"/>
      <c r="F54" s="33"/>
      <c r="G54" s="33"/>
      <c r="H54" s="33"/>
      <c r="I54" s="33">
        <f>SUM(I55:I56)</f>
        <v>0</v>
      </c>
      <c r="J54" s="33">
        <f t="shared" ref="J54:AD54" si="10">SUM(J55:J56)</f>
        <v>0</v>
      </c>
      <c r="K54" s="33">
        <f t="shared" si="10"/>
        <v>0</v>
      </c>
      <c r="L54" s="33">
        <f t="shared" si="10"/>
        <v>0</v>
      </c>
      <c r="M54" s="33">
        <f t="shared" si="10"/>
        <v>0</v>
      </c>
      <c r="N54" s="33">
        <f t="shared" si="10"/>
        <v>0</v>
      </c>
      <c r="O54" s="33">
        <f t="shared" si="10"/>
        <v>0</v>
      </c>
      <c r="P54" s="33">
        <f t="shared" si="10"/>
        <v>0</v>
      </c>
      <c r="Q54" s="33">
        <f t="shared" si="10"/>
        <v>0</v>
      </c>
      <c r="R54" s="33">
        <f t="shared" si="10"/>
        <v>0</v>
      </c>
      <c r="S54" s="33">
        <f t="shared" si="10"/>
        <v>0</v>
      </c>
      <c r="T54" s="33">
        <f t="shared" si="10"/>
        <v>0</v>
      </c>
      <c r="U54" s="33">
        <f t="shared" si="10"/>
        <v>0</v>
      </c>
      <c r="V54" s="33">
        <f t="shared" si="10"/>
        <v>0</v>
      </c>
      <c r="W54" s="33">
        <f t="shared" si="10"/>
        <v>0</v>
      </c>
      <c r="X54" s="33">
        <f t="shared" si="10"/>
        <v>0</v>
      </c>
      <c r="Y54" s="33">
        <f t="shared" si="10"/>
        <v>0</v>
      </c>
      <c r="Z54" s="33">
        <f t="shared" si="10"/>
        <v>0</v>
      </c>
      <c r="AA54" s="33">
        <f t="shared" si="10"/>
        <v>0</v>
      </c>
      <c r="AB54" s="33">
        <f t="shared" si="10"/>
        <v>0</v>
      </c>
      <c r="AC54" s="33">
        <f t="shared" si="10"/>
        <v>0</v>
      </c>
      <c r="AD54" s="33">
        <f t="shared" si="10"/>
        <v>0</v>
      </c>
    </row>
    <row r="55" spans="1:30">
      <c r="A55" s="226">
        <f t="shared" si="0"/>
        <v>47</v>
      </c>
      <c r="C55" s="21" t="s">
        <v>251</v>
      </c>
      <c r="E55" s="145"/>
      <c r="F55" s="145"/>
      <c r="G55" s="145"/>
      <c r="H55" s="420"/>
      <c r="I55" s="420"/>
      <c r="J55" s="29">
        <f>-'ST Inv. &amp; Debt'!H345</f>
        <v>0</v>
      </c>
      <c r="K55" s="29">
        <f>-'ST Inv. &amp; Debt'!I345</f>
        <v>0</v>
      </c>
      <c r="L55" s="29">
        <f>-'ST Inv. &amp; Debt'!J345</f>
        <v>0</v>
      </c>
      <c r="M55" s="29">
        <f>-'ST Inv. &amp; Debt'!K345</f>
        <v>0</v>
      </c>
      <c r="N55" s="29">
        <f>-'ST Inv. &amp; Debt'!L345</f>
        <v>0</v>
      </c>
      <c r="O55" s="29">
        <f>-'ST Inv. &amp; Debt'!M345</f>
        <v>0</v>
      </c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spans="1:30">
      <c r="A56" s="226">
        <f t="shared" si="0"/>
        <v>48</v>
      </c>
      <c r="C56" s="21" t="s">
        <v>12</v>
      </c>
      <c r="E56" s="145"/>
      <c r="F56" s="145"/>
      <c r="G56" s="145"/>
      <c r="H56" s="145"/>
      <c r="I56" s="155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 spans="1:30">
      <c r="A57" s="226">
        <f t="shared" si="0"/>
        <v>49</v>
      </c>
      <c r="C57" s="19" t="s">
        <v>33</v>
      </c>
      <c r="E57" s="33"/>
      <c r="F57" s="33"/>
      <c r="G57" s="33"/>
      <c r="H57" s="33"/>
      <c r="I57" s="33">
        <f>SUM(I58:I59)</f>
        <v>0</v>
      </c>
      <c r="J57" s="33">
        <f t="shared" ref="J57:AD57" si="11">SUM(J58:J59)</f>
        <v>0</v>
      </c>
      <c r="K57" s="33">
        <f t="shared" si="11"/>
        <v>0</v>
      </c>
      <c r="L57" s="33">
        <f t="shared" si="11"/>
        <v>0</v>
      </c>
      <c r="M57" s="33">
        <f t="shared" si="11"/>
        <v>0</v>
      </c>
      <c r="N57" s="33">
        <f t="shared" si="11"/>
        <v>0</v>
      </c>
      <c r="O57" s="33">
        <f t="shared" si="11"/>
        <v>0</v>
      </c>
      <c r="P57" s="33">
        <f t="shared" si="11"/>
        <v>0</v>
      </c>
      <c r="Q57" s="33">
        <f t="shared" si="11"/>
        <v>0</v>
      </c>
      <c r="R57" s="33">
        <f t="shared" si="11"/>
        <v>0</v>
      </c>
      <c r="S57" s="33">
        <f t="shared" si="11"/>
        <v>0</v>
      </c>
      <c r="T57" s="33">
        <f t="shared" si="11"/>
        <v>0</v>
      </c>
      <c r="U57" s="33">
        <f t="shared" si="11"/>
        <v>0</v>
      </c>
      <c r="V57" s="33">
        <f t="shared" si="11"/>
        <v>0</v>
      </c>
      <c r="W57" s="33">
        <f t="shared" si="11"/>
        <v>0</v>
      </c>
      <c r="X57" s="33">
        <f t="shared" si="11"/>
        <v>0</v>
      </c>
      <c r="Y57" s="33">
        <f t="shared" si="11"/>
        <v>0</v>
      </c>
      <c r="Z57" s="33">
        <f t="shared" si="11"/>
        <v>0</v>
      </c>
      <c r="AA57" s="33">
        <f t="shared" si="11"/>
        <v>0</v>
      </c>
      <c r="AB57" s="33">
        <f t="shared" si="11"/>
        <v>0</v>
      </c>
      <c r="AC57" s="33">
        <f t="shared" si="11"/>
        <v>0</v>
      </c>
      <c r="AD57" s="33">
        <f t="shared" si="11"/>
        <v>0</v>
      </c>
    </row>
    <row r="58" spans="1:30">
      <c r="A58" s="226">
        <f t="shared" si="0"/>
        <v>50</v>
      </c>
      <c r="C58" s="21" t="s">
        <v>251</v>
      </c>
      <c r="E58" s="145"/>
      <c r="F58" s="145"/>
      <c r="G58" s="145"/>
      <c r="H58" s="420"/>
      <c r="I58" s="420"/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  <c r="AC58" s="29">
        <v>0</v>
      </c>
      <c r="AD58" s="29">
        <v>0</v>
      </c>
    </row>
    <row r="59" spans="1:30">
      <c r="A59" s="226">
        <f t="shared" si="0"/>
        <v>51</v>
      </c>
      <c r="C59" s="21" t="s">
        <v>12</v>
      </c>
      <c r="E59" s="145"/>
      <c r="F59" s="145"/>
      <c r="G59" s="145"/>
      <c r="H59" s="145"/>
      <c r="I59" s="155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 spans="1:30">
      <c r="A60" s="226">
        <f t="shared" si="0"/>
        <v>52</v>
      </c>
      <c r="E60" s="33"/>
      <c r="F60" s="72"/>
      <c r="G60" s="72"/>
      <c r="H60" s="72"/>
      <c r="I60" s="72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 spans="1:30">
      <c r="A61" s="226">
        <f>+A60+1</f>
        <v>53</v>
      </c>
      <c r="B61" s="13" t="s">
        <v>18</v>
      </c>
      <c r="C61" s="28" t="s">
        <v>28</v>
      </c>
      <c r="D61" s="26"/>
      <c r="E61" s="32">
        <f>E33-E35</f>
        <v>0</v>
      </c>
      <c r="F61" s="32" t="e">
        <f>F42-F44</f>
        <v>#REF!</v>
      </c>
      <c r="G61" s="32" t="e">
        <f>G42-G44</f>
        <v>#REF!</v>
      </c>
      <c r="H61" s="32">
        <f>H42-H44+H48</f>
        <v>45025</v>
      </c>
      <c r="I61" s="32">
        <f>I42-I44+I48</f>
        <v>67296</v>
      </c>
      <c r="J61" s="32">
        <f ca="1">J42-J44</f>
        <v>67577.849610549165</v>
      </c>
      <c r="K61" s="32">
        <f t="shared" ref="K61:AD61" ca="1" si="12">K42-K44</f>
        <v>70304.064119739924</v>
      </c>
      <c r="L61" s="32">
        <f t="shared" ca="1" si="12"/>
        <v>102393.00629099458</v>
      </c>
      <c r="M61" s="32">
        <f t="shared" ca="1" si="12"/>
        <v>91893.206151058548</v>
      </c>
      <c r="N61" s="32">
        <f t="shared" ca="1" si="12"/>
        <v>47361.065637011314</v>
      </c>
      <c r="O61" s="32">
        <f t="shared" ca="1" si="12"/>
        <v>44065.093075340032</v>
      </c>
      <c r="P61" s="32">
        <f t="shared" ca="1" si="12"/>
        <v>40927.024233178119</v>
      </c>
      <c r="Q61" s="32">
        <f t="shared" ca="1" si="12"/>
        <v>140696.18884136144</v>
      </c>
      <c r="R61" s="32">
        <f t="shared" ca="1" si="12"/>
        <v>99756.840932405554</v>
      </c>
      <c r="S61" s="32">
        <f t="shared" ca="1" si="12"/>
        <v>135691.51424332592</v>
      </c>
      <c r="T61" s="32">
        <f t="shared" ca="1" si="12"/>
        <v>131257.93517461812</v>
      </c>
      <c r="U61" s="32">
        <f t="shared" ca="1" si="12"/>
        <v>150877.35971150917</v>
      </c>
      <c r="V61" s="32">
        <f t="shared" ca="1" si="12"/>
        <v>159492.47369433776</v>
      </c>
      <c r="W61" s="32">
        <f t="shared" ca="1" si="12"/>
        <v>299650.26456845575</v>
      </c>
      <c r="X61" s="32">
        <f t="shared" ca="1" si="12"/>
        <v>315855.17016296787</v>
      </c>
      <c r="Y61" s="32">
        <f t="shared" ca="1" si="12"/>
        <v>333429.36084957747</v>
      </c>
      <c r="Z61" s="32">
        <f t="shared" ca="1" si="12"/>
        <v>351762.10586611647</v>
      </c>
      <c r="AA61" s="32">
        <f t="shared" ca="1" si="12"/>
        <v>372060.0736518437</v>
      </c>
      <c r="AB61" s="32">
        <f t="shared" ca="1" si="12"/>
        <v>392607.16701109428</v>
      </c>
      <c r="AC61" s="32">
        <f t="shared" ca="1" si="12"/>
        <v>390869.54790498363</v>
      </c>
      <c r="AD61" s="32">
        <f t="shared" ca="1" si="12"/>
        <v>391619.07165365852</v>
      </c>
    </row>
    <row r="62" spans="1:30" ht="7.5" customHeight="1">
      <c r="A62" s="226">
        <f>+A61+1</f>
        <v>54</v>
      </c>
      <c r="E62" s="72"/>
      <c r="F62" s="72"/>
      <c r="G62" s="72"/>
      <c r="H62" s="72"/>
      <c r="I62" s="72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 spans="1:30" s="2" customFormat="1">
      <c r="A63" s="377">
        <f>+A62+1</f>
        <v>55</v>
      </c>
      <c r="B63" s="379" t="s">
        <v>19</v>
      </c>
      <c r="C63" s="2" t="s">
        <v>27</v>
      </c>
      <c r="E63" s="36"/>
      <c r="F63" s="36">
        <f t="shared" ref="F63:AD63" si="13">SUM(F64:F67)</f>
        <v>-1200</v>
      </c>
      <c r="G63" s="36">
        <f t="shared" si="13"/>
        <v>-1537</v>
      </c>
      <c r="H63" s="360">
        <f>SUM(H64:H67)</f>
        <v>-8704</v>
      </c>
      <c r="I63" s="360">
        <f>SUM(I64:I67)</f>
        <v>-4478</v>
      </c>
      <c r="J63" s="31">
        <f t="shared" si="13"/>
        <v>-37318.913779791204</v>
      </c>
      <c r="K63" s="31">
        <f t="shared" ca="1" si="13"/>
        <v>-34866.914545991778</v>
      </c>
      <c r="L63" s="31">
        <f t="shared" ca="1" si="13"/>
        <v>-41752.272975686763</v>
      </c>
      <c r="M63" s="31">
        <f t="shared" ca="1" si="13"/>
        <v>-39709.037147461488</v>
      </c>
      <c r="N63" s="31">
        <f t="shared" ca="1" si="13"/>
        <v>-38526.545013770025</v>
      </c>
      <c r="O63" s="31">
        <f t="shared" ca="1" si="13"/>
        <v>-44102.340221149869</v>
      </c>
      <c r="P63" s="31">
        <f t="shared" ca="1" si="13"/>
        <v>-47823.728200449717</v>
      </c>
      <c r="Q63" s="31">
        <f t="shared" ca="1" si="13"/>
        <v>-53718.068232881029</v>
      </c>
      <c r="R63" s="31">
        <f t="shared" ca="1" si="13"/>
        <v>-47260.60410109767</v>
      </c>
      <c r="S63" s="31">
        <f t="shared" ca="1" si="13"/>
        <v>-45039.245997466474</v>
      </c>
      <c r="T63" s="31">
        <f t="shared" ca="1" si="13"/>
        <v>-39698.518612942156</v>
      </c>
      <c r="U63" s="31" t="e">
        <f t="shared" ca="1" si="13"/>
        <v>#VALUE!</v>
      </c>
      <c r="V63" s="31" t="e">
        <f t="shared" ca="1" si="13"/>
        <v>#VALUE!</v>
      </c>
      <c r="W63" s="31" t="e">
        <f t="shared" ca="1" si="13"/>
        <v>#VALUE!</v>
      </c>
      <c r="X63" s="31" t="e">
        <f t="shared" ca="1" si="13"/>
        <v>#VALUE!</v>
      </c>
      <c r="Y63" s="31" t="e">
        <f t="shared" ca="1" si="13"/>
        <v>#VALUE!</v>
      </c>
      <c r="Z63" s="31" t="e">
        <f t="shared" ca="1" si="13"/>
        <v>#VALUE!</v>
      </c>
      <c r="AA63" s="31" t="e">
        <f t="shared" ca="1" si="13"/>
        <v>#VALUE!</v>
      </c>
      <c r="AB63" s="31" t="e">
        <f t="shared" ca="1" si="13"/>
        <v>#VALUE!</v>
      </c>
      <c r="AC63" s="31" t="e">
        <f t="shared" ca="1" si="13"/>
        <v>#VALUE!</v>
      </c>
      <c r="AD63" s="31" t="e">
        <f t="shared" ca="1" si="13"/>
        <v>#DIV/0!</v>
      </c>
    </row>
    <row r="64" spans="1:30">
      <c r="A64" s="226">
        <f t="shared" si="0"/>
        <v>56</v>
      </c>
      <c r="C64" s="19" t="s">
        <v>25</v>
      </c>
      <c r="E64" s="145"/>
      <c r="F64" s="145">
        <v>-1200</v>
      </c>
      <c r="G64" s="145">
        <v>-1537</v>
      </c>
      <c r="H64" s="420">
        <v>-35147</v>
      </c>
      <c r="I64" s="420">
        <v>-40962</v>
      </c>
      <c r="J64" s="29">
        <f>'ST Inv. &amp; Debt'!H20</f>
        <v>-52413.041772111283</v>
      </c>
      <c r="K64" s="29">
        <f ca="1">'ST Inv. &amp; Debt'!I20</f>
        <v>-44494.359112556078</v>
      </c>
      <c r="L64" s="29">
        <f ca="1">'ST Inv. &amp; Debt'!J20</f>
        <v>-47368.431556893251</v>
      </c>
      <c r="M64" s="29">
        <f ca="1">'ST Inv. &amp; Debt'!K20</f>
        <v>-44815.328254360786</v>
      </c>
      <c r="N64" s="29">
        <f ca="1">'ST Inv. &amp; Debt'!L20</f>
        <v>-40575.355556921662</v>
      </c>
      <c r="O64" s="29">
        <f ca="1">'ST Inv. &amp; Debt'!M20</f>
        <v>-44102.340221149869</v>
      </c>
      <c r="P64" s="29">
        <f ca="1">'ST Inv. &amp; Debt'!N20</f>
        <v>-47823.728200449717</v>
      </c>
      <c r="Q64" s="29">
        <f ca="1">'ST Inv. &amp; Debt'!O20</f>
        <v>-53718.068232881029</v>
      </c>
      <c r="R64" s="29">
        <f ca="1">'ST Inv. &amp; Debt'!P20</f>
        <v>-47260.60410109767</v>
      </c>
      <c r="S64" s="29">
        <f ca="1">'ST Inv. &amp; Debt'!Q20</f>
        <v>-45039.245997466474</v>
      </c>
      <c r="T64" s="29">
        <f ca="1">'ST Inv. &amp; Debt'!R20</f>
        <v>-39698.518612942156</v>
      </c>
      <c r="U64" s="29" t="e">
        <f ca="1">'ST Inv. &amp; Debt'!S20</f>
        <v>#VALUE!</v>
      </c>
      <c r="V64" s="29" t="e">
        <f ca="1">'ST Inv. &amp; Debt'!T20</f>
        <v>#VALUE!</v>
      </c>
      <c r="W64" s="29" t="e">
        <f ca="1">'ST Inv. &amp; Debt'!U20</f>
        <v>#VALUE!</v>
      </c>
      <c r="X64" s="29" t="e">
        <f ca="1">'ST Inv. &amp; Debt'!V20</f>
        <v>#VALUE!</v>
      </c>
      <c r="Y64" s="29" t="e">
        <f ca="1">'ST Inv. &amp; Debt'!W20</f>
        <v>#VALUE!</v>
      </c>
      <c r="Z64" s="29" t="e">
        <f ca="1">'ST Inv. &amp; Debt'!X20</f>
        <v>#VALUE!</v>
      </c>
      <c r="AA64" s="29" t="e">
        <f ca="1">'ST Inv. &amp; Debt'!Y20</f>
        <v>#VALUE!</v>
      </c>
      <c r="AB64" s="29" t="e">
        <f ca="1">'ST Inv. &amp; Debt'!Z20</f>
        <v>#VALUE!</v>
      </c>
      <c r="AC64" s="29" t="e">
        <f ca="1">'ST Inv. &amp; Debt'!AA20</f>
        <v>#VALUE!</v>
      </c>
      <c r="AD64" s="29" t="e">
        <f ca="1">'ST Inv. &amp; Debt'!AB20</f>
        <v>#DIV/0!</v>
      </c>
    </row>
    <row r="65" spans="1:30">
      <c r="A65" s="226">
        <f t="shared" si="0"/>
        <v>57</v>
      </c>
      <c r="C65" s="19" t="s">
        <v>107</v>
      </c>
      <c r="E65" s="145"/>
      <c r="F65" s="145"/>
      <c r="G65" s="145"/>
      <c r="H65" s="420"/>
      <c r="I65" s="155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 spans="1:30">
      <c r="A66" s="226">
        <f>+A65+1</f>
        <v>58</v>
      </c>
      <c r="C66" s="20" t="s">
        <v>26</v>
      </c>
      <c r="E66" s="145"/>
      <c r="F66" s="145"/>
      <c r="G66" s="145"/>
      <c r="H66" s="420">
        <v>26443</v>
      </c>
      <c r="I66" s="420">
        <v>36484</v>
      </c>
      <c r="J66" s="29">
        <f>'ST Inv. &amp; Debt'!G47</f>
        <v>15094.127992320076</v>
      </c>
      <c r="K66" s="29">
        <f ca="1">'ST Inv. &amp; Debt'!H47</f>
        <v>9627.4445665643016</v>
      </c>
      <c r="L66" s="29">
        <f ca="1">'ST Inv. &amp; Debt'!I47</f>
        <v>5616.1585812064877</v>
      </c>
      <c r="M66" s="29">
        <f ca="1">'ST Inv. &amp; Debt'!J47</f>
        <v>5106.2911068992953</v>
      </c>
      <c r="N66" s="29">
        <f ca="1">'ST Inv. &amp; Debt'!K47</f>
        <v>2048.8105431516365</v>
      </c>
      <c r="O66" s="29">
        <f ca="1">'ST Inv. &amp; Debt'!L47</f>
        <v>0</v>
      </c>
      <c r="P66" s="29">
        <f ca="1">'ST Inv. &amp; Debt'!M47</f>
        <v>0</v>
      </c>
      <c r="Q66" s="29">
        <f ca="1">'ST Inv. &amp; Debt'!N47</f>
        <v>0</v>
      </c>
      <c r="R66" s="29">
        <f ca="1">'ST Inv. &amp; Debt'!O47</f>
        <v>0</v>
      </c>
      <c r="S66" s="29">
        <f ca="1">'ST Inv. &amp; Debt'!P47</f>
        <v>0</v>
      </c>
      <c r="T66" s="29">
        <f ca="1">'ST Inv. &amp; Debt'!Q47</f>
        <v>0</v>
      </c>
      <c r="U66" s="29">
        <f ca="1">'ST Inv. &amp; Debt'!R47</f>
        <v>0</v>
      </c>
      <c r="V66" s="29" t="e">
        <f ca="1">'ST Inv. &amp; Debt'!S47</f>
        <v>#VALUE!</v>
      </c>
      <c r="W66" s="29" t="e">
        <f ca="1">'ST Inv. &amp; Debt'!T47</f>
        <v>#VALUE!</v>
      </c>
      <c r="X66" s="29" t="e">
        <f ca="1">'ST Inv. &amp; Debt'!U47</f>
        <v>#VALUE!</v>
      </c>
      <c r="Y66" s="29" t="e">
        <f ca="1">'ST Inv. &amp; Debt'!V47</f>
        <v>#VALUE!</v>
      </c>
      <c r="Z66" s="29" t="e">
        <f ca="1">'ST Inv. &amp; Debt'!W47</f>
        <v>#VALUE!</v>
      </c>
      <c r="AA66" s="29" t="e">
        <f ca="1">'ST Inv. &amp; Debt'!X47</f>
        <v>#VALUE!</v>
      </c>
      <c r="AB66" s="29" t="e">
        <f ca="1">'ST Inv. &amp; Debt'!Y47</f>
        <v>#VALUE!</v>
      </c>
      <c r="AC66" s="29" t="e">
        <f ca="1">'ST Inv. &amp; Debt'!Z47</f>
        <v>#VALUE!</v>
      </c>
      <c r="AD66" s="29" t="e">
        <f ca="1">'ST Inv. &amp; Debt'!AA47</f>
        <v>#VALUE!</v>
      </c>
    </row>
    <row r="67" spans="1:30">
      <c r="A67" s="226"/>
      <c r="C67" s="19" t="s">
        <v>443</v>
      </c>
      <c r="E67" s="145"/>
      <c r="F67" s="145"/>
      <c r="G67" s="145"/>
      <c r="H67" s="420"/>
      <c r="I67" s="420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9" spans="1:30" ht="7.5" customHeight="1">
      <c r="A69" s="226">
        <f>+A66+1</f>
        <v>59</v>
      </c>
      <c r="E69" s="72"/>
      <c r="F69" s="72"/>
      <c r="G69" s="72"/>
      <c r="H69" s="72"/>
      <c r="I69" s="72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 spans="1:30">
      <c r="A70" s="226">
        <f t="shared" si="0"/>
        <v>60</v>
      </c>
      <c r="B70" s="13" t="s">
        <v>18</v>
      </c>
      <c r="C70" s="28" t="s">
        <v>29</v>
      </c>
      <c r="D70" s="32"/>
      <c r="E70" s="32">
        <f t="shared" ref="E70:AD70" si="14">E61+E63</f>
        <v>0</v>
      </c>
      <c r="F70" s="32" t="e">
        <f t="shared" si="14"/>
        <v>#REF!</v>
      </c>
      <c r="G70" s="32" t="e">
        <f t="shared" si="14"/>
        <v>#REF!</v>
      </c>
      <c r="H70" s="32">
        <f>H61+H63</f>
        <v>36321</v>
      </c>
      <c r="I70" s="32">
        <f>I61+I63</f>
        <v>62818</v>
      </c>
      <c r="J70" s="32">
        <f t="shared" ca="1" si="14"/>
        <v>30258.935830757961</v>
      </c>
      <c r="K70" s="32">
        <f t="shared" ca="1" si="14"/>
        <v>35437.149573748145</v>
      </c>
      <c r="L70" s="32">
        <f t="shared" ca="1" si="14"/>
        <v>60640.733315307822</v>
      </c>
      <c r="M70" s="32">
        <f t="shared" ca="1" si="14"/>
        <v>52184.169003597061</v>
      </c>
      <c r="N70" s="32">
        <f t="shared" ca="1" si="14"/>
        <v>8834.5206232412893</v>
      </c>
      <c r="O70" s="32">
        <f t="shared" ca="1" si="14"/>
        <v>-37.247145809837093</v>
      </c>
      <c r="P70" s="32">
        <f t="shared" ca="1" si="14"/>
        <v>-6896.7039672715982</v>
      </c>
      <c r="Q70" s="32">
        <f t="shared" ca="1" si="14"/>
        <v>86978.120608480414</v>
      </c>
      <c r="R70" s="32">
        <f t="shared" ca="1" si="14"/>
        <v>52496.236831307884</v>
      </c>
      <c r="S70" s="32">
        <f t="shared" ca="1" si="14"/>
        <v>90652.26824585945</v>
      </c>
      <c r="T70" s="32">
        <f t="shared" ca="1" si="14"/>
        <v>91559.416561675956</v>
      </c>
      <c r="U70" s="32" t="e">
        <f t="shared" ca="1" si="14"/>
        <v>#VALUE!</v>
      </c>
      <c r="V70" s="32" t="e">
        <f t="shared" ca="1" si="14"/>
        <v>#VALUE!</v>
      </c>
      <c r="W70" s="32" t="e">
        <f t="shared" ca="1" si="14"/>
        <v>#VALUE!</v>
      </c>
      <c r="X70" s="32" t="e">
        <f t="shared" ca="1" si="14"/>
        <v>#VALUE!</v>
      </c>
      <c r="Y70" s="32" t="e">
        <f t="shared" ca="1" si="14"/>
        <v>#VALUE!</v>
      </c>
      <c r="Z70" s="32" t="e">
        <f t="shared" ca="1" si="14"/>
        <v>#VALUE!</v>
      </c>
      <c r="AA70" s="32" t="e">
        <f t="shared" ca="1" si="14"/>
        <v>#VALUE!</v>
      </c>
      <c r="AB70" s="32" t="e">
        <f t="shared" ca="1" si="14"/>
        <v>#VALUE!</v>
      </c>
      <c r="AC70" s="32" t="e">
        <f t="shared" ca="1" si="14"/>
        <v>#VALUE!</v>
      </c>
      <c r="AD70" s="32" t="e">
        <f t="shared" ca="1" si="14"/>
        <v>#DIV/0!</v>
      </c>
    </row>
    <row r="71" spans="1:30" ht="6.75" customHeight="1">
      <c r="A71" s="226">
        <f t="shared" si="0"/>
        <v>61</v>
      </c>
      <c r="E71" s="72"/>
      <c r="F71" s="72"/>
      <c r="G71" s="72"/>
      <c r="H71" s="72"/>
      <c r="I71" s="72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 spans="1:30" s="2" customFormat="1">
      <c r="A72" s="377">
        <f t="shared" si="0"/>
        <v>62</v>
      </c>
      <c r="B72" s="3" t="s">
        <v>17</v>
      </c>
      <c r="C72" s="2" t="s">
        <v>34</v>
      </c>
      <c r="E72" s="36">
        <f t="shared" ref="E72:G72" si="15">SUM(E73:E74)</f>
        <v>0</v>
      </c>
      <c r="F72" s="36">
        <f t="shared" si="15"/>
        <v>-1378.0000000000011</v>
      </c>
      <c r="G72" s="36">
        <f t="shared" si="15"/>
        <v>-3404.0000000000005</v>
      </c>
      <c r="H72" s="36">
        <f>SUM(H73:H74)</f>
        <v>-1740</v>
      </c>
      <c r="I72" s="36">
        <f>SUM(I73:I74)</f>
        <v>-13369</v>
      </c>
      <c r="J72" s="31">
        <f ca="1">SUM(J73:J74)</f>
        <v>-10288.038182457707</v>
      </c>
      <c r="K72" s="31">
        <f t="shared" ref="K72:AD72" ca="1" si="16">SUM(K73:K74)</f>
        <v>-12048.630855074371</v>
      </c>
      <c r="L72" s="31">
        <f t="shared" ca="1" si="16"/>
        <v>-20617.849327204662</v>
      </c>
      <c r="M72" s="31">
        <f t="shared" ca="1" si="16"/>
        <v>-17742.617461223002</v>
      </c>
      <c r="N72" s="31">
        <f t="shared" ca="1" si="16"/>
        <v>-3003.7370119020384</v>
      </c>
      <c r="O72" s="31">
        <f t="shared" ca="1" si="16"/>
        <v>12.664029575344612</v>
      </c>
      <c r="P72" s="31">
        <f t="shared" ca="1" si="16"/>
        <v>2344.8793488723436</v>
      </c>
      <c r="Q72" s="31">
        <f t="shared" ca="1" si="16"/>
        <v>-29572.561006883345</v>
      </c>
      <c r="R72" s="31">
        <f t="shared" ca="1" si="16"/>
        <v>-17848.720522644682</v>
      </c>
      <c r="S72" s="31">
        <f t="shared" ca="1" si="16"/>
        <v>-30821.771203592216</v>
      </c>
      <c r="T72" s="31">
        <f t="shared" ca="1" si="16"/>
        <v>-31130.201630969827</v>
      </c>
      <c r="U72" s="31" t="e">
        <f t="shared" ca="1" si="16"/>
        <v>#VALUE!</v>
      </c>
      <c r="V72" s="31" t="e">
        <f t="shared" ca="1" si="16"/>
        <v>#VALUE!</v>
      </c>
      <c r="W72" s="31" t="e">
        <f t="shared" ca="1" si="16"/>
        <v>#VALUE!</v>
      </c>
      <c r="X72" s="31" t="e">
        <f t="shared" ca="1" si="16"/>
        <v>#VALUE!</v>
      </c>
      <c r="Y72" s="31" t="e">
        <f t="shared" ca="1" si="16"/>
        <v>#VALUE!</v>
      </c>
      <c r="Z72" s="31" t="e">
        <f t="shared" ca="1" si="16"/>
        <v>#VALUE!</v>
      </c>
      <c r="AA72" s="31" t="e">
        <f t="shared" ca="1" si="16"/>
        <v>#VALUE!</v>
      </c>
      <c r="AB72" s="31" t="e">
        <f t="shared" ca="1" si="16"/>
        <v>#VALUE!</v>
      </c>
      <c r="AC72" s="31" t="e">
        <f t="shared" ca="1" si="16"/>
        <v>#VALUE!</v>
      </c>
      <c r="AD72" s="31" t="e">
        <f t="shared" ca="1" si="16"/>
        <v>#DIV/0!</v>
      </c>
    </row>
    <row r="73" spans="1:30">
      <c r="A73" s="226">
        <f t="shared" si="0"/>
        <v>63</v>
      </c>
      <c r="B73" s="14"/>
      <c r="C73" s="20" t="s">
        <v>86</v>
      </c>
      <c r="E73" s="145"/>
      <c r="F73" s="145">
        <v>-1378.0000000000011</v>
      </c>
      <c r="G73" s="145">
        <v>-3404.0000000000005</v>
      </c>
      <c r="H73" s="420">
        <f>-1535-561+4749+1709</f>
        <v>4362</v>
      </c>
      <c r="I73" s="420">
        <f>-4505-1630+1402+505</f>
        <v>-4228</v>
      </c>
      <c r="J73" s="29">
        <f ca="1">-$I75*J70</f>
        <v>-10288.038182457707</v>
      </c>
      <c r="K73" s="29">
        <f ca="1">-$I75*K70</f>
        <v>-12048.630855074371</v>
      </c>
      <c r="L73" s="29">
        <f ca="1">-$I75*L70</f>
        <v>-20617.849327204662</v>
      </c>
      <c r="M73" s="29">
        <f t="shared" ref="M73:AD73" ca="1" si="17">-$I75*M70</f>
        <v>-17742.617461223002</v>
      </c>
      <c r="N73" s="29">
        <f t="shared" ca="1" si="17"/>
        <v>-3003.7370119020384</v>
      </c>
      <c r="O73" s="29">
        <f t="shared" ca="1" si="17"/>
        <v>12.664029575344612</v>
      </c>
      <c r="P73" s="29">
        <f t="shared" ca="1" si="17"/>
        <v>2344.8793488723436</v>
      </c>
      <c r="Q73" s="29">
        <f t="shared" ca="1" si="17"/>
        <v>-29572.561006883345</v>
      </c>
      <c r="R73" s="29">
        <f t="shared" ca="1" si="17"/>
        <v>-17848.720522644682</v>
      </c>
      <c r="S73" s="29">
        <f t="shared" ca="1" si="17"/>
        <v>-30821.771203592216</v>
      </c>
      <c r="T73" s="29">
        <f t="shared" ca="1" si="17"/>
        <v>-31130.201630969827</v>
      </c>
      <c r="U73" s="29" t="e">
        <f t="shared" ca="1" si="17"/>
        <v>#VALUE!</v>
      </c>
      <c r="V73" s="29" t="e">
        <f t="shared" ca="1" si="17"/>
        <v>#VALUE!</v>
      </c>
      <c r="W73" s="29" t="e">
        <f t="shared" ca="1" si="17"/>
        <v>#VALUE!</v>
      </c>
      <c r="X73" s="29" t="e">
        <f t="shared" ca="1" si="17"/>
        <v>#VALUE!</v>
      </c>
      <c r="Y73" s="29" t="e">
        <f t="shared" ca="1" si="17"/>
        <v>#VALUE!</v>
      </c>
      <c r="Z73" s="29" t="e">
        <f t="shared" ca="1" si="17"/>
        <v>#VALUE!</v>
      </c>
      <c r="AA73" s="29" t="e">
        <f t="shared" ca="1" si="17"/>
        <v>#VALUE!</v>
      </c>
      <c r="AB73" s="29" t="e">
        <f t="shared" ca="1" si="17"/>
        <v>#VALUE!</v>
      </c>
      <c r="AC73" s="29" t="e">
        <f t="shared" ca="1" si="17"/>
        <v>#VALUE!</v>
      </c>
      <c r="AD73" s="29" t="e">
        <f t="shared" ca="1" si="17"/>
        <v>#DIV/0!</v>
      </c>
    </row>
    <row r="74" spans="1:30">
      <c r="A74" s="226">
        <f t="shared" si="0"/>
        <v>64</v>
      </c>
      <c r="B74" s="14"/>
      <c r="C74" s="403" t="s">
        <v>495</v>
      </c>
      <c r="E74" s="145"/>
      <c r="F74" s="145"/>
      <c r="G74" s="145"/>
      <c r="H74" s="420">
        <f>-4068-2034</f>
        <v>-6102</v>
      </c>
      <c r="I74" s="420">
        <f>-6094-3047</f>
        <v>-9141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spans="1:30">
      <c r="A75" s="226">
        <f t="shared" si="0"/>
        <v>65</v>
      </c>
      <c r="B75" s="14"/>
      <c r="C75" s="20"/>
      <c r="E75" s="72"/>
      <c r="F75" s="154"/>
      <c r="G75" s="154"/>
      <c r="H75" s="154"/>
      <c r="I75" s="454">
        <v>0.34</v>
      </c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</row>
    <row r="76" spans="1:30">
      <c r="A76" s="226">
        <f t="shared" ref="A76:A89" si="18">+A75+1</f>
        <v>66</v>
      </c>
      <c r="B76" s="13" t="s">
        <v>19</v>
      </c>
      <c r="C76" s="16" t="s">
        <v>62</v>
      </c>
      <c r="E76" s="33"/>
      <c r="F76" s="33"/>
      <c r="G76" s="33"/>
      <c r="H76" s="36">
        <f>SUM(H77:H78)</f>
        <v>-1966</v>
      </c>
      <c r="I76" s="36">
        <f>SUM(I77:I78)</f>
        <v>2356</v>
      </c>
      <c r="J76" s="31">
        <f>SUM(J77:J78)</f>
        <v>0</v>
      </c>
      <c r="K76" s="31">
        <f t="shared" ref="K76:AD76" si="19">SUM(K77:K78)</f>
        <v>0</v>
      </c>
      <c r="L76" s="31">
        <f t="shared" si="19"/>
        <v>0</v>
      </c>
      <c r="M76" s="31">
        <f t="shared" si="19"/>
        <v>0</v>
      </c>
      <c r="N76" s="31">
        <f t="shared" si="19"/>
        <v>0</v>
      </c>
      <c r="O76" s="31">
        <f t="shared" si="19"/>
        <v>0</v>
      </c>
      <c r="P76" s="31">
        <f t="shared" si="19"/>
        <v>0</v>
      </c>
      <c r="Q76" s="31">
        <f t="shared" si="19"/>
        <v>0</v>
      </c>
      <c r="R76" s="31">
        <f t="shared" si="19"/>
        <v>0</v>
      </c>
      <c r="S76" s="31">
        <f t="shared" si="19"/>
        <v>0</v>
      </c>
      <c r="T76" s="31">
        <f t="shared" si="19"/>
        <v>0</v>
      </c>
      <c r="U76" s="31">
        <f t="shared" si="19"/>
        <v>0</v>
      </c>
      <c r="V76" s="31">
        <f t="shared" si="19"/>
        <v>0</v>
      </c>
      <c r="W76" s="31">
        <f t="shared" si="19"/>
        <v>0</v>
      </c>
      <c r="X76" s="31">
        <f t="shared" si="19"/>
        <v>0</v>
      </c>
      <c r="Y76" s="31">
        <f t="shared" si="19"/>
        <v>0</v>
      </c>
      <c r="Z76" s="31">
        <f t="shared" si="19"/>
        <v>0</v>
      </c>
      <c r="AA76" s="31">
        <f t="shared" si="19"/>
        <v>0</v>
      </c>
      <c r="AB76" s="31">
        <f t="shared" si="19"/>
        <v>0</v>
      </c>
      <c r="AC76" s="31">
        <f t="shared" si="19"/>
        <v>0</v>
      </c>
      <c r="AD76" s="31">
        <f t="shared" si="19"/>
        <v>0</v>
      </c>
    </row>
    <row r="77" spans="1:30">
      <c r="A77" s="226">
        <f t="shared" si="18"/>
        <v>67</v>
      </c>
      <c r="B77" s="13"/>
      <c r="C77" s="403" t="s">
        <v>493</v>
      </c>
      <c r="E77" s="145"/>
      <c r="F77" s="145"/>
      <c r="G77" s="145"/>
      <c r="H77" s="145">
        <v>2203</v>
      </c>
      <c r="I77" s="145">
        <v>8443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spans="1:30">
      <c r="A78" s="226">
        <f t="shared" si="18"/>
        <v>68</v>
      </c>
      <c r="B78" s="13"/>
      <c r="C78" s="403" t="s">
        <v>494</v>
      </c>
      <c r="E78" s="145"/>
      <c r="F78" s="145"/>
      <c r="G78" s="145"/>
      <c r="H78" s="145">
        <v>-4169</v>
      </c>
      <c r="I78" s="145">
        <v>-6087</v>
      </c>
      <c r="J78" s="52"/>
      <c r="K78" s="52"/>
      <c r="L78" s="52"/>
      <c r="M78" s="52"/>
      <c r="N78" s="52">
        <f>-'ST Inv. &amp; Debt'!L345</f>
        <v>0</v>
      </c>
      <c r="O78" s="52">
        <f>-'ST Inv. &amp; Debt'!M345</f>
        <v>0</v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spans="1:30">
      <c r="A79" s="226">
        <f t="shared" si="18"/>
        <v>69</v>
      </c>
      <c r="B79" s="14"/>
      <c r="C79" s="20"/>
      <c r="E79" s="72"/>
      <c r="F79" s="72"/>
      <c r="G79" s="72"/>
      <c r="H79" s="72"/>
      <c r="I79" s="72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 spans="1:30" ht="6.75" customHeight="1">
      <c r="A80" s="226">
        <f t="shared" si="18"/>
        <v>70</v>
      </c>
      <c r="E80" s="72"/>
      <c r="F80" s="72"/>
      <c r="G80" s="72"/>
      <c r="H80" s="72"/>
      <c r="I80" s="72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 spans="1:30">
      <c r="A81" s="226">
        <f t="shared" si="18"/>
        <v>71</v>
      </c>
      <c r="B81" s="13" t="s">
        <v>18</v>
      </c>
      <c r="C81" s="28" t="s">
        <v>35</v>
      </c>
      <c r="D81" s="26"/>
      <c r="E81" s="32">
        <f t="shared" ref="E81:G81" si="20">E70+E72+E76</f>
        <v>0</v>
      </c>
      <c r="F81" s="32" t="e">
        <f t="shared" si="20"/>
        <v>#REF!</v>
      </c>
      <c r="G81" s="32" t="e">
        <f t="shared" si="20"/>
        <v>#REF!</v>
      </c>
      <c r="H81" s="32">
        <f>H70+H72+H76</f>
        <v>32615</v>
      </c>
      <c r="I81" s="32">
        <f>I70+I72+I76</f>
        <v>51805</v>
      </c>
      <c r="J81" s="32">
        <f t="shared" ref="J81:AD81" ca="1" si="21">J70+J72</f>
        <v>19970.897648300255</v>
      </c>
      <c r="K81" s="32">
        <f t="shared" ca="1" si="21"/>
        <v>23388.518718673775</v>
      </c>
      <c r="L81" s="32">
        <f t="shared" ca="1" si="21"/>
        <v>40022.88398810316</v>
      </c>
      <c r="M81" s="32">
        <f t="shared" ca="1" si="21"/>
        <v>34441.551542374058</v>
      </c>
      <c r="N81" s="32">
        <f t="shared" ca="1" si="21"/>
        <v>5830.7836113392514</v>
      </c>
      <c r="O81" s="32">
        <f t="shared" ca="1" si="21"/>
        <v>-24.583116234492479</v>
      </c>
      <c r="P81" s="32">
        <f t="shared" ca="1" si="21"/>
        <v>-4551.8246183992542</v>
      </c>
      <c r="Q81" s="32">
        <f t="shared" ca="1" si="21"/>
        <v>57405.559601597066</v>
      </c>
      <c r="R81" s="32">
        <f t="shared" ca="1" si="21"/>
        <v>34647.516308663202</v>
      </c>
      <c r="S81" s="32">
        <f t="shared" ca="1" si="21"/>
        <v>59830.497042267234</v>
      </c>
      <c r="T81" s="32">
        <f t="shared" ca="1" si="21"/>
        <v>60429.214930706134</v>
      </c>
      <c r="U81" s="32" t="e">
        <f t="shared" ca="1" si="21"/>
        <v>#VALUE!</v>
      </c>
      <c r="V81" s="32" t="e">
        <f t="shared" ca="1" si="21"/>
        <v>#VALUE!</v>
      </c>
      <c r="W81" s="32" t="e">
        <f t="shared" ca="1" si="21"/>
        <v>#VALUE!</v>
      </c>
      <c r="X81" s="32" t="e">
        <f t="shared" ca="1" si="21"/>
        <v>#VALUE!</v>
      </c>
      <c r="Y81" s="32" t="e">
        <f t="shared" ca="1" si="21"/>
        <v>#VALUE!</v>
      </c>
      <c r="Z81" s="32" t="e">
        <f t="shared" ca="1" si="21"/>
        <v>#VALUE!</v>
      </c>
      <c r="AA81" s="32" t="e">
        <f t="shared" ca="1" si="21"/>
        <v>#VALUE!</v>
      </c>
      <c r="AB81" s="32" t="e">
        <f t="shared" ca="1" si="21"/>
        <v>#VALUE!</v>
      </c>
      <c r="AC81" s="32" t="e">
        <f t="shared" ca="1" si="21"/>
        <v>#VALUE!</v>
      </c>
      <c r="AD81" s="32" t="e">
        <f t="shared" ca="1" si="21"/>
        <v>#DIV/0!</v>
      </c>
    </row>
    <row r="82" spans="1:30">
      <c r="A82" s="226">
        <f t="shared" si="18"/>
        <v>72</v>
      </c>
      <c r="E82"/>
      <c r="F82"/>
      <c r="G82"/>
      <c r="H82"/>
      <c r="I82" s="29"/>
    </row>
    <row r="83" spans="1:30">
      <c r="A83" s="226">
        <f t="shared" si="18"/>
        <v>73</v>
      </c>
      <c r="J83" s="83"/>
    </row>
    <row r="84" spans="1:30">
      <c r="A84" s="226">
        <f t="shared" si="18"/>
        <v>74</v>
      </c>
    </row>
    <row r="85" spans="1:30">
      <c r="A85" s="226">
        <f t="shared" si="18"/>
        <v>75</v>
      </c>
    </row>
    <row r="86" spans="1:30">
      <c r="A86" s="226">
        <f t="shared" si="18"/>
        <v>76</v>
      </c>
    </row>
    <row r="87" spans="1:30">
      <c r="A87" s="226">
        <f t="shared" si="18"/>
        <v>77</v>
      </c>
      <c r="C87" s="117" t="s">
        <v>147</v>
      </c>
      <c r="D87" s="118"/>
      <c r="E87" s="119"/>
      <c r="F87" s="119"/>
      <c r="G87" s="119"/>
      <c r="H87" s="119"/>
      <c r="I87" s="160"/>
      <c r="J87" s="160"/>
      <c r="K87" s="160"/>
      <c r="L87" s="160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</row>
    <row r="88" spans="1:30">
      <c r="A88" s="226">
        <f t="shared" si="18"/>
        <v>78</v>
      </c>
      <c r="C88" s="120" t="s">
        <v>148</v>
      </c>
      <c r="D88" s="41"/>
      <c r="E88" s="121"/>
      <c r="F88" s="121"/>
      <c r="G88" s="121"/>
      <c r="H88" s="121"/>
      <c r="I88" s="161"/>
      <c r="J88" s="161"/>
      <c r="K88" s="161"/>
      <c r="L88" s="16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</row>
    <row r="89" spans="1:30">
      <c r="A89" s="226">
        <f t="shared" si="18"/>
        <v>79</v>
      </c>
      <c r="C89" s="122" t="s">
        <v>149</v>
      </c>
      <c r="D89" s="123"/>
      <c r="E89" s="124"/>
      <c r="F89" s="124"/>
      <c r="G89" s="124"/>
      <c r="H89" s="124"/>
      <c r="I89" s="162"/>
      <c r="J89" s="162"/>
      <c r="K89" s="162"/>
      <c r="L89" s="162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</row>
  </sheetData>
  <phoneticPr fontId="7" type="noConversion"/>
  <pageMargins left="0.75" right="0.75" top="1" bottom="1" header="0.5" footer="0.5"/>
  <pageSetup scale="74" orientation="portrait" r:id="rId1"/>
  <headerFooter alignWithMargins="0"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C4:AD173"/>
  <sheetViews>
    <sheetView showGridLines="0" zoomScale="85" zoomScaleNormal="85" workbookViewId="0">
      <pane xSplit="9" ySplit="7" topLeftCell="J23" activePane="bottomRight" state="frozen"/>
      <selection activeCell="H55" sqref="H55"/>
      <selection pane="topRight" activeCell="H55" sqref="H55"/>
      <selection pane="bottomLeft" activeCell="H55" sqref="H55"/>
      <selection pane="bottomRight" activeCell="C42" sqref="C42"/>
    </sheetView>
  </sheetViews>
  <sheetFormatPr defaultRowHeight="13.2" outlineLevelCol="1"/>
  <cols>
    <col min="1" max="2" width="5" customWidth="1"/>
    <col min="3" max="3" width="58.33203125" bestFit="1" customWidth="1"/>
    <col min="4" max="4" width="3.5546875" customWidth="1"/>
    <col min="5" max="7" width="12.6640625" style="318" hidden="1" customWidth="1" outlineLevel="1"/>
    <col min="8" max="8" width="15.6640625" style="318" customWidth="1" outlineLevel="1"/>
    <col min="9" max="9" width="12.6640625" style="318" customWidth="1"/>
    <col min="10" max="10" width="12.6640625" customWidth="1"/>
    <col min="11" max="11" width="12.6640625" customWidth="1" collapsed="1"/>
    <col min="12" max="15" width="12.6640625" customWidth="1"/>
    <col min="16" max="29" width="12.6640625" customWidth="1" outlineLevel="1"/>
    <col min="30" max="30" width="11.6640625" customWidth="1" outlineLevel="1"/>
  </cols>
  <sheetData>
    <row r="4" spans="3:30">
      <c r="E4" s="319"/>
      <c r="F4" s="319"/>
      <c r="G4" s="319"/>
      <c r="H4" s="319"/>
      <c r="I4" s="319"/>
      <c r="J4" s="46"/>
      <c r="K4" s="37"/>
      <c r="L4" s="46"/>
      <c r="M4" s="37"/>
      <c r="N4" s="46"/>
    </row>
    <row r="5" spans="3:30">
      <c r="J5" s="405"/>
      <c r="K5" s="37"/>
      <c r="L5" s="29"/>
      <c r="M5" s="29"/>
      <c r="N5" s="29"/>
      <c r="O5" s="29"/>
    </row>
    <row r="6" spans="3:30">
      <c r="I6" s="325"/>
      <c r="J6" s="29"/>
    </row>
    <row r="7" spans="3:30" ht="16.2" thickBot="1">
      <c r="C7" s="17" t="s">
        <v>8</v>
      </c>
      <c r="D7" s="12"/>
      <c r="E7" s="320">
        <f>'Revenues, COGS &amp; SG&amp;A'!D7</f>
        <v>39447</v>
      </c>
      <c r="F7" s="320">
        <f>'Revenues, COGS &amp; SG&amp;A'!E7</f>
        <v>39813</v>
      </c>
      <c r="G7" s="320">
        <f>'Revenues, COGS &amp; SG&amp;A'!F7</f>
        <v>40178</v>
      </c>
      <c r="H7" s="320">
        <f>'Revenues, COGS &amp; SG&amp;A'!G7</f>
        <v>40543</v>
      </c>
      <c r="I7" s="320">
        <f>'Revenues, COGS &amp; SG&amp;A'!H7</f>
        <v>40908</v>
      </c>
      <c r="J7" s="1">
        <f>'Revenues, COGS &amp; SG&amp;A'!I7</f>
        <v>41274</v>
      </c>
      <c r="K7" s="1">
        <f>'Revenues, COGS &amp; SG&amp;A'!J7</f>
        <v>41639</v>
      </c>
      <c r="L7" s="1">
        <f>'Revenues, COGS &amp; SG&amp;A'!K7</f>
        <v>42004</v>
      </c>
      <c r="M7" s="1">
        <f>'Revenues, COGS &amp; SG&amp;A'!L7</f>
        <v>42369</v>
      </c>
      <c r="N7" s="1">
        <f>'Revenues, COGS &amp; SG&amp;A'!M7</f>
        <v>42735</v>
      </c>
      <c r="O7" s="1">
        <f>'Revenues, COGS &amp; SG&amp;A'!N7</f>
        <v>43100</v>
      </c>
      <c r="P7" s="1">
        <f>'Revenues, COGS &amp; SG&amp;A'!O7</f>
        <v>43465</v>
      </c>
      <c r="Q7" s="1">
        <f>'Revenues, COGS &amp; SG&amp;A'!P7</f>
        <v>43830</v>
      </c>
      <c r="R7" s="1">
        <f>'Revenues, COGS &amp; SG&amp;A'!Q7</f>
        <v>44196</v>
      </c>
      <c r="S7" s="1">
        <f>'Revenues, COGS &amp; SG&amp;A'!R7</f>
        <v>44561</v>
      </c>
      <c r="T7" s="1">
        <f>'Revenues, COGS &amp; SG&amp;A'!S7</f>
        <v>44926</v>
      </c>
      <c r="U7" s="1">
        <f>'Revenues, COGS &amp; SG&amp;A'!T7</f>
        <v>45291</v>
      </c>
      <c r="V7" s="1">
        <f>'Revenues, COGS &amp; SG&amp;A'!U7</f>
        <v>45657</v>
      </c>
      <c r="W7" s="1">
        <f>'Revenues, COGS &amp; SG&amp;A'!V7</f>
        <v>46022</v>
      </c>
      <c r="X7" s="1">
        <f>'Revenues, COGS &amp; SG&amp;A'!W7</f>
        <v>46387</v>
      </c>
      <c r="Y7" s="1">
        <f>'Revenues, COGS &amp; SG&amp;A'!X7</f>
        <v>46752</v>
      </c>
      <c r="Z7" s="1">
        <f>'Revenues, COGS &amp; SG&amp;A'!Y7</f>
        <v>47118</v>
      </c>
      <c r="AA7" s="1">
        <f>'Revenues, COGS &amp; SG&amp;A'!Z7</f>
        <v>47483</v>
      </c>
      <c r="AB7" s="1">
        <f>'Revenues, COGS &amp; SG&amp;A'!AA7</f>
        <v>47848</v>
      </c>
      <c r="AC7" s="1">
        <f>'Revenues, COGS &amp; SG&amp;A'!AB7</f>
        <v>48213</v>
      </c>
      <c r="AD7" s="1">
        <f>'Revenues, COGS &amp; SG&amp;A'!AC7</f>
        <v>48579</v>
      </c>
    </row>
    <row r="8" spans="3:30" ht="13.8" thickTop="1">
      <c r="C8" s="41" t="s">
        <v>70</v>
      </c>
      <c r="E8" s="321"/>
      <c r="F8" s="321"/>
      <c r="G8" s="321"/>
      <c r="H8" s="321"/>
      <c r="I8" s="321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spans="3:30">
      <c r="I9" s="322"/>
      <c r="J9" s="29"/>
    </row>
    <row r="10" spans="3:30">
      <c r="C10" s="28" t="s">
        <v>81</v>
      </c>
      <c r="D10" s="26"/>
      <c r="E10" s="323">
        <f t="shared" ref="E10:AD10" si="0">E12+E27+E34</f>
        <v>0</v>
      </c>
      <c r="F10" s="323">
        <f t="shared" si="0"/>
        <v>0</v>
      </c>
      <c r="G10" s="323">
        <f t="shared" si="0"/>
        <v>0</v>
      </c>
      <c r="H10" s="323">
        <f t="shared" si="0"/>
        <v>1414974</v>
      </c>
      <c r="I10" s="324">
        <f t="shared" si="0"/>
        <v>1718166</v>
      </c>
      <c r="J10" s="32">
        <f t="shared" ca="1" si="0"/>
        <v>1778246.0170903997</v>
      </c>
      <c r="K10" s="32">
        <f t="shared" ca="1" si="0"/>
        <v>1891710.1316445547</v>
      </c>
      <c r="L10" s="32">
        <f t="shared" ca="1" si="0"/>
        <v>1879429.6287318659</v>
      </c>
      <c r="M10" s="32">
        <f t="shared" ca="1" si="0"/>
        <v>1865087.113615836</v>
      </c>
      <c r="N10" s="32">
        <f t="shared" ca="1" si="0"/>
        <v>1905368.7213665785</v>
      </c>
      <c r="O10" s="32">
        <f t="shared" ca="1" si="0"/>
        <v>1948614.2855434411</v>
      </c>
      <c r="P10" s="32">
        <f t="shared" ca="1" si="0"/>
        <v>1995698.0109288108</v>
      </c>
      <c r="Q10" s="32">
        <f t="shared" ca="1" si="0"/>
        <v>2046563.4299893801</v>
      </c>
      <c r="R10" s="32">
        <f t="shared" ca="1" si="0"/>
        <v>2101063.1612582835</v>
      </c>
      <c r="S10" s="32">
        <f t="shared" ca="1" si="0"/>
        <v>2159562.409359579</v>
      </c>
      <c r="T10" s="32">
        <f t="shared" ca="1" si="0"/>
        <v>2222897.4099510154</v>
      </c>
      <c r="U10" s="32" t="e">
        <f t="shared" ca="1" si="0"/>
        <v>#VALUE!</v>
      </c>
      <c r="V10" s="32" t="e">
        <f t="shared" ca="1" si="0"/>
        <v>#VALUE!</v>
      </c>
      <c r="W10" s="32" t="e">
        <f t="shared" ca="1" si="0"/>
        <v>#VALUE!</v>
      </c>
      <c r="X10" s="32" t="e">
        <f t="shared" ca="1" si="0"/>
        <v>#VALUE!</v>
      </c>
      <c r="Y10" s="32" t="e">
        <f t="shared" ca="1" si="0"/>
        <v>#VALUE!</v>
      </c>
      <c r="Z10" s="32" t="e">
        <f t="shared" ca="1" si="0"/>
        <v>#VALUE!</v>
      </c>
      <c r="AA10" s="32" t="e">
        <f t="shared" ca="1" si="0"/>
        <v>#VALUE!</v>
      </c>
      <c r="AB10" s="32" t="e">
        <f t="shared" ca="1" si="0"/>
        <v>#VALUE!</v>
      </c>
      <c r="AC10" s="32" t="e">
        <f t="shared" ca="1" si="0"/>
        <v>#VALUE!</v>
      </c>
      <c r="AD10" s="32" t="e">
        <f t="shared" ca="1" si="0"/>
        <v>#DIV/0!</v>
      </c>
    </row>
    <row r="11" spans="3:30">
      <c r="C11" s="2"/>
      <c r="E11" s="325"/>
      <c r="F11" s="325"/>
      <c r="G11" s="325"/>
      <c r="H11" s="325"/>
      <c r="I11" s="490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spans="3:30">
      <c r="C12" s="2" t="s">
        <v>36</v>
      </c>
      <c r="E12" s="337">
        <f t="shared" ref="E12:J12" si="1">SUM(E13:E20)</f>
        <v>0</v>
      </c>
      <c r="F12" s="337">
        <f t="shared" si="1"/>
        <v>0</v>
      </c>
      <c r="G12" s="337">
        <f t="shared" si="1"/>
        <v>0</v>
      </c>
      <c r="H12" s="337">
        <f t="shared" si="1"/>
        <v>375922</v>
      </c>
      <c r="I12" s="337">
        <f t="shared" si="1"/>
        <v>601454</v>
      </c>
      <c r="J12" s="337">
        <f t="shared" ca="1" si="1"/>
        <v>550540.61709039961</v>
      </c>
      <c r="K12" s="337">
        <f t="shared" ref="K12:AD12" ca="1" si="2">SUM(K13:K20)</f>
        <v>604004.73164455476</v>
      </c>
      <c r="L12" s="337">
        <f t="shared" ca="1" si="2"/>
        <v>591724.22873186599</v>
      </c>
      <c r="M12" s="337">
        <f t="shared" ca="1" si="2"/>
        <v>577381.71361583588</v>
      </c>
      <c r="N12" s="337">
        <f t="shared" ca="1" si="2"/>
        <v>617663.32136657846</v>
      </c>
      <c r="O12" s="337">
        <f t="shared" ca="1" si="2"/>
        <v>660908.88554344093</v>
      </c>
      <c r="P12" s="337">
        <f t="shared" ca="1" si="2"/>
        <v>707992.61092881078</v>
      </c>
      <c r="Q12" s="337">
        <f t="shared" ca="1" si="2"/>
        <v>758858.02998937992</v>
      </c>
      <c r="R12" s="337">
        <f t="shared" ca="1" si="2"/>
        <v>813357.76125828305</v>
      </c>
      <c r="S12" s="337">
        <f t="shared" ca="1" si="2"/>
        <v>871857.00935957872</v>
      </c>
      <c r="T12" s="337">
        <f t="shared" ca="1" si="2"/>
        <v>935192.00995101489</v>
      </c>
      <c r="U12" s="337" t="e">
        <f t="shared" ca="1" si="2"/>
        <v>#VALUE!</v>
      </c>
      <c r="V12" s="337" t="e">
        <f t="shared" ca="1" si="2"/>
        <v>#VALUE!</v>
      </c>
      <c r="W12" s="337" t="e">
        <f t="shared" ca="1" si="2"/>
        <v>#VALUE!</v>
      </c>
      <c r="X12" s="337" t="e">
        <f t="shared" ca="1" si="2"/>
        <v>#VALUE!</v>
      </c>
      <c r="Y12" s="337" t="e">
        <f t="shared" ca="1" si="2"/>
        <v>#VALUE!</v>
      </c>
      <c r="Z12" s="337" t="e">
        <f t="shared" ca="1" si="2"/>
        <v>#VALUE!</v>
      </c>
      <c r="AA12" s="337" t="e">
        <f t="shared" ca="1" si="2"/>
        <v>#VALUE!</v>
      </c>
      <c r="AB12" s="337" t="e">
        <f t="shared" ca="1" si="2"/>
        <v>#VALUE!</v>
      </c>
      <c r="AC12" s="337" t="e">
        <f t="shared" ca="1" si="2"/>
        <v>#VALUE!</v>
      </c>
      <c r="AD12" s="337" t="e">
        <f t="shared" ca="1" si="2"/>
        <v>#DIV/0!</v>
      </c>
    </row>
    <row r="13" spans="3:30">
      <c r="C13" s="20" t="s">
        <v>60</v>
      </c>
      <c r="E13" s="329"/>
      <c r="F13" s="329"/>
      <c r="G13" s="402"/>
      <c r="H13" s="402">
        <f>5417+112353+104210-102022</f>
        <v>119958</v>
      </c>
      <c r="I13" s="329">
        <f>8864+167574+224351-172303</f>
        <v>228486</v>
      </c>
      <c r="J13" s="52">
        <f ca="1">'Cash Flow'!H59</f>
        <v>149443.50967980342</v>
      </c>
      <c r="K13" s="52">
        <f ca="1">'Cash Flow'!I59</f>
        <v>165864.85863469099</v>
      </c>
      <c r="L13" s="52">
        <f ca="1">'Cash Flow'!J59</f>
        <v>120594.36809195251</v>
      </c>
      <c r="M13" s="52">
        <f ca="1">'Cash Flow'!K59</f>
        <v>70000</v>
      </c>
      <c r="N13" s="52">
        <f ca="1">'Cash Flow'!L59</f>
        <v>70000</v>
      </c>
      <c r="O13" s="52">
        <f ca="1">'Cash Flow'!M59</f>
        <v>70000</v>
      </c>
      <c r="P13" s="52">
        <f ca="1">'Cash Flow'!N59</f>
        <v>70000</v>
      </c>
      <c r="Q13" s="52">
        <f ca="1">'Cash Flow'!O59</f>
        <v>70000</v>
      </c>
      <c r="R13" s="52">
        <f ca="1">'Cash Flow'!P59</f>
        <v>70000</v>
      </c>
      <c r="S13" s="52">
        <f ca="1">'Cash Flow'!Q59</f>
        <v>70000</v>
      </c>
      <c r="T13" s="52">
        <f ca="1">'Cash Flow'!R59</f>
        <v>70000</v>
      </c>
      <c r="U13" s="52" t="e">
        <f ca="1">'Cash Flow'!S59</f>
        <v>#VALUE!</v>
      </c>
      <c r="V13" s="52" t="e">
        <f ca="1">'Cash Flow'!T59</f>
        <v>#VALUE!</v>
      </c>
      <c r="W13" s="52" t="e">
        <f ca="1">'Cash Flow'!U59</f>
        <v>#VALUE!</v>
      </c>
      <c r="X13" s="52" t="e">
        <f ca="1">'Cash Flow'!V59</f>
        <v>#VALUE!</v>
      </c>
      <c r="Y13" s="52" t="e">
        <f ca="1">'Cash Flow'!W59</f>
        <v>#VALUE!</v>
      </c>
      <c r="Z13" s="52" t="e">
        <f ca="1">'Cash Flow'!X59</f>
        <v>#VALUE!</v>
      </c>
      <c r="AA13" s="52" t="e">
        <f ca="1">'Cash Flow'!Y59</f>
        <v>#VALUE!</v>
      </c>
      <c r="AB13" s="52" t="e">
        <f ca="1">'Cash Flow'!Z59</f>
        <v>#VALUE!</v>
      </c>
      <c r="AC13" s="52" t="e">
        <f ca="1">'Cash Flow'!AA59</f>
        <v>#VALUE!</v>
      </c>
      <c r="AD13" s="52" t="e">
        <f ca="1">'Cash Flow'!AB59</f>
        <v>#DIV/0!</v>
      </c>
    </row>
    <row r="14" spans="3:30">
      <c r="C14" s="19" t="s">
        <v>476</v>
      </c>
      <c r="E14" s="328"/>
      <c r="F14" s="328"/>
      <c r="G14" s="328"/>
      <c r="H14" s="328"/>
      <c r="I14" s="329"/>
      <c r="J14" s="52">
        <f>'Working Capital'!I13</f>
        <v>0</v>
      </c>
      <c r="K14" s="52">
        <f>'Working Capital'!J13</f>
        <v>0</v>
      </c>
      <c r="L14" s="52">
        <f>'Working Capital'!K13</f>
        <v>0</v>
      </c>
      <c r="M14" s="52">
        <f>'Working Capital'!L13</f>
        <v>0</v>
      </c>
      <c r="N14" s="52">
        <f>'Working Capital'!M13</f>
        <v>0</v>
      </c>
      <c r="O14" s="52">
        <f>'Working Capital'!N13</f>
        <v>0</v>
      </c>
      <c r="P14" s="52">
        <f>'Working Capital'!O13</f>
        <v>0</v>
      </c>
      <c r="Q14" s="52">
        <f>'Working Capital'!P13</f>
        <v>0</v>
      </c>
      <c r="R14" s="52">
        <f>'Working Capital'!Q13</f>
        <v>0</v>
      </c>
      <c r="S14" s="52">
        <f>'Working Capital'!R13</f>
        <v>0</v>
      </c>
      <c r="T14" s="52">
        <f>'Working Capital'!S13</f>
        <v>0</v>
      </c>
      <c r="U14" s="52">
        <f>'Working Capital'!T13</f>
        <v>0</v>
      </c>
      <c r="V14" s="52">
        <f>'Working Capital'!U13</f>
        <v>0</v>
      </c>
      <c r="W14" s="52">
        <f>'Working Capital'!V13</f>
        <v>0</v>
      </c>
      <c r="X14" s="52">
        <f>'Working Capital'!W13</f>
        <v>0</v>
      </c>
      <c r="Y14" s="52">
        <f>'Working Capital'!X13</f>
        <v>0</v>
      </c>
      <c r="Z14" s="52">
        <f>'Working Capital'!Y13</f>
        <v>0</v>
      </c>
      <c r="AA14" s="52">
        <f>'Working Capital'!Z13</f>
        <v>0</v>
      </c>
      <c r="AB14" s="52">
        <f>'Working Capital'!AA13</f>
        <v>0</v>
      </c>
      <c r="AC14" s="52">
        <f>'Working Capital'!AB13</f>
        <v>0</v>
      </c>
      <c r="AD14" s="52">
        <f>'Working Capital'!AC13</f>
        <v>0</v>
      </c>
    </row>
    <row r="15" spans="3:30">
      <c r="C15" s="403" t="s">
        <v>499</v>
      </c>
      <c r="E15" s="328"/>
      <c r="F15" s="328"/>
      <c r="G15" s="328"/>
      <c r="H15" s="328">
        <v>102022</v>
      </c>
      <c r="I15" s="329">
        <v>172303</v>
      </c>
      <c r="J15" s="52">
        <f>'Working Capital'!I14</f>
        <v>185298.0279760407</v>
      </c>
      <c r="K15" s="52">
        <f>'Working Capital'!J14</f>
        <v>202410.9696789498</v>
      </c>
      <c r="L15" s="52">
        <f>'Working Capital'!K14</f>
        <v>217651.61723750833</v>
      </c>
      <c r="M15" s="52">
        <f>'Working Capital'!L14</f>
        <v>234399.17473120851</v>
      </c>
      <c r="N15" s="52">
        <f>'Working Capital'!M14</f>
        <v>253008.3901606185</v>
      </c>
      <c r="O15" s="52">
        <f>'Working Capital'!N14</f>
        <v>272986.88816679042</v>
      </c>
      <c r="P15" s="52">
        <f>'Working Capital'!O14</f>
        <v>294738.53210159286</v>
      </c>
      <c r="Q15" s="52">
        <f>'Working Capital'!P14</f>
        <v>318237.23520854372</v>
      </c>
      <c r="R15" s="52">
        <f>'Working Capital'!Q14</f>
        <v>343414.91049657325</v>
      </c>
      <c r="S15" s="52">
        <f>'Working Capital'!R14</f>
        <v>370440.2744570137</v>
      </c>
      <c r="T15" s="52">
        <f>'Working Capital'!S14</f>
        <v>399699.64954256045</v>
      </c>
      <c r="U15" s="52">
        <f>'Working Capital'!T14</f>
        <v>434373.59414037754</v>
      </c>
      <c r="V15" s="52">
        <f>'Working Capital'!U14</f>
        <v>472055.50343205524</v>
      </c>
      <c r="W15" s="52">
        <f>'Working Capital'!V14</f>
        <v>513006.31835478597</v>
      </c>
      <c r="X15" s="52">
        <f>'Working Capital'!W14</f>
        <v>557509.61647206359</v>
      </c>
      <c r="Y15" s="52">
        <f>'Working Capital'!X14</f>
        <v>605873.57570101507</v>
      </c>
      <c r="Z15" s="52">
        <f>'Working Capital'!Y14</f>
        <v>658433.10839307809</v>
      </c>
      <c r="AA15" s="52">
        <f>'Working Capital'!Z14</f>
        <v>715552.18054617743</v>
      </c>
      <c r="AB15" s="52">
        <f>'Working Capital'!AA14</f>
        <v>777626.33220855822</v>
      </c>
      <c r="AC15" s="52">
        <f>'Working Capital'!AB14</f>
        <v>777626.33220855822</v>
      </c>
      <c r="AD15" s="52">
        <f>'Working Capital'!AC14</f>
        <v>777626.33220855822</v>
      </c>
    </row>
    <row r="16" spans="3:30">
      <c r="C16" s="403" t="s">
        <v>477</v>
      </c>
      <c r="E16" s="328"/>
      <c r="F16" s="328"/>
      <c r="G16" s="328"/>
      <c r="H16" s="328">
        <f>86898</f>
        <v>86898</v>
      </c>
      <c r="I16" s="329">
        <f>106236</f>
        <v>106236</v>
      </c>
      <c r="J16" s="52">
        <f>'Working Capital'!I15</f>
        <v>114248.27948476035</v>
      </c>
      <c r="K16" s="52">
        <f>'Working Capital'!J15</f>
        <v>124799.5204657662</v>
      </c>
      <c r="L16" s="52">
        <f>'Working Capital'!K15</f>
        <v>134196.37039891319</v>
      </c>
      <c r="M16" s="52">
        <f>'Working Capital'!L15</f>
        <v>144522.32826326104</v>
      </c>
      <c r="N16" s="52">
        <f>'Working Capital'!M15</f>
        <v>155996.11926143753</v>
      </c>
      <c r="O16" s="52">
        <f>'Working Capital'!N15</f>
        <v>168314.16197795249</v>
      </c>
      <c r="P16" s="52">
        <f>'Working Capital'!O15</f>
        <v>181725.46442223771</v>
      </c>
      <c r="Q16" s="52">
        <f>'Working Capital'!P15</f>
        <v>196213.94241316084</v>
      </c>
      <c r="R16" s="52">
        <f>'Working Capital'!Q15</f>
        <v>211737.61589475494</v>
      </c>
      <c r="S16" s="52">
        <f>'Working Capital'!R15</f>
        <v>228400.50955128646</v>
      </c>
      <c r="T16" s="52">
        <f>'Working Capital'!S15</f>
        <v>246440.81628760646</v>
      </c>
      <c r="U16" s="52">
        <f>'Working Capital'!T15</f>
        <v>267819.55710055627</v>
      </c>
      <c r="V16" s="52">
        <f>'Working Capital'!U15</f>
        <v>291052.90367902949</v>
      </c>
      <c r="W16" s="52">
        <f>'Working Capital'!V15</f>
        <v>316301.74307318532</v>
      </c>
      <c r="X16" s="52">
        <f>'Working Capital'!W15</f>
        <v>343740.91928478412</v>
      </c>
      <c r="Y16" s="52">
        <f>'Working Capital'!X15</f>
        <v>373560.44403273909</v>
      </c>
      <c r="Z16" s="52">
        <f>'Working Capital'!Y15</f>
        <v>405966.81255257915</v>
      </c>
      <c r="AA16" s="52">
        <f>'Working Capital'!Z15</f>
        <v>441184.43354151532</v>
      </c>
      <c r="AB16" s="52">
        <f>'Working Capital'!AA15</f>
        <v>479457.18315124168</v>
      </c>
      <c r="AC16" s="52">
        <f>'Working Capital'!AB15</f>
        <v>479457.18315124168</v>
      </c>
      <c r="AD16" s="52">
        <f>'Working Capital'!AC15</f>
        <v>479457.18315124168</v>
      </c>
    </row>
    <row r="17" spans="3:30">
      <c r="C17" s="403" t="s">
        <v>478</v>
      </c>
      <c r="E17" s="328"/>
      <c r="F17" s="328"/>
      <c r="G17" s="328"/>
      <c r="H17" s="328">
        <v>9839</v>
      </c>
      <c r="I17" s="329">
        <v>9480</v>
      </c>
      <c r="J17" s="52">
        <f>'Working Capital'!I16</f>
        <v>10194.978063137998</v>
      </c>
      <c r="K17" s="52">
        <f>'Working Capital'!J16</f>
        <v>11136.521085276778</v>
      </c>
      <c r="L17" s="52">
        <f>'Working Capital'!K16</f>
        <v>11975.051690403414</v>
      </c>
      <c r="M17" s="52">
        <f>'Working Capital'!L16</f>
        <v>12896.491508864367</v>
      </c>
      <c r="N17" s="52">
        <f>'Working Capital'!M16</f>
        <v>13920.358546993748</v>
      </c>
      <c r="O17" s="52">
        <f>'Working Capital'!N16</f>
        <v>15019.562629908787</v>
      </c>
      <c r="P17" s="52">
        <f>'Working Capital'!O16</f>
        <v>16216.324058914244</v>
      </c>
      <c r="Q17" s="52">
        <f>'Working Capital'!P16</f>
        <v>17509.207557483009</v>
      </c>
      <c r="R17" s="52">
        <f>'Working Capital'!Q16</f>
        <v>18894.467023252731</v>
      </c>
      <c r="S17" s="52">
        <f>'Working Capital'!R16</f>
        <v>20381.385128828231</v>
      </c>
      <c r="T17" s="52">
        <f>'Working Capital'!S16</f>
        <v>21991.217086547964</v>
      </c>
      <c r="U17" s="52">
        <f>'Working Capital'!T16</f>
        <v>23898.955168805998</v>
      </c>
      <c r="V17" s="52">
        <f>'Working Capital'!U16</f>
        <v>25972.189529699914</v>
      </c>
      <c r="W17" s="52">
        <f>'Working Capital'!V16</f>
        <v>28225.276971401381</v>
      </c>
      <c r="X17" s="52">
        <f>'Working Capital'!W16</f>
        <v>30673.819748670448</v>
      </c>
      <c r="Y17" s="52">
        <f>'Working Capital'!X16</f>
        <v>33334.773611867604</v>
      </c>
      <c r="Z17" s="52">
        <f>'Working Capital'!Y16</f>
        <v>36226.565222697114</v>
      </c>
      <c r="AA17" s="52">
        <f>'Working Capital'!Z16</f>
        <v>39369.219755766084</v>
      </c>
      <c r="AB17" s="52">
        <f>'Working Capital'!AA16</f>
        <v>42784.499569578787</v>
      </c>
      <c r="AC17" s="52">
        <f>'Working Capital'!AB16</f>
        <v>42784.499569578787</v>
      </c>
      <c r="AD17" s="52">
        <f>'Working Capital'!AC16</f>
        <v>42784.499569578787</v>
      </c>
    </row>
    <row r="18" spans="3:30">
      <c r="C18" s="403" t="s">
        <v>479</v>
      </c>
      <c r="E18" s="328"/>
      <c r="F18" s="328"/>
      <c r="G18" s="328"/>
      <c r="H18" s="328">
        <v>45149</v>
      </c>
      <c r="I18" s="329">
        <v>52275</v>
      </c>
      <c r="J18" s="52">
        <f>'Working Capital'!I17</f>
        <v>56217.560996892273</v>
      </c>
      <c r="K18" s="52">
        <f>'Working Capital'!J17</f>
        <v>61409.455668021466</v>
      </c>
      <c r="L18" s="52">
        <f>'Working Capital'!K17</f>
        <v>66033.315096607432</v>
      </c>
      <c r="M18" s="52">
        <f>'Working Capital'!L17</f>
        <v>71114.355867709353</v>
      </c>
      <c r="N18" s="52">
        <f>'Working Capital'!M17</f>
        <v>76760.204962457618</v>
      </c>
      <c r="O18" s="52">
        <f>'Working Capital'!N17</f>
        <v>82821.480641190064</v>
      </c>
      <c r="P18" s="52">
        <f>'Working Capital'!O17</f>
        <v>89420.710989424275</v>
      </c>
      <c r="Q18" s="52">
        <f>'Working Capital'!P17</f>
        <v>96549.981547196658</v>
      </c>
      <c r="R18" s="52">
        <f>'Working Capital'!Q17</f>
        <v>104188.63540511987</v>
      </c>
      <c r="S18" s="52">
        <f>'Working Capital'!R17</f>
        <v>112387.85945247846</v>
      </c>
      <c r="T18" s="52">
        <f>'Working Capital'!S17</f>
        <v>121264.86004211969</v>
      </c>
      <c r="U18" s="52">
        <f>'Working Capital'!T17</f>
        <v>131784.58665077356</v>
      </c>
      <c r="V18" s="52">
        <f>'Working Capital'!U17</f>
        <v>143216.89954272815</v>
      </c>
      <c r="W18" s="52">
        <f>'Working Capital'!V17</f>
        <v>155640.96557805981</v>
      </c>
      <c r="X18" s="52">
        <f>'Working Capital'!W17</f>
        <v>169142.81934195649</v>
      </c>
      <c r="Y18" s="52">
        <f>'Working Capital'!X17</f>
        <v>183815.95891987119</v>
      </c>
      <c r="Z18" s="52">
        <f>'Working Capital'!Y17</f>
        <v>199761.99335616999</v>
      </c>
      <c r="AA18" s="52">
        <f>'Working Capital'!Z17</f>
        <v>217091.34627981772</v>
      </c>
      <c r="AB18" s="52">
        <f>'Working Capital'!AA17</f>
        <v>235924.02056959187</v>
      </c>
      <c r="AC18" s="52">
        <f>'Working Capital'!AB17</f>
        <v>235924.02056959187</v>
      </c>
      <c r="AD18" s="52">
        <f>'Working Capital'!AC17</f>
        <v>235924.02056959187</v>
      </c>
    </row>
    <row r="19" spans="3:30">
      <c r="C19" s="19" t="s">
        <v>480</v>
      </c>
      <c r="E19" s="328"/>
      <c r="F19" s="328"/>
      <c r="G19" s="328"/>
      <c r="H19" s="328">
        <v>12056</v>
      </c>
      <c r="I19" s="329">
        <v>32674</v>
      </c>
      <c r="J19" s="52">
        <f>'Working Capital'!I18</f>
        <v>35138.260889764861</v>
      </c>
      <c r="K19" s="52">
        <f>'Working Capital'!J18</f>
        <v>38383.406111849516</v>
      </c>
      <c r="L19" s="52">
        <f>'Working Capital'!K18</f>
        <v>41273.506216481132</v>
      </c>
      <c r="M19" s="52">
        <f>'Working Capital'!L18</f>
        <v>44449.36324479265</v>
      </c>
      <c r="N19" s="52">
        <f>'Working Capital'!M18</f>
        <v>47978.248435071066</v>
      </c>
      <c r="O19" s="52">
        <f>'Working Capital'!N18</f>
        <v>51766.792127599125</v>
      </c>
      <c r="P19" s="52">
        <f>'Working Capital'!O18</f>
        <v>55891.579356641771</v>
      </c>
      <c r="Q19" s="52">
        <f>'Working Capital'!P18</f>
        <v>60347.66326299576</v>
      </c>
      <c r="R19" s="52">
        <f>'Working Capital'!Q18</f>
        <v>65122.132438582252</v>
      </c>
      <c r="S19" s="52">
        <f>'Working Capital'!R18</f>
        <v>70246.980769971895</v>
      </c>
      <c r="T19" s="52">
        <f>'Working Capital'!S18</f>
        <v>75795.466992180183</v>
      </c>
      <c r="U19" s="52">
        <f>'Working Capital'!T18</f>
        <v>82370.723753751809</v>
      </c>
      <c r="V19" s="52">
        <f>'Working Capital'!U18</f>
        <v>89516.38403938977</v>
      </c>
      <c r="W19" s="52">
        <f>'Working Capital'!V18</f>
        <v>97281.930354806813</v>
      </c>
      <c r="X19" s="52">
        <f>'Working Capital'!W18</f>
        <v>105721.1378130863</v>
      </c>
      <c r="Y19" s="52">
        <f>'Working Capital'!X18</f>
        <v>114892.44651837152</v>
      </c>
      <c r="Z19" s="52">
        <f>'Working Capital'!Y18</f>
        <v>124859.36625384024</v>
      </c>
      <c r="AA19" s="52">
        <f>'Working Capital'!Z18</f>
        <v>135690.91627636086</v>
      </c>
      <c r="AB19" s="52">
        <f>'Working Capital'!AA18</f>
        <v>147462.10326333516</v>
      </c>
      <c r="AC19" s="52">
        <f>'Working Capital'!AB18</f>
        <v>147462.10326333516</v>
      </c>
      <c r="AD19" s="52">
        <f>'Working Capital'!AC18</f>
        <v>147462.10326333516</v>
      </c>
    </row>
    <row r="20" spans="3:30">
      <c r="C20" s="19" t="s">
        <v>153</v>
      </c>
      <c r="E20" s="336">
        <f>SUM(E21:E25)</f>
        <v>0</v>
      </c>
      <c r="F20" s="336">
        <f>SUM(F21:F25)</f>
        <v>0</v>
      </c>
      <c r="G20" s="336">
        <f>SUM(G21:G25)</f>
        <v>0</v>
      </c>
      <c r="H20" s="336">
        <f>SUM(H21:H25)</f>
        <v>0</v>
      </c>
      <c r="I20" s="336">
        <f>SUM(I21:I25)</f>
        <v>0</v>
      </c>
      <c r="J20" s="336">
        <f t="shared" ref="J20:AD20" si="3">SUM(J21:J25)</f>
        <v>0</v>
      </c>
      <c r="K20" s="336">
        <f t="shared" si="3"/>
        <v>0</v>
      </c>
      <c r="L20" s="336">
        <f t="shared" si="3"/>
        <v>0</v>
      </c>
      <c r="M20" s="336">
        <f t="shared" si="3"/>
        <v>0</v>
      </c>
      <c r="N20" s="336">
        <f t="shared" si="3"/>
        <v>0</v>
      </c>
      <c r="O20" s="336">
        <f t="shared" si="3"/>
        <v>0</v>
      </c>
      <c r="P20" s="336">
        <f t="shared" si="3"/>
        <v>0</v>
      </c>
      <c r="Q20" s="336">
        <f t="shared" si="3"/>
        <v>0</v>
      </c>
      <c r="R20" s="336">
        <f t="shared" si="3"/>
        <v>0</v>
      </c>
      <c r="S20" s="336">
        <f t="shared" si="3"/>
        <v>0</v>
      </c>
      <c r="T20" s="336">
        <f t="shared" si="3"/>
        <v>0</v>
      </c>
      <c r="U20" s="336">
        <f t="shared" si="3"/>
        <v>0</v>
      </c>
      <c r="V20" s="336">
        <f t="shared" si="3"/>
        <v>0</v>
      </c>
      <c r="W20" s="336">
        <f t="shared" si="3"/>
        <v>0</v>
      </c>
      <c r="X20" s="336">
        <f t="shared" si="3"/>
        <v>0</v>
      </c>
      <c r="Y20" s="336">
        <f t="shared" si="3"/>
        <v>0</v>
      </c>
      <c r="Z20" s="336">
        <f t="shared" si="3"/>
        <v>0</v>
      </c>
      <c r="AA20" s="336">
        <f t="shared" si="3"/>
        <v>0</v>
      </c>
      <c r="AB20" s="336">
        <f t="shared" si="3"/>
        <v>0</v>
      </c>
      <c r="AC20" s="336">
        <f t="shared" si="3"/>
        <v>0</v>
      </c>
      <c r="AD20" s="336">
        <f t="shared" si="3"/>
        <v>0</v>
      </c>
    </row>
    <row r="21" spans="3:30">
      <c r="C21" s="21" t="s">
        <v>415</v>
      </c>
      <c r="E21" s="328"/>
      <c r="F21" s="328"/>
      <c r="G21" s="328"/>
      <c r="H21" s="328"/>
      <c r="I21" s="3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 spans="3:30">
      <c r="C22" s="21" t="s">
        <v>437</v>
      </c>
      <c r="E22" s="328"/>
      <c r="F22" s="328"/>
      <c r="G22" s="328"/>
      <c r="H22" s="328"/>
      <c r="I22" s="329"/>
      <c r="J22" s="52">
        <f>I22</f>
        <v>0</v>
      </c>
      <c r="K22" s="52">
        <f>J22</f>
        <v>0</v>
      </c>
      <c r="L22" s="52">
        <f t="shared" ref="L22:AD23" si="4">K22</f>
        <v>0</v>
      </c>
      <c r="M22" s="52">
        <f t="shared" si="4"/>
        <v>0</v>
      </c>
      <c r="N22" s="52">
        <f t="shared" si="4"/>
        <v>0</v>
      </c>
      <c r="O22" s="52">
        <f t="shared" si="4"/>
        <v>0</v>
      </c>
      <c r="P22" s="52">
        <f t="shared" si="4"/>
        <v>0</v>
      </c>
      <c r="Q22" s="52">
        <f t="shared" si="4"/>
        <v>0</v>
      </c>
      <c r="R22" s="52">
        <f t="shared" si="4"/>
        <v>0</v>
      </c>
      <c r="S22" s="52">
        <f t="shared" si="4"/>
        <v>0</v>
      </c>
      <c r="T22" s="52">
        <f t="shared" si="4"/>
        <v>0</v>
      </c>
      <c r="U22" s="52">
        <f t="shared" si="4"/>
        <v>0</v>
      </c>
      <c r="V22" s="52">
        <f t="shared" si="4"/>
        <v>0</v>
      </c>
      <c r="W22" s="52">
        <f t="shared" si="4"/>
        <v>0</v>
      </c>
      <c r="X22" s="52">
        <f t="shared" si="4"/>
        <v>0</v>
      </c>
      <c r="Y22" s="52">
        <f t="shared" si="4"/>
        <v>0</v>
      </c>
      <c r="Z22" s="52">
        <f t="shared" si="4"/>
        <v>0</v>
      </c>
      <c r="AA22" s="52">
        <f t="shared" si="4"/>
        <v>0</v>
      </c>
      <c r="AB22" s="52">
        <f t="shared" si="4"/>
        <v>0</v>
      </c>
      <c r="AC22" s="52">
        <f t="shared" si="4"/>
        <v>0</v>
      </c>
      <c r="AD22" s="52">
        <f t="shared" si="4"/>
        <v>0</v>
      </c>
    </row>
    <row r="23" spans="3:30" ht="14.25" customHeight="1">
      <c r="C23" s="21" t="s">
        <v>251</v>
      </c>
      <c r="E23" s="328"/>
      <c r="F23" s="328"/>
      <c r="G23" s="328"/>
      <c r="H23" s="328"/>
      <c r="I23" s="329"/>
      <c r="J23" s="52">
        <f>I23</f>
        <v>0</v>
      </c>
      <c r="K23" s="52">
        <f>J23</f>
        <v>0</v>
      </c>
      <c r="L23" s="52">
        <f t="shared" si="4"/>
        <v>0</v>
      </c>
      <c r="M23" s="52">
        <f t="shared" si="4"/>
        <v>0</v>
      </c>
      <c r="N23" s="52">
        <f t="shared" si="4"/>
        <v>0</v>
      </c>
      <c r="O23" s="52">
        <f t="shared" si="4"/>
        <v>0</v>
      </c>
      <c r="P23" s="52">
        <f t="shared" si="4"/>
        <v>0</v>
      </c>
      <c r="Q23" s="52">
        <f t="shared" si="4"/>
        <v>0</v>
      </c>
      <c r="R23" s="52">
        <f t="shared" si="4"/>
        <v>0</v>
      </c>
      <c r="S23" s="52">
        <f t="shared" si="4"/>
        <v>0</v>
      </c>
      <c r="T23" s="52">
        <f t="shared" si="4"/>
        <v>0</v>
      </c>
      <c r="U23" s="52">
        <f t="shared" si="4"/>
        <v>0</v>
      </c>
      <c r="V23" s="52">
        <f t="shared" si="4"/>
        <v>0</v>
      </c>
      <c r="W23" s="52">
        <f t="shared" si="4"/>
        <v>0</v>
      </c>
      <c r="X23" s="52">
        <f t="shared" si="4"/>
        <v>0</v>
      </c>
      <c r="Y23" s="52">
        <f t="shared" ref="Y23" si="5">X23</f>
        <v>0</v>
      </c>
      <c r="Z23" s="52">
        <f t="shared" ref="Z23" si="6">Y23</f>
        <v>0</v>
      </c>
      <c r="AA23" s="52">
        <f t="shared" ref="AA23" si="7">Z23</f>
        <v>0</v>
      </c>
      <c r="AB23" s="52">
        <f t="shared" ref="AB23" si="8">AA23</f>
        <v>0</v>
      </c>
      <c r="AC23" s="52">
        <f t="shared" ref="AC23" si="9">AB23</f>
        <v>0</v>
      </c>
      <c r="AD23" s="52">
        <f t="shared" ref="AD23" si="10">AC23</f>
        <v>0</v>
      </c>
    </row>
    <row r="24" spans="3:30">
      <c r="C24" s="21" t="s">
        <v>429</v>
      </c>
      <c r="E24" s="328"/>
      <c r="F24" s="328"/>
      <c r="G24" s="328"/>
      <c r="H24" s="328"/>
      <c r="I24" s="329"/>
      <c r="J24" s="52"/>
      <c r="K24" s="52"/>
      <c r="L24" s="52"/>
      <c r="M24" s="52"/>
      <c r="N24" s="52"/>
      <c r="O24" s="52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spans="3:30">
      <c r="C25" s="21" t="s">
        <v>430</v>
      </c>
      <c r="E25" s="328"/>
      <c r="F25" s="328"/>
      <c r="G25" s="328"/>
      <c r="H25" s="328"/>
      <c r="I25" s="3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spans="3:30">
      <c r="C26" s="19"/>
      <c r="E26" s="330"/>
      <c r="F26" s="330"/>
      <c r="G26" s="330"/>
      <c r="H26" s="330"/>
      <c r="I26" s="326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spans="3:30">
      <c r="C27" s="2" t="s">
        <v>38</v>
      </c>
      <c r="E27" s="337">
        <f t="shared" ref="E27:I27" si="11">SUM(E28:E32)</f>
        <v>0</v>
      </c>
      <c r="F27" s="337">
        <f t="shared" si="11"/>
        <v>0</v>
      </c>
      <c r="G27" s="337">
        <f t="shared" si="11"/>
        <v>0</v>
      </c>
      <c r="H27" s="337">
        <f t="shared" si="11"/>
        <v>741463</v>
      </c>
      <c r="I27" s="337">
        <f t="shared" si="11"/>
        <v>708901</v>
      </c>
      <c r="J27" s="337">
        <f t="shared" ref="J27:X27" si="12">SUM(J28:J32)</f>
        <v>708901</v>
      </c>
      <c r="K27" s="337">
        <f t="shared" si="12"/>
        <v>708901</v>
      </c>
      <c r="L27" s="337">
        <f t="shared" si="12"/>
        <v>708901</v>
      </c>
      <c r="M27" s="337">
        <f t="shared" si="12"/>
        <v>708901</v>
      </c>
      <c r="N27" s="337">
        <f t="shared" si="12"/>
        <v>708901</v>
      </c>
      <c r="O27" s="337">
        <f t="shared" si="12"/>
        <v>708901</v>
      </c>
      <c r="P27" s="337">
        <f t="shared" si="12"/>
        <v>708901</v>
      </c>
      <c r="Q27" s="337">
        <f t="shared" si="12"/>
        <v>708901</v>
      </c>
      <c r="R27" s="337">
        <f t="shared" si="12"/>
        <v>708901</v>
      </c>
      <c r="S27" s="337">
        <f t="shared" si="12"/>
        <v>708901</v>
      </c>
      <c r="T27" s="337">
        <f t="shared" si="12"/>
        <v>708901</v>
      </c>
      <c r="U27" s="337">
        <f t="shared" si="12"/>
        <v>708901</v>
      </c>
      <c r="V27" s="337">
        <f t="shared" si="12"/>
        <v>708901</v>
      </c>
      <c r="W27" s="337">
        <f t="shared" si="12"/>
        <v>708901</v>
      </c>
      <c r="X27" s="337">
        <f t="shared" si="12"/>
        <v>708901</v>
      </c>
      <c r="Y27" s="337">
        <f t="shared" ref="Y27:AD27" si="13">SUM(Y28:Y32)</f>
        <v>708901</v>
      </c>
      <c r="Z27" s="337">
        <f t="shared" si="13"/>
        <v>708901</v>
      </c>
      <c r="AA27" s="337">
        <f t="shared" si="13"/>
        <v>708901</v>
      </c>
      <c r="AB27" s="337">
        <f t="shared" si="13"/>
        <v>708901</v>
      </c>
      <c r="AC27" s="337">
        <f t="shared" si="13"/>
        <v>708901</v>
      </c>
      <c r="AD27" s="337">
        <f t="shared" si="13"/>
        <v>708901</v>
      </c>
    </row>
    <row r="28" spans="3:30">
      <c r="C28" s="474" t="s">
        <v>481</v>
      </c>
      <c r="E28" s="328"/>
      <c r="F28" s="328"/>
      <c r="G28" s="328"/>
      <c r="H28" s="328">
        <v>6460</v>
      </c>
      <c r="I28" s="329">
        <v>8368</v>
      </c>
      <c r="J28" s="52">
        <f t="shared" ref="J28:K32" si="14">I28</f>
        <v>8368</v>
      </c>
      <c r="K28" s="52">
        <f t="shared" si="14"/>
        <v>8368</v>
      </c>
      <c r="L28" s="52">
        <f t="shared" ref="L28:AD28" si="15">K28</f>
        <v>8368</v>
      </c>
      <c r="M28" s="52">
        <f t="shared" si="15"/>
        <v>8368</v>
      </c>
      <c r="N28" s="52">
        <f t="shared" si="15"/>
        <v>8368</v>
      </c>
      <c r="O28" s="52">
        <f t="shared" si="15"/>
        <v>8368</v>
      </c>
      <c r="P28" s="52">
        <f t="shared" si="15"/>
        <v>8368</v>
      </c>
      <c r="Q28" s="52">
        <f t="shared" si="15"/>
        <v>8368</v>
      </c>
      <c r="R28" s="52">
        <f t="shared" si="15"/>
        <v>8368</v>
      </c>
      <c r="S28" s="52">
        <f t="shared" si="15"/>
        <v>8368</v>
      </c>
      <c r="T28" s="52">
        <f t="shared" si="15"/>
        <v>8368</v>
      </c>
      <c r="U28" s="52">
        <f t="shared" si="15"/>
        <v>8368</v>
      </c>
      <c r="V28" s="52">
        <f t="shared" si="15"/>
        <v>8368</v>
      </c>
      <c r="W28" s="52">
        <f t="shared" si="15"/>
        <v>8368</v>
      </c>
      <c r="X28" s="52">
        <f t="shared" si="15"/>
        <v>8368</v>
      </c>
      <c r="Y28" s="52">
        <f t="shared" si="15"/>
        <v>8368</v>
      </c>
      <c r="Z28" s="52">
        <f t="shared" si="15"/>
        <v>8368</v>
      </c>
      <c r="AA28" s="52">
        <f t="shared" si="15"/>
        <v>8368</v>
      </c>
      <c r="AB28" s="52">
        <f t="shared" si="15"/>
        <v>8368</v>
      </c>
      <c r="AC28" s="52">
        <f t="shared" si="15"/>
        <v>8368</v>
      </c>
      <c r="AD28" s="52">
        <f t="shared" si="15"/>
        <v>8368</v>
      </c>
    </row>
    <row r="29" spans="3:30">
      <c r="C29" s="473" t="s">
        <v>482</v>
      </c>
      <c r="E29" s="328"/>
      <c r="F29" s="328"/>
      <c r="G29" s="328"/>
      <c r="H29" s="328">
        <v>45783</v>
      </c>
      <c r="I29" s="329">
        <v>65262</v>
      </c>
      <c r="J29" s="29">
        <f t="shared" si="14"/>
        <v>65262</v>
      </c>
      <c r="K29" s="29">
        <f t="shared" si="14"/>
        <v>65262</v>
      </c>
      <c r="L29" s="29">
        <f t="shared" ref="L29:AD32" si="16">K29</f>
        <v>65262</v>
      </c>
      <c r="M29" s="29">
        <f t="shared" si="16"/>
        <v>65262</v>
      </c>
      <c r="N29" s="29">
        <f t="shared" si="16"/>
        <v>65262</v>
      </c>
      <c r="O29" s="29">
        <f t="shared" si="16"/>
        <v>65262</v>
      </c>
      <c r="P29" s="29">
        <f t="shared" si="16"/>
        <v>65262</v>
      </c>
      <c r="Q29" s="29">
        <f t="shared" si="16"/>
        <v>65262</v>
      </c>
      <c r="R29" s="29">
        <f t="shared" si="16"/>
        <v>65262</v>
      </c>
      <c r="S29" s="29">
        <f t="shared" si="16"/>
        <v>65262</v>
      </c>
      <c r="T29" s="29">
        <f t="shared" si="16"/>
        <v>65262</v>
      </c>
      <c r="U29" s="29">
        <f t="shared" si="16"/>
        <v>65262</v>
      </c>
      <c r="V29" s="29">
        <f t="shared" si="16"/>
        <v>65262</v>
      </c>
      <c r="W29" s="29">
        <f t="shared" si="16"/>
        <v>65262</v>
      </c>
      <c r="X29" s="29">
        <f t="shared" si="16"/>
        <v>65262</v>
      </c>
      <c r="Y29" s="29">
        <f t="shared" si="16"/>
        <v>65262</v>
      </c>
      <c r="Z29" s="29">
        <f t="shared" si="16"/>
        <v>65262</v>
      </c>
      <c r="AA29" s="29">
        <f t="shared" si="16"/>
        <v>65262</v>
      </c>
      <c r="AB29" s="29">
        <f t="shared" si="16"/>
        <v>65262</v>
      </c>
      <c r="AC29" s="29">
        <f t="shared" si="16"/>
        <v>65262</v>
      </c>
      <c r="AD29" s="29">
        <f t="shared" si="16"/>
        <v>65262</v>
      </c>
    </row>
    <row r="30" spans="3:30">
      <c r="C30" s="403" t="s">
        <v>483</v>
      </c>
      <c r="E30" s="328"/>
      <c r="F30" s="328"/>
      <c r="G30" s="328"/>
      <c r="H30" s="328">
        <v>689220</v>
      </c>
      <c r="I30" s="329">
        <v>635271</v>
      </c>
      <c r="J30" s="52">
        <f t="shared" si="14"/>
        <v>635271</v>
      </c>
      <c r="K30" s="52">
        <f t="shared" si="14"/>
        <v>635271</v>
      </c>
      <c r="L30" s="52">
        <f t="shared" si="16"/>
        <v>635271</v>
      </c>
      <c r="M30" s="52">
        <f t="shared" si="16"/>
        <v>635271</v>
      </c>
      <c r="N30" s="52">
        <f t="shared" si="16"/>
        <v>635271</v>
      </c>
      <c r="O30" s="52">
        <f t="shared" si="16"/>
        <v>635271</v>
      </c>
      <c r="P30" s="52">
        <f t="shared" si="16"/>
        <v>635271</v>
      </c>
      <c r="Q30" s="52">
        <f t="shared" si="16"/>
        <v>635271</v>
      </c>
      <c r="R30" s="52">
        <f t="shared" si="16"/>
        <v>635271</v>
      </c>
      <c r="S30" s="52">
        <f t="shared" si="16"/>
        <v>635271</v>
      </c>
      <c r="T30" s="52">
        <f t="shared" si="16"/>
        <v>635271</v>
      </c>
      <c r="U30" s="52">
        <f t="shared" si="16"/>
        <v>635271</v>
      </c>
      <c r="V30" s="52">
        <f t="shared" si="16"/>
        <v>635271</v>
      </c>
      <c r="W30" s="52">
        <f t="shared" si="16"/>
        <v>635271</v>
      </c>
      <c r="X30" s="52">
        <f t="shared" si="16"/>
        <v>635271</v>
      </c>
      <c r="Y30" s="52">
        <f t="shared" si="16"/>
        <v>635271</v>
      </c>
      <c r="Z30" s="52">
        <f t="shared" si="16"/>
        <v>635271</v>
      </c>
      <c r="AA30" s="52">
        <f t="shared" si="16"/>
        <v>635271</v>
      </c>
      <c r="AB30" s="52">
        <f t="shared" si="16"/>
        <v>635271</v>
      </c>
      <c r="AC30" s="52">
        <f t="shared" si="16"/>
        <v>635271</v>
      </c>
      <c r="AD30" s="52">
        <f t="shared" si="16"/>
        <v>635271</v>
      </c>
    </row>
    <row r="31" spans="3:30">
      <c r="C31" s="9" t="s">
        <v>452</v>
      </c>
      <c r="E31" s="328"/>
      <c r="F31" s="328"/>
      <c r="G31" s="328"/>
      <c r="H31" s="328"/>
      <c r="I31" s="329"/>
      <c r="J31" s="52">
        <f t="shared" si="14"/>
        <v>0</v>
      </c>
      <c r="K31" s="52">
        <f t="shared" si="14"/>
        <v>0</v>
      </c>
      <c r="L31" s="52">
        <f t="shared" si="16"/>
        <v>0</v>
      </c>
      <c r="M31" s="52">
        <f t="shared" si="16"/>
        <v>0</v>
      </c>
      <c r="N31" s="52">
        <f t="shared" si="16"/>
        <v>0</v>
      </c>
      <c r="O31" s="52">
        <f t="shared" si="16"/>
        <v>0</v>
      </c>
      <c r="P31" s="52">
        <f t="shared" si="16"/>
        <v>0</v>
      </c>
      <c r="Q31" s="52">
        <f t="shared" si="16"/>
        <v>0</v>
      </c>
      <c r="R31" s="52">
        <f t="shared" si="16"/>
        <v>0</v>
      </c>
      <c r="S31" s="52">
        <f t="shared" si="16"/>
        <v>0</v>
      </c>
      <c r="T31" s="52">
        <f t="shared" si="16"/>
        <v>0</v>
      </c>
      <c r="U31" s="52">
        <f t="shared" si="16"/>
        <v>0</v>
      </c>
      <c r="V31" s="52">
        <f t="shared" si="16"/>
        <v>0</v>
      </c>
      <c r="W31" s="52">
        <f t="shared" si="16"/>
        <v>0</v>
      </c>
      <c r="X31" s="52">
        <f t="shared" si="16"/>
        <v>0</v>
      </c>
      <c r="Y31" s="52">
        <f t="shared" si="16"/>
        <v>0</v>
      </c>
      <c r="Z31" s="52">
        <f t="shared" si="16"/>
        <v>0</v>
      </c>
      <c r="AA31" s="52">
        <f t="shared" si="16"/>
        <v>0</v>
      </c>
      <c r="AB31" s="52">
        <f t="shared" si="16"/>
        <v>0</v>
      </c>
      <c r="AC31" s="52">
        <f t="shared" si="16"/>
        <v>0</v>
      </c>
      <c r="AD31" s="52">
        <f t="shared" si="16"/>
        <v>0</v>
      </c>
    </row>
    <row r="32" spans="3:30">
      <c r="C32" s="474" t="s">
        <v>456</v>
      </c>
      <c r="E32" s="328"/>
      <c r="F32" s="328"/>
      <c r="G32" s="328"/>
      <c r="H32" s="328"/>
      <c r="I32" s="329"/>
      <c r="J32" s="52">
        <f t="shared" si="14"/>
        <v>0</v>
      </c>
      <c r="K32" s="52">
        <f t="shared" si="14"/>
        <v>0</v>
      </c>
      <c r="L32" s="52">
        <f t="shared" si="16"/>
        <v>0</v>
      </c>
      <c r="M32" s="52">
        <f t="shared" si="16"/>
        <v>0</v>
      </c>
      <c r="N32" s="52">
        <f t="shared" si="16"/>
        <v>0</v>
      </c>
      <c r="O32" s="52">
        <f t="shared" si="16"/>
        <v>0</v>
      </c>
      <c r="P32" s="52">
        <f t="shared" si="16"/>
        <v>0</v>
      </c>
      <c r="Q32" s="52">
        <f t="shared" si="16"/>
        <v>0</v>
      </c>
      <c r="R32" s="52">
        <f t="shared" si="16"/>
        <v>0</v>
      </c>
      <c r="S32" s="52">
        <f t="shared" si="16"/>
        <v>0</v>
      </c>
      <c r="T32" s="52">
        <f t="shared" si="16"/>
        <v>0</v>
      </c>
      <c r="U32" s="52">
        <f t="shared" si="16"/>
        <v>0</v>
      </c>
      <c r="V32" s="52">
        <f t="shared" si="16"/>
        <v>0</v>
      </c>
      <c r="W32" s="52">
        <f t="shared" si="16"/>
        <v>0</v>
      </c>
      <c r="X32" s="52">
        <f t="shared" si="16"/>
        <v>0</v>
      </c>
      <c r="Y32" s="52">
        <f t="shared" si="16"/>
        <v>0</v>
      </c>
      <c r="Z32" s="52">
        <f t="shared" si="16"/>
        <v>0</v>
      </c>
      <c r="AA32" s="52">
        <f t="shared" si="16"/>
        <v>0</v>
      </c>
      <c r="AB32" s="52">
        <f t="shared" si="16"/>
        <v>0</v>
      </c>
      <c r="AC32" s="52">
        <f t="shared" si="16"/>
        <v>0</v>
      </c>
      <c r="AD32" s="52">
        <f t="shared" si="16"/>
        <v>0</v>
      </c>
    </row>
    <row r="33" spans="3:30">
      <c r="C33" s="19"/>
      <c r="E33" s="330"/>
      <c r="F33" s="330"/>
      <c r="G33" s="330"/>
      <c r="H33" s="330"/>
      <c r="I33" s="326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spans="3:30">
      <c r="C34" s="2" t="s">
        <v>39</v>
      </c>
      <c r="E34" s="327">
        <f>SUM(E35:E40)</f>
        <v>0</v>
      </c>
      <c r="F34" s="327">
        <f>SUM(F35:F40)</f>
        <v>0</v>
      </c>
      <c r="G34" s="327">
        <f>SUM(G35:G40)</f>
        <v>0</v>
      </c>
      <c r="H34" s="327">
        <f>SUM(H35:H41)</f>
        <v>297589</v>
      </c>
      <c r="I34" s="327">
        <f t="shared" ref="I34:AD34" si="17">SUM(I35:I41)</f>
        <v>407811</v>
      </c>
      <c r="J34" s="327">
        <f t="shared" ca="1" si="17"/>
        <v>518804.4</v>
      </c>
      <c r="K34" s="327">
        <f t="shared" ca="1" si="17"/>
        <v>578804.39999999991</v>
      </c>
      <c r="L34" s="327">
        <f t="shared" ca="1" si="17"/>
        <v>578804.4</v>
      </c>
      <c r="M34" s="327">
        <f t="shared" ca="1" si="17"/>
        <v>578804.4</v>
      </c>
      <c r="N34" s="327">
        <f t="shared" ca="1" si="17"/>
        <v>578804.40000000014</v>
      </c>
      <c r="O34" s="327">
        <f t="shared" ca="1" si="17"/>
        <v>578804.40000000014</v>
      </c>
      <c r="P34" s="327">
        <f t="shared" ca="1" si="17"/>
        <v>578804.40000000014</v>
      </c>
      <c r="Q34" s="327">
        <f t="shared" ca="1" si="17"/>
        <v>578804.40000000014</v>
      </c>
      <c r="R34" s="327">
        <f t="shared" ca="1" si="17"/>
        <v>578804.40000000026</v>
      </c>
      <c r="S34" s="327">
        <f t="shared" ca="1" si="17"/>
        <v>578804.40000000037</v>
      </c>
      <c r="T34" s="327">
        <f t="shared" ca="1" si="17"/>
        <v>578804.40000000037</v>
      </c>
      <c r="U34" s="327">
        <f t="shared" ca="1" si="17"/>
        <v>578804.40000000037</v>
      </c>
      <c r="V34" s="327">
        <f t="shared" ca="1" si="17"/>
        <v>578804.40000000037</v>
      </c>
      <c r="W34" s="327">
        <f t="shared" ca="1" si="17"/>
        <v>578804.40000000037</v>
      </c>
      <c r="X34" s="327">
        <f t="shared" ca="1" si="17"/>
        <v>578804.40000000037</v>
      </c>
      <c r="Y34" s="327">
        <f t="shared" ca="1" si="17"/>
        <v>578804.40000000037</v>
      </c>
      <c r="Z34" s="327">
        <f t="shared" ca="1" si="17"/>
        <v>578804.40000000014</v>
      </c>
      <c r="AA34" s="327">
        <f t="shared" ca="1" si="17"/>
        <v>578804.40000000014</v>
      </c>
      <c r="AB34" s="327">
        <f t="shared" ca="1" si="17"/>
        <v>578804.40000000014</v>
      </c>
      <c r="AC34" s="327">
        <f t="shared" ca="1" si="17"/>
        <v>578804.39999999991</v>
      </c>
      <c r="AD34" s="327">
        <f t="shared" ca="1" si="17"/>
        <v>578804.39999999991</v>
      </c>
    </row>
    <row r="35" spans="3:30">
      <c r="C35" s="403" t="s">
        <v>442</v>
      </c>
      <c r="E35" s="328"/>
      <c r="F35" s="328"/>
      <c r="G35" s="329"/>
      <c r="H35" s="329"/>
      <c r="I35" s="329"/>
      <c r="J35" s="29">
        <f>-'Cash Flow'!H38-'Goodwill, Taxes &amp; Div.'!H29</f>
        <v>0</v>
      </c>
      <c r="K35" s="29">
        <f>J35</f>
        <v>0</v>
      </c>
      <c r="L35" s="29">
        <f t="shared" ref="L35:AD35" si="18">K35</f>
        <v>0</v>
      </c>
      <c r="M35" s="29">
        <f t="shared" si="18"/>
        <v>0</v>
      </c>
      <c r="N35" s="29">
        <f t="shared" si="18"/>
        <v>0</v>
      </c>
      <c r="O35" s="29">
        <f t="shared" si="18"/>
        <v>0</v>
      </c>
      <c r="P35" s="29">
        <f t="shared" si="18"/>
        <v>0</v>
      </c>
      <c r="Q35" s="29">
        <f t="shared" si="18"/>
        <v>0</v>
      </c>
      <c r="R35" s="29">
        <f t="shared" si="18"/>
        <v>0</v>
      </c>
      <c r="S35" s="29">
        <f t="shared" si="18"/>
        <v>0</v>
      </c>
      <c r="T35" s="29">
        <f t="shared" si="18"/>
        <v>0</v>
      </c>
      <c r="U35" s="29">
        <f t="shared" si="18"/>
        <v>0</v>
      </c>
      <c r="V35" s="29">
        <f t="shared" si="18"/>
        <v>0</v>
      </c>
      <c r="W35" s="29">
        <f t="shared" si="18"/>
        <v>0</v>
      </c>
      <c r="X35" s="29">
        <f t="shared" si="18"/>
        <v>0</v>
      </c>
      <c r="Y35" s="29">
        <f t="shared" si="18"/>
        <v>0</v>
      </c>
      <c r="Z35" s="29">
        <f t="shared" si="18"/>
        <v>0</v>
      </c>
      <c r="AA35" s="29">
        <f t="shared" si="18"/>
        <v>0</v>
      </c>
      <c r="AB35" s="29">
        <f t="shared" si="18"/>
        <v>0</v>
      </c>
      <c r="AC35" s="29">
        <f t="shared" si="18"/>
        <v>0</v>
      </c>
      <c r="AD35" s="29">
        <f t="shared" si="18"/>
        <v>0</v>
      </c>
    </row>
    <row r="36" spans="3:30">
      <c r="C36" s="403" t="s">
        <v>413</v>
      </c>
      <c r="E36" s="328"/>
      <c r="F36" s="328"/>
      <c r="G36" s="328"/>
      <c r="H36" s="328"/>
      <c r="I36" s="328"/>
      <c r="J36" s="29">
        <f>I36</f>
        <v>0</v>
      </c>
      <c r="K36" s="29">
        <f>J36</f>
        <v>0</v>
      </c>
      <c r="L36" s="29">
        <f t="shared" ref="L36:AD36" si="19">K36</f>
        <v>0</v>
      </c>
      <c r="M36" s="29">
        <f t="shared" si="19"/>
        <v>0</v>
      </c>
      <c r="N36" s="29">
        <f t="shared" si="19"/>
        <v>0</v>
      </c>
      <c r="O36" s="29">
        <f t="shared" si="19"/>
        <v>0</v>
      </c>
      <c r="P36" s="29">
        <f t="shared" si="19"/>
        <v>0</v>
      </c>
      <c r="Q36" s="29">
        <f t="shared" si="19"/>
        <v>0</v>
      </c>
      <c r="R36" s="29">
        <f t="shared" si="19"/>
        <v>0</v>
      </c>
      <c r="S36" s="29">
        <f t="shared" si="19"/>
        <v>0</v>
      </c>
      <c r="T36" s="29">
        <f t="shared" si="19"/>
        <v>0</v>
      </c>
      <c r="U36" s="29">
        <f t="shared" si="19"/>
        <v>0</v>
      </c>
      <c r="V36" s="29">
        <f t="shared" si="19"/>
        <v>0</v>
      </c>
      <c r="W36" s="29">
        <f t="shared" si="19"/>
        <v>0</v>
      </c>
      <c r="X36" s="29">
        <f t="shared" si="19"/>
        <v>0</v>
      </c>
      <c r="Y36" s="29">
        <f t="shared" si="19"/>
        <v>0</v>
      </c>
      <c r="Z36" s="29">
        <f t="shared" si="19"/>
        <v>0</v>
      </c>
      <c r="AA36" s="29">
        <f t="shared" si="19"/>
        <v>0</v>
      </c>
      <c r="AB36" s="29">
        <f t="shared" si="19"/>
        <v>0</v>
      </c>
      <c r="AC36" s="29">
        <f t="shared" si="19"/>
        <v>0</v>
      </c>
      <c r="AD36" s="29">
        <f t="shared" si="19"/>
        <v>0</v>
      </c>
    </row>
    <row r="37" spans="3:30">
      <c r="C37" s="403" t="s">
        <v>71</v>
      </c>
      <c r="E37" s="328"/>
      <c r="F37" s="328"/>
      <c r="G37" s="328"/>
      <c r="H37" s="329">
        <v>197195</v>
      </c>
      <c r="I37" s="329">
        <v>280066</v>
      </c>
      <c r="J37" s="29">
        <f ca="1">'Fixed Assets &amp; CAPEX'!H10-J38</f>
        <v>419066</v>
      </c>
      <c r="K37" s="29">
        <f ca="1">'Fixed Assets &amp; CAPEX'!I10-K38</f>
        <v>526929.74285714282</v>
      </c>
      <c r="L37" s="29">
        <f ca="1">'Fixed Assets &amp; CAPEX'!J10-L38</f>
        <v>590202.59183673467</v>
      </c>
      <c r="M37" s="29">
        <f ca="1">'Fixed Assets &amp; CAPEX'!K10-M38</f>
        <v>662514.41924198251</v>
      </c>
      <c r="N37" s="29">
        <f ca="1">'Fixed Assets &amp; CAPEX'!L10-N38</f>
        <v>745156.50770512293</v>
      </c>
      <c r="O37" s="29">
        <f ca="1">'Fixed Assets &amp; CAPEX'!M10-O38</f>
        <v>839604.6088058548</v>
      </c>
      <c r="P37" s="29">
        <f ca="1">'Fixed Assets &amp; CAPEX'!N10-P38</f>
        <v>947545.2957781197</v>
      </c>
      <c r="Q37" s="29">
        <f ca="1">'Fixed Assets &amp; CAPEX'!O10-Q38</f>
        <v>1070906.0808892797</v>
      </c>
      <c r="R37" s="29">
        <f ca="1">'Fixed Assets &amp; CAPEX'!P10-R38</f>
        <v>1192032.6924448912</v>
      </c>
      <c r="S37" s="29">
        <f ca="1">'Fixed Assets &amp; CAPEX'!Q10-S38</f>
        <v>1315053.9995288553</v>
      </c>
      <c r="T37" s="29">
        <f ca="1">'Fixed Assets &amp; CAPEX'!R10-T38</f>
        <v>1446610.8006277296</v>
      </c>
      <c r="U37" s="29">
        <f ca="1">'Fixed Assets &amp; CAPEX'!S10-U38</f>
        <v>1586631.169397122</v>
      </c>
      <c r="V37" s="29">
        <f ca="1">'Fixed Assets &amp; CAPEX'!T10-V38</f>
        <v>1706841.8353531219</v>
      </c>
      <c r="W37" s="29">
        <f ca="1">'Fixed Assets &amp; CAPEX'!U10-W38</f>
        <v>1830732.8677170172</v>
      </c>
      <c r="X37" s="29">
        <f ca="1">'Fixed Assets &amp; CAPEX'!V10-X38</f>
        <v>1956902.5208511453</v>
      </c>
      <c r="Y37" s="29">
        <f ca="1">'Fixed Assets &amp; CAPEX'!W10-Y38</f>
        <v>2083473.4408456974</v>
      </c>
      <c r="Z37" s="29">
        <f ca="1">'Fixed Assets &amp; CAPEX'!X10-Z38</f>
        <v>2210822.1191886696</v>
      </c>
      <c r="AA37" s="29">
        <f ca="1">'Fixed Assets &amp; CAPEX'!Y10-AA38</f>
        <v>2338788.993425786</v>
      </c>
      <c r="AB37" s="29">
        <f ca="1">'Fixed Assets &amp; CAPEX'!Z10-AB38</f>
        <v>2466243.0209683655</v>
      </c>
      <c r="AC37" s="29">
        <f ca="1">'Fixed Assets &amp; CAPEX'!AA10-AC38</f>
        <v>2591901.8569071144</v>
      </c>
      <c r="AD37" s="29">
        <f ca="1">'Fixed Assets &amp; CAPEX'!AB10-AD38</f>
        <v>2718339.0028433991</v>
      </c>
    </row>
    <row r="38" spans="3:30">
      <c r="C38" s="19" t="s">
        <v>355</v>
      </c>
      <c r="E38" s="328"/>
      <c r="F38" s="328"/>
      <c r="G38" s="328"/>
      <c r="H38" s="328"/>
      <c r="I38" s="328"/>
      <c r="J38" s="52">
        <v>0</v>
      </c>
      <c r="K38" s="52">
        <f>J38</f>
        <v>0</v>
      </c>
      <c r="L38" s="52">
        <f t="shared" ref="L38:AD38" si="20">K38</f>
        <v>0</v>
      </c>
      <c r="M38" s="52">
        <f t="shared" si="20"/>
        <v>0</v>
      </c>
      <c r="N38" s="52">
        <f t="shared" si="20"/>
        <v>0</v>
      </c>
      <c r="O38" s="52">
        <f t="shared" si="20"/>
        <v>0</v>
      </c>
      <c r="P38" s="52">
        <f t="shared" si="20"/>
        <v>0</v>
      </c>
      <c r="Q38" s="52">
        <f t="shared" si="20"/>
        <v>0</v>
      </c>
      <c r="R38" s="52">
        <f t="shared" si="20"/>
        <v>0</v>
      </c>
      <c r="S38" s="52">
        <f t="shared" si="20"/>
        <v>0</v>
      </c>
      <c r="T38" s="52">
        <f t="shared" si="20"/>
        <v>0</v>
      </c>
      <c r="U38" s="52">
        <f t="shared" si="20"/>
        <v>0</v>
      </c>
      <c r="V38" s="52">
        <f t="shared" si="20"/>
        <v>0</v>
      </c>
      <c r="W38" s="52">
        <f t="shared" si="20"/>
        <v>0</v>
      </c>
      <c r="X38" s="52">
        <f t="shared" si="20"/>
        <v>0</v>
      </c>
      <c r="Y38" s="52">
        <f t="shared" si="20"/>
        <v>0</v>
      </c>
      <c r="Z38" s="52">
        <f t="shared" si="20"/>
        <v>0</v>
      </c>
      <c r="AA38" s="52">
        <f t="shared" si="20"/>
        <v>0</v>
      </c>
      <c r="AB38" s="52">
        <f t="shared" si="20"/>
        <v>0</v>
      </c>
      <c r="AC38" s="52">
        <f t="shared" si="20"/>
        <v>0</v>
      </c>
      <c r="AD38" s="52">
        <f t="shared" si="20"/>
        <v>0</v>
      </c>
    </row>
    <row r="39" spans="3:30">
      <c r="C39" s="21" t="s">
        <v>500</v>
      </c>
      <c r="E39" s="328"/>
      <c r="F39" s="328"/>
      <c r="G39" s="328"/>
      <c r="H39" s="328"/>
      <c r="I39" s="328">
        <v>0</v>
      </c>
      <c r="J39" s="52">
        <f ca="1">'Fixed Assets &amp; CAPEX'!H24</f>
        <v>-28006.6</v>
      </c>
      <c r="K39" s="52">
        <f ca="1">'Fixed Assets &amp; CAPEX'!I24</f>
        <v>-75870.342857142852</v>
      </c>
      <c r="L39" s="52">
        <f ca="1">'Fixed Assets &amp; CAPEX'!J24</f>
        <v>-139143.19183673468</v>
      </c>
      <c r="M39" s="52">
        <f ca="1">'Fixed Assets &amp; CAPEX'!K24</f>
        <v>-211455.01924198249</v>
      </c>
      <c r="N39" s="52">
        <f ca="1">'Fixed Assets &amp; CAPEX'!L24</f>
        <v>-294097.10770512285</v>
      </c>
      <c r="O39" s="52">
        <f ca="1">'Fixed Assets &amp; CAPEX'!M24</f>
        <v>-388545.20880585467</v>
      </c>
      <c r="P39" s="52">
        <f ca="1">'Fixed Assets &amp; CAPEX'!N24</f>
        <v>-496485.89577811962</v>
      </c>
      <c r="Q39" s="52">
        <f ca="1">'Fixed Assets &amp; CAPEX'!O24</f>
        <v>-619846.68088927958</v>
      </c>
      <c r="R39" s="52">
        <f ca="1">'Fixed Assets &amp; CAPEX'!P24</f>
        <v>-740973.29244489095</v>
      </c>
      <c r="S39" s="52">
        <f ca="1">'Fixed Assets &amp; CAPEX'!Q24</f>
        <v>-863994.59952885495</v>
      </c>
      <c r="T39" s="52">
        <f ca="1">'Fixed Assets &amp; CAPEX'!R24</f>
        <v>-995551.40062772925</v>
      </c>
      <c r="U39" s="52">
        <f ca="1">'Fixed Assets &amp; CAPEX'!S24</f>
        <v>-1135571.7693971216</v>
      </c>
      <c r="V39" s="52">
        <f ca="1">'Fixed Assets &amp; CAPEX'!T24</f>
        <v>-1255782.4353531215</v>
      </c>
      <c r="W39" s="52">
        <f ca="1">'Fixed Assets &amp; CAPEX'!U24</f>
        <v>-1379673.4677170168</v>
      </c>
      <c r="X39" s="52">
        <f ca="1">'Fixed Assets &amp; CAPEX'!V24</f>
        <v>-1505843.1208511449</v>
      </c>
      <c r="Y39" s="52">
        <f ca="1">'Fixed Assets &amp; CAPEX'!W24</f>
        <v>-1632414.040845697</v>
      </c>
      <c r="Z39" s="52">
        <f ca="1">'Fixed Assets &amp; CAPEX'!X24</f>
        <v>-1759762.7191886695</v>
      </c>
      <c r="AA39" s="52">
        <f ca="1">'Fixed Assets &amp; CAPEX'!Y24</f>
        <v>-1887729.5934257859</v>
      </c>
      <c r="AB39" s="52">
        <f ca="1">'Fixed Assets &amp; CAPEX'!Z24</f>
        <v>-2015183.6209683653</v>
      </c>
      <c r="AC39" s="52">
        <f ca="1">'Fixed Assets &amp; CAPEX'!AA24</f>
        <v>-2140842.4569071145</v>
      </c>
      <c r="AD39" s="52">
        <f ca="1">'Fixed Assets &amp; CAPEX'!AB24</f>
        <v>-2267279.6028433992</v>
      </c>
    </row>
    <row r="40" spans="3:30">
      <c r="C40" s="21" t="s">
        <v>395</v>
      </c>
      <c r="E40" s="328"/>
      <c r="F40" s="328"/>
      <c r="G40" s="328"/>
      <c r="H40" s="328">
        <v>12791</v>
      </c>
      <c r="I40" s="328">
        <v>31238</v>
      </c>
      <c r="J40" s="52">
        <f>I40</f>
        <v>31238</v>
      </c>
      <c r="K40" s="52">
        <f>J40</f>
        <v>31238</v>
      </c>
      <c r="L40" s="52">
        <f t="shared" ref="L40:AD41" si="21">K40</f>
        <v>31238</v>
      </c>
      <c r="M40" s="52">
        <f t="shared" si="21"/>
        <v>31238</v>
      </c>
      <c r="N40" s="52">
        <f t="shared" si="21"/>
        <v>31238</v>
      </c>
      <c r="O40" s="52">
        <f t="shared" si="21"/>
        <v>31238</v>
      </c>
      <c r="P40" s="52">
        <f t="shared" si="21"/>
        <v>31238</v>
      </c>
      <c r="Q40" s="52">
        <f t="shared" si="21"/>
        <v>31238</v>
      </c>
      <c r="R40" s="52">
        <f t="shared" si="21"/>
        <v>31238</v>
      </c>
      <c r="S40" s="52">
        <f t="shared" si="21"/>
        <v>31238</v>
      </c>
      <c r="T40" s="52">
        <f t="shared" si="21"/>
        <v>31238</v>
      </c>
      <c r="U40" s="52">
        <f t="shared" si="21"/>
        <v>31238</v>
      </c>
      <c r="V40" s="52">
        <f t="shared" si="21"/>
        <v>31238</v>
      </c>
      <c r="W40" s="52">
        <f t="shared" si="21"/>
        <v>31238</v>
      </c>
      <c r="X40" s="52">
        <f t="shared" si="21"/>
        <v>31238</v>
      </c>
      <c r="Y40" s="52">
        <f t="shared" si="21"/>
        <v>31238</v>
      </c>
      <c r="Z40" s="52">
        <f t="shared" si="21"/>
        <v>31238</v>
      </c>
      <c r="AA40" s="52">
        <f t="shared" si="21"/>
        <v>31238</v>
      </c>
      <c r="AB40" s="52">
        <f t="shared" si="21"/>
        <v>31238</v>
      </c>
      <c r="AC40" s="52">
        <f t="shared" si="21"/>
        <v>31238</v>
      </c>
      <c r="AD40" s="52">
        <f t="shared" si="21"/>
        <v>31238</v>
      </c>
    </row>
    <row r="41" spans="3:30">
      <c r="C41" s="21" t="s">
        <v>484</v>
      </c>
      <c r="E41" s="328"/>
      <c r="F41" s="328"/>
      <c r="G41" s="328"/>
      <c r="H41" s="328">
        <v>87603</v>
      </c>
      <c r="I41" s="328">
        <v>96507</v>
      </c>
      <c r="J41" s="29">
        <f>I41</f>
        <v>96507</v>
      </c>
      <c r="K41" s="29">
        <f t="shared" ref="K41" si="22">J41</f>
        <v>96507</v>
      </c>
      <c r="L41" s="29">
        <f t="shared" si="21"/>
        <v>96507</v>
      </c>
      <c r="M41" s="29">
        <f t="shared" si="21"/>
        <v>96507</v>
      </c>
      <c r="N41" s="29">
        <f t="shared" si="21"/>
        <v>96507</v>
      </c>
      <c r="O41" s="29">
        <f t="shared" si="21"/>
        <v>96507</v>
      </c>
      <c r="P41" s="29">
        <f t="shared" si="21"/>
        <v>96507</v>
      </c>
      <c r="Q41" s="29">
        <f t="shared" si="21"/>
        <v>96507</v>
      </c>
      <c r="R41" s="29">
        <f t="shared" si="21"/>
        <v>96507</v>
      </c>
      <c r="S41" s="29">
        <f t="shared" si="21"/>
        <v>96507</v>
      </c>
      <c r="T41" s="29">
        <f t="shared" si="21"/>
        <v>96507</v>
      </c>
      <c r="U41" s="29">
        <f t="shared" si="21"/>
        <v>96507</v>
      </c>
      <c r="V41" s="29">
        <f t="shared" si="21"/>
        <v>96507</v>
      </c>
      <c r="W41" s="29">
        <f t="shared" si="21"/>
        <v>96507</v>
      </c>
      <c r="X41" s="29">
        <f t="shared" si="21"/>
        <v>96507</v>
      </c>
      <c r="Y41" s="29">
        <f t="shared" si="21"/>
        <v>96507</v>
      </c>
      <c r="Z41" s="29">
        <f t="shared" si="21"/>
        <v>96507</v>
      </c>
      <c r="AA41" s="29">
        <f t="shared" si="21"/>
        <v>96507</v>
      </c>
      <c r="AB41" s="29">
        <f t="shared" si="21"/>
        <v>96507</v>
      </c>
      <c r="AC41" s="29">
        <f t="shared" si="21"/>
        <v>96507</v>
      </c>
      <c r="AD41" s="29">
        <f t="shared" si="21"/>
        <v>96507</v>
      </c>
    </row>
    <row r="42" spans="3:30">
      <c r="C42" s="21"/>
      <c r="E42" s="330"/>
      <c r="F42" s="330"/>
      <c r="G42" s="330"/>
      <c r="H42" s="330"/>
      <c r="I42" s="326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spans="3:30">
      <c r="E43" s="330"/>
      <c r="F43" s="330"/>
      <c r="G43" s="330"/>
      <c r="H43" s="330"/>
      <c r="I43" s="326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spans="3:30">
      <c r="C44" s="28" t="s">
        <v>41</v>
      </c>
      <c r="D44" s="26"/>
      <c r="E44" s="323">
        <f t="shared" ref="E44:G44" si="23">E46+E63+E77</f>
        <v>0</v>
      </c>
      <c r="F44" s="323">
        <f t="shared" si="23"/>
        <v>0</v>
      </c>
      <c r="G44" s="323">
        <f t="shared" si="23"/>
        <v>0</v>
      </c>
      <c r="H44" s="323">
        <f>H46+H63+H77+H73</f>
        <v>1414974</v>
      </c>
      <c r="I44" s="323">
        <f>I46+I63+I77+I73+I75</f>
        <v>1718166</v>
      </c>
      <c r="J44" s="323">
        <f ca="1">J46+J63+J77+J73+J75</f>
        <v>1778246.0170903995</v>
      </c>
      <c r="K44" s="323">
        <f t="shared" ref="K44:AD44" ca="1" si="24">K46+K63+K77+K73+K75</f>
        <v>1891710.1316445547</v>
      </c>
      <c r="L44" s="323">
        <f t="shared" ca="1" si="24"/>
        <v>1879429.6287318659</v>
      </c>
      <c r="M44" s="323">
        <f t="shared" ca="1" si="24"/>
        <v>1865087.113615836</v>
      </c>
      <c r="N44" s="323">
        <f t="shared" ca="1" si="24"/>
        <v>1905368.7213665782</v>
      </c>
      <c r="O44" s="323">
        <f t="shared" ca="1" si="24"/>
        <v>1948614.2855434411</v>
      </c>
      <c r="P44" s="323">
        <f t="shared" ca="1" si="24"/>
        <v>1995698.0109288108</v>
      </c>
      <c r="Q44" s="323">
        <f t="shared" ca="1" si="24"/>
        <v>2046563.4299893798</v>
      </c>
      <c r="R44" s="323">
        <f t="shared" ca="1" si="24"/>
        <v>2101063.1612582831</v>
      </c>
      <c r="S44" s="323">
        <f t="shared" ca="1" si="24"/>
        <v>2142575.409359579</v>
      </c>
      <c r="T44" s="323">
        <f t="shared" ca="1" si="24"/>
        <v>2188923.4099510144</v>
      </c>
      <c r="U44" s="323" t="e">
        <f t="shared" ca="1" si="24"/>
        <v>#VALUE!</v>
      </c>
      <c r="V44" s="323" t="e">
        <f t="shared" ca="1" si="24"/>
        <v>#VALUE!</v>
      </c>
      <c r="W44" s="323" t="e">
        <f t="shared" ca="1" si="24"/>
        <v>#VALUE!</v>
      </c>
      <c r="X44" s="323" t="e">
        <f t="shared" ca="1" si="24"/>
        <v>#VALUE!</v>
      </c>
      <c r="Y44" s="323" t="e">
        <f t="shared" ca="1" si="24"/>
        <v>#VALUE!</v>
      </c>
      <c r="Z44" s="323" t="e">
        <f t="shared" ca="1" si="24"/>
        <v>#VALUE!</v>
      </c>
      <c r="AA44" s="323" t="e">
        <f t="shared" ca="1" si="24"/>
        <v>#VALUE!</v>
      </c>
      <c r="AB44" s="323" t="e">
        <f t="shared" ca="1" si="24"/>
        <v>#VALUE!</v>
      </c>
      <c r="AC44" s="323" t="e">
        <f t="shared" ca="1" si="24"/>
        <v>#VALUE!</v>
      </c>
      <c r="AD44" s="323" t="e">
        <f t="shared" ca="1" si="24"/>
        <v>#DIV/0!</v>
      </c>
    </row>
    <row r="45" spans="3:30">
      <c r="E45" s="330"/>
      <c r="F45" s="330"/>
      <c r="G45" s="330"/>
      <c r="H45" s="330"/>
      <c r="I45" s="326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spans="3:30">
      <c r="C46" s="2" t="s">
        <v>42</v>
      </c>
      <c r="E46" s="337">
        <f t="shared" ref="E46:G46" si="25">SUM(E47:E61)</f>
        <v>0</v>
      </c>
      <c r="F46" s="337">
        <f t="shared" si="25"/>
        <v>0</v>
      </c>
      <c r="G46" s="337">
        <f t="shared" si="25"/>
        <v>0</v>
      </c>
      <c r="H46" s="337">
        <f>SUM(H47:H56)</f>
        <v>405908</v>
      </c>
      <c r="I46" s="337">
        <f>SUM(I47:I56)</f>
        <v>506495</v>
      </c>
      <c r="J46" s="337">
        <f t="shared" ref="J46:AD46" ca="1" si="26">SUM(J47:J56)</f>
        <v>523744.11944209936</v>
      </c>
      <c r="K46" s="337">
        <f t="shared" ca="1" si="26"/>
        <v>591551.32927758072</v>
      </c>
      <c r="L46" s="337">
        <f t="shared" ca="1" si="26"/>
        <v>672637.26980536024</v>
      </c>
      <c r="M46" s="337">
        <f t="shared" ca="1" si="26"/>
        <v>728781.5063578405</v>
      </c>
      <c r="N46" s="337">
        <f t="shared" ca="1" si="26"/>
        <v>867606.22507839045</v>
      </c>
      <c r="O46" s="337">
        <f t="shared" ca="1" si="26"/>
        <v>1011976.4590900769</v>
      </c>
      <c r="P46" s="337">
        <f t="shared" ca="1" si="26"/>
        <v>1070923.6127994449</v>
      </c>
      <c r="Q46" s="337">
        <f t="shared" ca="1" si="26"/>
        <v>1070312.8764933869</v>
      </c>
      <c r="R46" s="337">
        <f t="shared" ca="1" si="26"/>
        <v>1101464.8391507356</v>
      </c>
      <c r="S46" s="337">
        <f t="shared" ca="1" si="26"/>
        <v>1097041.346149317</v>
      </c>
      <c r="T46" s="337">
        <f t="shared" ca="1" si="26"/>
        <v>1096050.1561491275</v>
      </c>
      <c r="U46" s="337" t="e">
        <f t="shared" ca="1" si="26"/>
        <v>#VALUE!</v>
      </c>
      <c r="V46" s="337" t="e">
        <f t="shared" ca="1" si="26"/>
        <v>#VALUE!</v>
      </c>
      <c r="W46" s="337" t="e">
        <f t="shared" ca="1" si="26"/>
        <v>#VALUE!</v>
      </c>
      <c r="X46" s="337" t="e">
        <f t="shared" ca="1" si="26"/>
        <v>#VALUE!</v>
      </c>
      <c r="Y46" s="337" t="e">
        <f t="shared" ca="1" si="26"/>
        <v>#VALUE!</v>
      </c>
      <c r="Z46" s="337" t="e">
        <f t="shared" ca="1" si="26"/>
        <v>#VALUE!</v>
      </c>
      <c r="AA46" s="337" t="e">
        <f t="shared" ca="1" si="26"/>
        <v>#VALUE!</v>
      </c>
      <c r="AB46" s="337" t="e">
        <f t="shared" ca="1" si="26"/>
        <v>#VALUE!</v>
      </c>
      <c r="AC46" s="337" t="e">
        <f t="shared" ca="1" si="26"/>
        <v>#VALUE!</v>
      </c>
      <c r="AD46" s="337" t="e">
        <f t="shared" ca="1" si="26"/>
        <v>#DIV/0!</v>
      </c>
    </row>
    <row r="47" spans="3:30">
      <c r="C47" s="19" t="s">
        <v>486</v>
      </c>
      <c r="E47" s="328"/>
      <c r="F47" s="328"/>
      <c r="G47" s="328"/>
      <c r="H47" s="328">
        <v>4653</v>
      </c>
      <c r="I47" s="328">
        <v>4911</v>
      </c>
      <c r="J47" s="52">
        <f>'Working Capital'!I21</f>
        <v>5281.3857877711716</v>
      </c>
      <c r="K47" s="52">
        <f>'Working Capital'!J21</f>
        <v>5769.1408280373689</v>
      </c>
      <c r="L47" s="52">
        <f>'Working Capital'!K21</f>
        <v>6203.5315244273388</v>
      </c>
      <c r="M47" s="52">
        <f>'Working Capital'!L21</f>
        <v>6680.8723417756237</v>
      </c>
      <c r="N47" s="52">
        <f>'Working Capital'!M21</f>
        <v>7211.2743485534083</v>
      </c>
      <c r="O47" s="52">
        <f>'Working Capital'!N21</f>
        <v>7780.7038054305967</v>
      </c>
      <c r="P47" s="52">
        <f>'Working Capital'!O21</f>
        <v>8400.6716722919682</v>
      </c>
      <c r="Q47" s="52">
        <f>'Working Capital'!P21</f>
        <v>9070.4344213923068</v>
      </c>
      <c r="R47" s="52">
        <f>'Working Capital'!Q21</f>
        <v>9788.051429450863</v>
      </c>
      <c r="S47" s="52">
        <f>'Working Capital'!R21</f>
        <v>10558.331473383487</v>
      </c>
      <c r="T47" s="52">
        <f>'Working Capital'!S21</f>
        <v>11392.285560341463</v>
      </c>
      <c r="U47" s="52">
        <f>'Working Capital'!T21</f>
        <v>12380.566332701083</v>
      </c>
      <c r="V47" s="52">
        <f>'Working Capital'!U21</f>
        <v>13454.580462062901</v>
      </c>
      <c r="W47" s="52">
        <f>'Working Capital'!V21</f>
        <v>14621.765317146856</v>
      </c>
      <c r="X47" s="52">
        <f>'Working Capital'!W21</f>
        <v>15890.203458409345</v>
      </c>
      <c r="Y47" s="52">
        <f>'Working Capital'!X21</f>
        <v>17268.678608426351</v>
      </c>
      <c r="Z47" s="52">
        <f>'Working Capital'!Y21</f>
        <v>18766.736477707338</v>
      </c>
      <c r="AA47" s="52">
        <f>'Working Capital'!Z21</f>
        <v>20394.750867148447</v>
      </c>
      <c r="AB47" s="52">
        <f>'Working Capital'!AA21</f>
        <v>22163.995504873568</v>
      </c>
      <c r="AC47" s="52">
        <f>'Working Capital'!AB21</f>
        <v>22163.995504873568</v>
      </c>
      <c r="AD47" s="52">
        <f>'Working Capital'!AC21</f>
        <v>22163.995504873568</v>
      </c>
    </row>
    <row r="48" spans="3:30">
      <c r="C48" s="403" t="s">
        <v>487</v>
      </c>
      <c r="E48" s="328"/>
      <c r="F48" s="328"/>
      <c r="G48" s="328"/>
      <c r="H48" s="328">
        <v>29653</v>
      </c>
      <c r="I48" s="328">
        <v>39339</v>
      </c>
      <c r="J48" s="52">
        <f>'Working Capital'!I22</f>
        <v>42305.932703141945</v>
      </c>
      <c r="K48" s="52">
        <f>'Working Capital'!J22</f>
        <v>46213.038288365307</v>
      </c>
      <c r="L48" s="52">
        <f>'Working Capital'!K22</f>
        <v>49692.67494185442</v>
      </c>
      <c r="M48" s="52">
        <f>'Working Capital'!L22</f>
        <v>53516.358593588113</v>
      </c>
      <c r="N48" s="52">
        <f>'Working Capital'!M22</f>
        <v>57765.082793268681</v>
      </c>
      <c r="O48" s="52">
        <f>'Working Capital'!N22</f>
        <v>62326.431887972758</v>
      </c>
      <c r="P48" s="52">
        <f>'Working Capital'!O22</f>
        <v>67292.613096374203</v>
      </c>
      <c r="Q48" s="52">
        <f>'Working Capital'!P22</f>
        <v>72657.670475086925</v>
      </c>
      <c r="R48" s="52">
        <f>'Working Capital'!Q22</f>
        <v>78406.058884782615</v>
      </c>
      <c r="S48" s="52">
        <f>'Working Capital'!R22</f>
        <v>84576.298479216639</v>
      </c>
      <c r="T48" s="52">
        <f>'Working Capital'!S22</f>
        <v>91256.59166326058</v>
      </c>
      <c r="U48" s="52">
        <f>'Working Capital'!T22</f>
        <v>99173.100990048435</v>
      </c>
      <c r="V48" s="52">
        <f>'Working Capital'!U22</f>
        <v>107776.36750093511</v>
      </c>
      <c r="W48" s="52">
        <f>'Working Capital'!V22</f>
        <v>117125.96738164123</v>
      </c>
      <c r="X48" s="52">
        <f>'Working Capital'!W22</f>
        <v>127286.6450519986</v>
      </c>
      <c r="Y48" s="52">
        <f>'Working Capital'!X22</f>
        <v>138328.76151025944</v>
      </c>
      <c r="Z48" s="52">
        <f>'Working Capital'!Y22</f>
        <v>150328.78157127445</v>
      </c>
      <c r="AA48" s="52">
        <f>'Working Capital'!Z22</f>
        <v>163369.80337258248</v>
      </c>
      <c r="AB48" s="52">
        <f>'Working Capital'!AA22</f>
        <v>177542.133815154</v>
      </c>
      <c r="AC48" s="52">
        <f>'Working Capital'!AB22</f>
        <v>177542.133815154</v>
      </c>
      <c r="AD48" s="52">
        <f>'Working Capital'!AC22</f>
        <v>177542.133815154</v>
      </c>
    </row>
    <row r="49" spans="3:30">
      <c r="C49" s="403" t="s">
        <v>436</v>
      </c>
      <c r="E49" s="328"/>
      <c r="F49" s="328"/>
      <c r="G49" s="328"/>
      <c r="H49" s="328">
        <f>25896</f>
        <v>25896</v>
      </c>
      <c r="I49" s="328">
        <f>32706</f>
        <v>32706</v>
      </c>
      <c r="J49" s="52">
        <f>+'Working Capital'!I23</f>
        <v>35172.674317826088</v>
      </c>
      <c r="K49" s="52">
        <f>+'Working Capital'!J23</f>
        <v>38420.997744204877</v>
      </c>
      <c r="L49" s="52">
        <f>+'Working Capital'!K23</f>
        <v>41313.928331891781</v>
      </c>
      <c r="M49" s="52">
        <f>+'Working Capital'!L23</f>
        <v>44492.895705582065</v>
      </c>
      <c r="N49" s="52">
        <f>+'Working Capital'!M23</f>
        <v>48025.236987128432</v>
      </c>
      <c r="O49" s="52">
        <f>+'Working Capital'!N23</f>
        <v>51817.491073185316</v>
      </c>
      <c r="P49" s="52">
        <f>+'Working Capital'!O23</f>
        <v>55946.318003254142</v>
      </c>
      <c r="Q49" s="52">
        <f>+'Working Capital'!P23</f>
        <v>60406.766073316379</v>
      </c>
      <c r="R49" s="52">
        <f>+'Working Capital'!Q23</f>
        <v>65185.911230221922</v>
      </c>
      <c r="S49" s="52">
        <f>+'Working Capital'!R23</f>
        <v>70315.778694457404</v>
      </c>
      <c r="T49" s="52">
        <f>+'Working Capital'!S23</f>
        <v>75869.698948590478</v>
      </c>
      <c r="U49" s="52">
        <f>+'Working Capital'!T23</f>
        <v>82451.395332380693</v>
      </c>
      <c r="V49" s="52">
        <f>+'Working Capital'!U23</f>
        <v>89604.053877464699</v>
      </c>
      <c r="W49" s="52">
        <f t="shared" ref="W49:AD49" si="27">V49</f>
        <v>89604.053877464699</v>
      </c>
      <c r="X49" s="52">
        <f t="shared" si="27"/>
        <v>89604.053877464699</v>
      </c>
      <c r="Y49" s="52">
        <f t="shared" si="27"/>
        <v>89604.053877464699</v>
      </c>
      <c r="Z49" s="52">
        <f t="shared" si="27"/>
        <v>89604.053877464699</v>
      </c>
      <c r="AA49" s="52">
        <f t="shared" si="27"/>
        <v>89604.053877464699</v>
      </c>
      <c r="AB49" s="52">
        <f t="shared" si="27"/>
        <v>89604.053877464699</v>
      </c>
      <c r="AC49" s="52">
        <f t="shared" si="27"/>
        <v>89604.053877464699</v>
      </c>
      <c r="AD49" s="52">
        <f t="shared" si="27"/>
        <v>89604.053877464699</v>
      </c>
    </row>
    <row r="50" spans="3:30">
      <c r="C50" s="19" t="s">
        <v>356</v>
      </c>
      <c r="E50" s="328"/>
      <c r="F50" s="328"/>
      <c r="G50" s="328"/>
      <c r="H50" s="328">
        <v>75294</v>
      </c>
      <c r="I50" s="328">
        <v>49121</v>
      </c>
      <c r="J50" s="52">
        <f>'ST Inv. &amp; Debt'!H14</f>
        <v>44928</v>
      </c>
      <c r="K50" s="52">
        <f ca="1">'ST Inv. &amp; Debt'!I14</f>
        <v>84248.824571428573</v>
      </c>
      <c r="L50" s="52">
        <f ca="1">'ST Inv. &amp; Debt'!J14</f>
        <v>137426.10946938774</v>
      </c>
      <c r="M50" s="52">
        <f ca="1">'ST Inv. &amp; Debt'!K14</f>
        <v>120481.62554324587</v>
      </c>
      <c r="N50" s="52">
        <f ca="1">'ST Inv. &amp; Debt'!L14</f>
        <v>124575.8343895599</v>
      </c>
      <c r="O50" s="52">
        <f ca="1">'ST Inv. &amp; Debt'!M14</f>
        <v>126614.7322139188</v>
      </c>
      <c r="P50" s="52">
        <f ca="1">'ST Inv. &amp; Debt'!N14</f>
        <v>38897.912843118087</v>
      </c>
      <c r="Q50" s="52">
        <f ca="1">'ST Inv. &amp; Debt'!O14</f>
        <v>44454.757534992103</v>
      </c>
      <c r="R50" s="52">
        <f ca="1">'ST Inv. &amp; Debt'!P14</f>
        <v>48819.722897133826</v>
      </c>
      <c r="S50" s="52">
        <f ca="1">'ST Inv. &amp; Debt'!Q14</f>
        <v>52267.344127336626</v>
      </c>
      <c r="T50" s="52">
        <f ca="1">'ST Inv. &amp; Debt'!R14</f>
        <v>55303.584833574227</v>
      </c>
      <c r="U50" s="52">
        <f ca="1">'ST Inv. &amp; Debt'!S14</f>
        <v>57740.548106342205</v>
      </c>
      <c r="V50" s="52">
        <f ca="1">'ST Inv. &amp; Debt'!T14</f>
        <v>57537.244868603637</v>
      </c>
      <c r="W50" s="52">
        <f ca="1">'ST Inv. &amp; Debt'!U14</f>
        <v>57718.952173014382</v>
      </c>
      <c r="X50" s="52">
        <f ca="1">'ST Inv. &amp; Debt'!V14</f>
        <v>57607.012077285275</v>
      </c>
      <c r="Y50" s="52">
        <f ca="1">'ST Inv. &amp; Debt'!W14</f>
        <v>56685.245583327167</v>
      </c>
      <c r="Z50" s="52">
        <f ca="1">'ST Inv. &amp; Debt'!X14</f>
        <v>56408.561681354789</v>
      </c>
      <c r="AA50" s="52">
        <f ca="1">'ST Inv. &amp; Debt'!Y14</f>
        <v>57000.164189071656</v>
      </c>
      <c r="AB50" s="52">
        <f ca="1">'ST Inv. &amp; Debt'!Z14</f>
        <v>57242.532668428437</v>
      </c>
      <c r="AC50" s="52">
        <f ca="1">'ST Inv. &amp; Debt'!AA14</f>
        <v>57171.387605869342</v>
      </c>
      <c r="AD50" s="52">
        <f>'ST Inv. &amp; Debt'!AB14</f>
        <v>0</v>
      </c>
    </row>
    <row r="51" spans="3:30">
      <c r="C51" s="595" t="s">
        <v>496</v>
      </c>
      <c r="D51" s="600"/>
      <c r="E51" s="601"/>
      <c r="F51" s="601"/>
      <c r="G51" s="601"/>
      <c r="H51" s="601">
        <v>6767</v>
      </c>
      <c r="I51" s="601">
        <v>24196</v>
      </c>
      <c r="J51" s="602">
        <f>'Tributos a Recolher'!A7</f>
        <v>23402</v>
      </c>
      <c r="K51" s="602">
        <f>'Tributos a Recolher'!B7</f>
        <v>22606</v>
      </c>
      <c r="L51" s="602">
        <f>'Tributos a Recolher'!C7</f>
        <v>24436</v>
      </c>
      <c r="M51" s="602">
        <f>'Tributos a Recolher'!D7</f>
        <v>16987</v>
      </c>
      <c r="N51" s="602">
        <f>'Tributos a Recolher'!E7</f>
        <v>16987</v>
      </c>
      <c r="O51" s="602">
        <f>'Tributos a Recolher'!F7</f>
        <v>16987</v>
      </c>
      <c r="P51" s="602">
        <f>'Tributos a Recolher'!G7</f>
        <v>16987</v>
      </c>
      <c r="Q51" s="602">
        <f>'Tributos a Recolher'!H7</f>
        <v>16987</v>
      </c>
      <c r="R51" s="602">
        <f>'Tributos a Recolher'!I7</f>
        <v>16987</v>
      </c>
      <c r="S51" s="60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spans="3:30">
      <c r="C52" s="19" t="s">
        <v>485</v>
      </c>
      <c r="E52" s="328"/>
      <c r="F52" s="328"/>
      <c r="G52" s="328"/>
      <c r="H52" s="328">
        <v>171826</v>
      </c>
      <c r="I52" s="328">
        <v>217876</v>
      </c>
      <c r="J52" s="52">
        <f>'Working Capital'!I24</f>
        <v>234308.12663336014</v>
      </c>
      <c r="K52" s="52">
        <f>'Working Capital'!J24</f>
        <v>255947.32784554458</v>
      </c>
      <c r="L52" s="52">
        <f>'Working Capital'!K24</f>
        <v>275219.02553779894</v>
      </c>
      <c r="M52" s="52">
        <f>'Working Capital'!L24</f>
        <v>296396.20084233466</v>
      </c>
      <c r="N52" s="52">
        <f>'Working Capital'!M24</f>
        <v>319927.43025156221</v>
      </c>
      <c r="O52" s="52">
        <f>'Working Capital'!N24</f>
        <v>345190.10839177284</v>
      </c>
      <c r="P52" s="52">
        <f>'Working Capital'!O24</f>
        <v>372694.91779113916</v>
      </c>
      <c r="Q52" s="52">
        <f>'Working Capital'!P24</f>
        <v>402408.87191921601</v>
      </c>
      <c r="R52" s="52">
        <f>'Working Capital'!Q24</f>
        <v>434245.87522765948</v>
      </c>
      <c r="S52" s="52">
        <f>'Working Capital'!R24</f>
        <v>468419.26860006113</v>
      </c>
      <c r="T52" s="52">
        <f>'Working Capital'!S24</f>
        <v>505417.55421400035</v>
      </c>
      <c r="U52" s="52">
        <f>'Working Capital'!T24</f>
        <v>549262.52704206482</v>
      </c>
      <c r="V52" s="52">
        <f>'Working Capital'!U24</f>
        <v>596911.05126296391</v>
      </c>
      <c r="W52" s="52">
        <f>'Working Capital'!V24</f>
        <v>648693.08496002597</v>
      </c>
      <c r="X52" s="52">
        <f>'Working Capital'!W24</f>
        <v>704967.21008030814</v>
      </c>
      <c r="Y52" s="52">
        <f>'Working Capital'!X24</f>
        <v>766123.11555477476</v>
      </c>
      <c r="Z52" s="52">
        <f>'Working Capital'!Y24</f>
        <v>832584.29582915141</v>
      </c>
      <c r="AA52" s="52">
        <f>'Working Capital'!Z24</f>
        <v>904810.98349233018</v>
      </c>
      <c r="AB52" s="52">
        <f>'Working Capital'!AA24</f>
        <v>983303.33631028968</v>
      </c>
      <c r="AC52" s="52">
        <f>'Working Capital'!AB24</f>
        <v>983303.33631028968</v>
      </c>
      <c r="AD52" s="52">
        <f>'Working Capital'!AC24</f>
        <v>983303.33631028968</v>
      </c>
    </row>
    <row r="53" spans="3:30">
      <c r="C53" s="19" t="s">
        <v>43</v>
      </c>
      <c r="E53" s="328"/>
      <c r="F53" s="328"/>
      <c r="G53" s="328"/>
      <c r="H53" s="328"/>
      <c r="I53" s="328"/>
      <c r="J53" s="481">
        <f ca="1">'Goodwill, Taxes &amp; Div.'!H55</f>
        <v>0</v>
      </c>
      <c r="K53" s="29">
        <f ca="1">'Goodwill, Taxes &amp; Div.'!I55</f>
        <v>0</v>
      </c>
      <c r="L53" s="29">
        <f ca="1">'Goodwill, Taxes &amp; Div.'!J55</f>
        <v>0</v>
      </c>
      <c r="M53" s="29">
        <f ca="1">'Goodwill, Taxes &amp; Div.'!K55</f>
        <v>0</v>
      </c>
      <c r="N53" s="29">
        <f ca="1">'Goodwill, Taxes &amp; Div.'!L55</f>
        <v>0</v>
      </c>
      <c r="O53" s="29">
        <f ca="1">'Goodwill, Taxes &amp; Div.'!M55</f>
        <v>0</v>
      </c>
      <c r="P53" s="29">
        <f ca="1">'Goodwill, Taxes &amp; Div.'!N55</f>
        <v>0</v>
      </c>
      <c r="Q53" s="29">
        <f ca="1">'Goodwill, Taxes &amp; Div.'!O55</f>
        <v>0</v>
      </c>
      <c r="R53" s="29">
        <f ca="1">'Goodwill, Taxes &amp; Div.'!P55</f>
        <v>0</v>
      </c>
      <c r="S53" s="29">
        <f ca="1">'Goodwill, Taxes &amp; Div.'!Q55</f>
        <v>0</v>
      </c>
      <c r="T53" s="29">
        <f ca="1">'Goodwill, Taxes &amp; Div.'!R55</f>
        <v>0</v>
      </c>
      <c r="U53" s="29" t="e">
        <f ca="1">'Goodwill, Taxes &amp; Div.'!S55</f>
        <v>#VALUE!</v>
      </c>
      <c r="V53" s="29" t="e">
        <f ca="1">'Goodwill, Taxes &amp; Div.'!T55</f>
        <v>#VALUE!</v>
      </c>
      <c r="W53" s="29" t="e">
        <f ca="1">'Goodwill, Taxes &amp; Div.'!U55</f>
        <v>#VALUE!</v>
      </c>
      <c r="X53" s="29" t="e">
        <f ca="1">'Goodwill, Taxes &amp; Div.'!V55</f>
        <v>#VALUE!</v>
      </c>
      <c r="Y53" s="29" t="e">
        <f ca="1">'Goodwill, Taxes &amp; Div.'!W55</f>
        <v>#VALUE!</v>
      </c>
      <c r="Z53" s="29" t="e">
        <f ca="1">'Goodwill, Taxes &amp; Div.'!X55</f>
        <v>#VALUE!</v>
      </c>
      <c r="AA53" s="29" t="e">
        <f ca="1">'Goodwill, Taxes &amp; Div.'!Y55</f>
        <v>#VALUE!</v>
      </c>
      <c r="AB53" s="29" t="e">
        <f ca="1">'Goodwill, Taxes &amp; Div.'!Z55</f>
        <v>#VALUE!</v>
      </c>
      <c r="AC53" s="29" t="e">
        <f ca="1">'Goodwill, Taxes &amp; Div.'!AA55</f>
        <v>#VALUE!</v>
      </c>
      <c r="AD53" s="29" t="e">
        <f ca="1">'Goodwill, Taxes &amp; Div.'!AB55</f>
        <v>#DIV/0!</v>
      </c>
    </row>
    <row r="54" spans="3:30">
      <c r="C54" s="19" t="s">
        <v>255</v>
      </c>
      <c r="E54" s="328"/>
      <c r="F54" s="328"/>
      <c r="G54" s="328"/>
      <c r="H54" s="328"/>
      <c r="I54" s="328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spans="3:30">
      <c r="C55" s="19" t="s">
        <v>121</v>
      </c>
      <c r="E55" s="328"/>
      <c r="F55" s="328"/>
      <c r="G55" s="328"/>
      <c r="H55" s="328"/>
      <c r="I55" s="328"/>
      <c r="J55" s="29">
        <f ca="1">'ST Inv. &amp; Debt'!H51</f>
        <v>0</v>
      </c>
      <c r="K55" s="29">
        <f ca="1">'ST Inv. &amp; Debt'!I51</f>
        <v>0</v>
      </c>
      <c r="L55" s="29">
        <f ca="1">'ST Inv. &amp; Debt'!J51</f>
        <v>0</v>
      </c>
      <c r="M55" s="29">
        <f ca="1">'ST Inv. &amp; Debt'!K51</f>
        <v>51880.55333131412</v>
      </c>
      <c r="N55" s="29">
        <f ca="1">'ST Inv. &amp; Debt'!L51</f>
        <v>154768.36630831781</v>
      </c>
      <c r="O55" s="29">
        <f ca="1">'ST Inv. &amp; Debt'!M51</f>
        <v>262913.99171779654</v>
      </c>
      <c r="P55" s="29">
        <f ca="1">'ST Inv. &amp; Debt'!N51</f>
        <v>372358.17939326738</v>
      </c>
      <c r="Q55" s="29">
        <f ca="1">'ST Inv. &amp; Debt'!O51</f>
        <v>325981.37606938335</v>
      </c>
      <c r="R55" s="29">
        <f ca="1">'ST Inv. &amp; Debt'!P51</f>
        <v>309686.21948148694</v>
      </c>
      <c r="S55" s="29">
        <f ca="1">'ST Inv. &amp; Debt'!Q51</f>
        <v>272558.32477486163</v>
      </c>
      <c r="T55" s="29">
        <f ca="1">'ST Inv. &amp; Debt'!R51</f>
        <v>218464.44092936045</v>
      </c>
      <c r="U55" s="29" t="e">
        <f ca="1">'ST Inv. &amp; Debt'!S51</f>
        <v>#VALUE!</v>
      </c>
      <c r="V55" s="29" t="e">
        <f ca="1">'ST Inv. &amp; Debt'!T51</f>
        <v>#VALUE!</v>
      </c>
      <c r="W55" s="29" t="e">
        <f ca="1">'ST Inv. &amp; Debt'!U51</f>
        <v>#VALUE!</v>
      </c>
      <c r="X55" s="29" t="e">
        <f ca="1">'ST Inv. &amp; Debt'!V51</f>
        <v>#VALUE!</v>
      </c>
      <c r="Y55" s="29" t="e">
        <f ca="1">'ST Inv. &amp; Debt'!W51</f>
        <v>#VALUE!</v>
      </c>
      <c r="Z55" s="29" t="e">
        <f ca="1">'ST Inv. &amp; Debt'!X51</f>
        <v>#VALUE!</v>
      </c>
      <c r="AA55" s="29" t="e">
        <f ca="1">'ST Inv. &amp; Debt'!Y51</f>
        <v>#VALUE!</v>
      </c>
      <c r="AB55" s="29" t="e">
        <f ca="1">'ST Inv. &amp; Debt'!Z51</f>
        <v>#VALUE!</v>
      </c>
      <c r="AC55" s="29" t="e">
        <f ca="1">'ST Inv. &amp; Debt'!AA51</f>
        <v>#VALUE!</v>
      </c>
      <c r="AD55" s="29" t="e">
        <f ca="1">'ST Inv. &amp; Debt'!AB51</f>
        <v>#DIV/0!</v>
      </c>
    </row>
    <row r="56" spans="3:30">
      <c r="C56" s="19" t="s">
        <v>155</v>
      </c>
      <c r="E56" s="328"/>
      <c r="F56" s="328"/>
      <c r="G56" s="328"/>
      <c r="H56" s="328">
        <f>SUM(H57:H61)</f>
        <v>91819</v>
      </c>
      <c r="I56" s="328">
        <f>SUM(I57:I61)</f>
        <v>138346</v>
      </c>
      <c r="J56" s="550">
        <f>SUM(J57:J61)</f>
        <v>138346</v>
      </c>
      <c r="K56" s="550">
        <f t="shared" ref="K56:AD56" si="28">SUM(K57:K61)</f>
        <v>138346</v>
      </c>
      <c r="L56" s="550">
        <f t="shared" si="28"/>
        <v>138346</v>
      </c>
      <c r="M56" s="550">
        <f t="shared" si="28"/>
        <v>138346</v>
      </c>
      <c r="N56" s="550">
        <f t="shared" si="28"/>
        <v>138346</v>
      </c>
      <c r="O56" s="550">
        <f t="shared" si="28"/>
        <v>138346</v>
      </c>
      <c r="P56" s="550">
        <f t="shared" si="28"/>
        <v>138346</v>
      </c>
      <c r="Q56" s="550">
        <f t="shared" si="28"/>
        <v>138346</v>
      </c>
      <c r="R56" s="550">
        <f t="shared" si="28"/>
        <v>138346</v>
      </c>
      <c r="S56" s="550">
        <f t="shared" si="28"/>
        <v>138346</v>
      </c>
      <c r="T56" s="550">
        <f t="shared" si="28"/>
        <v>138346</v>
      </c>
      <c r="U56" s="550">
        <f t="shared" si="28"/>
        <v>138346</v>
      </c>
      <c r="V56" s="550">
        <f t="shared" si="28"/>
        <v>138346</v>
      </c>
      <c r="W56" s="550">
        <f t="shared" si="28"/>
        <v>138346</v>
      </c>
      <c r="X56" s="550">
        <f t="shared" si="28"/>
        <v>138346</v>
      </c>
      <c r="Y56" s="550">
        <f t="shared" si="28"/>
        <v>138346</v>
      </c>
      <c r="Z56" s="550">
        <f t="shared" si="28"/>
        <v>138346</v>
      </c>
      <c r="AA56" s="550">
        <f t="shared" si="28"/>
        <v>138346</v>
      </c>
      <c r="AB56" s="550">
        <f t="shared" si="28"/>
        <v>138346</v>
      </c>
      <c r="AC56" s="550">
        <f t="shared" si="28"/>
        <v>138346</v>
      </c>
      <c r="AD56" s="550">
        <f t="shared" si="28"/>
        <v>138346</v>
      </c>
    </row>
    <row r="57" spans="3:30">
      <c r="C57" s="21" t="s">
        <v>488</v>
      </c>
      <c r="E57" s="328"/>
      <c r="F57" s="328"/>
      <c r="G57" s="328"/>
      <c r="H57" s="328">
        <v>9189</v>
      </c>
      <c r="I57" s="328">
        <v>16143</v>
      </c>
      <c r="J57" s="29">
        <f t="shared" ref="J57:K60" si="29">I57</f>
        <v>16143</v>
      </c>
      <c r="K57" s="29">
        <f t="shared" si="29"/>
        <v>16143</v>
      </c>
      <c r="L57" s="29">
        <f t="shared" ref="L57:AD57" si="30">K57</f>
        <v>16143</v>
      </c>
      <c r="M57" s="29">
        <f t="shared" si="30"/>
        <v>16143</v>
      </c>
      <c r="N57" s="29">
        <f t="shared" ref="N57:N60" si="31">M57</f>
        <v>16143</v>
      </c>
      <c r="O57" s="29">
        <f t="shared" ref="O57:O60" si="32">N57</f>
        <v>16143</v>
      </c>
      <c r="P57" s="29">
        <f t="shared" ref="P57:P60" si="33">O57</f>
        <v>16143</v>
      </c>
      <c r="Q57" s="29">
        <f t="shared" ref="Q57:Q60" si="34">P57</f>
        <v>16143</v>
      </c>
      <c r="R57" s="29">
        <f t="shared" ref="R57:R60" si="35">Q57</f>
        <v>16143</v>
      </c>
      <c r="S57" s="29">
        <f t="shared" si="30"/>
        <v>16143</v>
      </c>
      <c r="T57" s="29">
        <f t="shared" si="30"/>
        <v>16143</v>
      </c>
      <c r="U57" s="29">
        <f t="shared" si="30"/>
        <v>16143</v>
      </c>
      <c r="V57" s="29">
        <f t="shared" si="30"/>
        <v>16143</v>
      </c>
      <c r="W57" s="29">
        <f t="shared" si="30"/>
        <v>16143</v>
      </c>
      <c r="X57" s="29">
        <f t="shared" si="30"/>
        <v>16143</v>
      </c>
      <c r="Y57" s="29">
        <f t="shared" si="30"/>
        <v>16143</v>
      </c>
      <c r="Z57" s="29">
        <f t="shared" si="30"/>
        <v>16143</v>
      </c>
      <c r="AA57" s="29">
        <f t="shared" si="30"/>
        <v>16143</v>
      </c>
      <c r="AB57" s="29">
        <f t="shared" si="30"/>
        <v>16143</v>
      </c>
      <c r="AC57" s="29">
        <f t="shared" si="30"/>
        <v>16143</v>
      </c>
      <c r="AD57" s="29">
        <f t="shared" si="30"/>
        <v>16143</v>
      </c>
    </row>
    <row r="58" spans="3:30">
      <c r="C58" s="21" t="s">
        <v>489</v>
      </c>
      <c r="E58" s="328"/>
      <c r="F58" s="328"/>
      <c r="G58" s="328"/>
      <c r="H58" s="328">
        <v>11894</v>
      </c>
      <c r="I58" s="328">
        <v>12043</v>
      </c>
      <c r="J58" s="29">
        <f t="shared" si="29"/>
        <v>12043</v>
      </c>
      <c r="K58" s="29">
        <f t="shared" si="29"/>
        <v>12043</v>
      </c>
      <c r="L58" s="29">
        <f t="shared" ref="L58:AD58" si="36">K58</f>
        <v>12043</v>
      </c>
      <c r="M58" s="29">
        <f t="shared" si="36"/>
        <v>12043</v>
      </c>
      <c r="N58" s="29">
        <f t="shared" si="31"/>
        <v>12043</v>
      </c>
      <c r="O58" s="29">
        <f t="shared" si="32"/>
        <v>12043</v>
      </c>
      <c r="P58" s="29">
        <f t="shared" si="33"/>
        <v>12043</v>
      </c>
      <c r="Q58" s="29">
        <f t="shared" si="34"/>
        <v>12043</v>
      </c>
      <c r="R58" s="29">
        <f t="shared" si="35"/>
        <v>12043</v>
      </c>
      <c r="S58" s="29">
        <f t="shared" si="36"/>
        <v>12043</v>
      </c>
      <c r="T58" s="29">
        <f t="shared" si="36"/>
        <v>12043</v>
      </c>
      <c r="U58" s="29">
        <f t="shared" si="36"/>
        <v>12043</v>
      </c>
      <c r="V58" s="29">
        <f t="shared" si="36"/>
        <v>12043</v>
      </c>
      <c r="W58" s="29">
        <f t="shared" si="36"/>
        <v>12043</v>
      </c>
      <c r="X58" s="29">
        <f t="shared" si="36"/>
        <v>12043</v>
      </c>
      <c r="Y58" s="29">
        <f t="shared" si="36"/>
        <v>12043</v>
      </c>
      <c r="Z58" s="29">
        <f t="shared" si="36"/>
        <v>12043</v>
      </c>
      <c r="AA58" s="29">
        <f t="shared" si="36"/>
        <v>12043</v>
      </c>
      <c r="AB58" s="29">
        <f t="shared" si="36"/>
        <v>12043</v>
      </c>
      <c r="AC58" s="29">
        <f t="shared" si="36"/>
        <v>12043</v>
      </c>
      <c r="AD58" s="29">
        <f t="shared" si="36"/>
        <v>12043</v>
      </c>
    </row>
    <row r="59" spans="3:30">
      <c r="C59" s="21" t="s">
        <v>490</v>
      </c>
      <c r="E59" s="328"/>
      <c r="F59" s="328"/>
      <c r="G59" s="328"/>
      <c r="H59" s="514">
        <v>29948</v>
      </c>
      <c r="I59" s="328">
        <v>62665</v>
      </c>
      <c r="J59" s="30">
        <f t="shared" si="29"/>
        <v>62665</v>
      </c>
      <c r="K59" s="30">
        <f t="shared" si="29"/>
        <v>62665</v>
      </c>
      <c r="L59" s="30">
        <f t="shared" ref="L59:AD60" si="37">K59</f>
        <v>62665</v>
      </c>
      <c r="M59" s="30">
        <f t="shared" si="37"/>
        <v>62665</v>
      </c>
      <c r="N59" s="30">
        <f t="shared" si="31"/>
        <v>62665</v>
      </c>
      <c r="O59" s="30">
        <f t="shared" si="32"/>
        <v>62665</v>
      </c>
      <c r="P59" s="30">
        <f t="shared" si="33"/>
        <v>62665</v>
      </c>
      <c r="Q59" s="30">
        <f t="shared" si="34"/>
        <v>62665</v>
      </c>
      <c r="R59" s="30">
        <f t="shared" si="35"/>
        <v>62665</v>
      </c>
      <c r="S59" s="30">
        <f t="shared" si="37"/>
        <v>62665</v>
      </c>
      <c r="T59" s="30">
        <f t="shared" si="37"/>
        <v>62665</v>
      </c>
      <c r="U59" s="30">
        <f t="shared" si="37"/>
        <v>62665</v>
      </c>
      <c r="V59" s="30">
        <f t="shared" si="37"/>
        <v>62665</v>
      </c>
      <c r="W59" s="30">
        <f t="shared" si="37"/>
        <v>62665</v>
      </c>
      <c r="X59" s="30">
        <f t="shared" si="37"/>
        <v>62665</v>
      </c>
      <c r="Y59" s="30">
        <f t="shared" si="37"/>
        <v>62665</v>
      </c>
      <c r="Z59" s="30">
        <f t="shared" si="37"/>
        <v>62665</v>
      </c>
      <c r="AA59" s="30">
        <f t="shared" si="37"/>
        <v>62665</v>
      </c>
      <c r="AB59" s="30">
        <f t="shared" si="37"/>
        <v>62665</v>
      </c>
      <c r="AC59" s="30">
        <f t="shared" si="37"/>
        <v>62665</v>
      </c>
      <c r="AD59" s="30">
        <f t="shared" si="37"/>
        <v>62665</v>
      </c>
    </row>
    <row r="60" spans="3:30">
      <c r="C60" s="21" t="s">
        <v>491</v>
      </c>
      <c r="E60" s="328"/>
      <c r="F60" s="328"/>
      <c r="G60" s="328"/>
      <c r="H60" s="328">
        <v>40788</v>
      </c>
      <c r="I60" s="328">
        <v>47495</v>
      </c>
      <c r="J60" s="29">
        <f t="shared" si="29"/>
        <v>47495</v>
      </c>
      <c r="K60" s="29">
        <f t="shared" si="29"/>
        <v>47495</v>
      </c>
      <c r="L60" s="29">
        <f t="shared" si="37"/>
        <v>47495</v>
      </c>
      <c r="M60" s="29">
        <f t="shared" si="37"/>
        <v>47495</v>
      </c>
      <c r="N60" s="29">
        <f t="shared" si="31"/>
        <v>47495</v>
      </c>
      <c r="O60" s="29">
        <f t="shared" si="32"/>
        <v>47495</v>
      </c>
      <c r="P60" s="29">
        <f t="shared" si="33"/>
        <v>47495</v>
      </c>
      <c r="Q60" s="29">
        <f t="shared" si="34"/>
        <v>47495</v>
      </c>
      <c r="R60" s="29">
        <f t="shared" si="35"/>
        <v>47495</v>
      </c>
      <c r="S60" s="29">
        <f t="shared" si="37"/>
        <v>47495</v>
      </c>
      <c r="T60" s="29">
        <f t="shared" si="37"/>
        <v>47495</v>
      </c>
      <c r="U60" s="29">
        <f t="shared" si="37"/>
        <v>47495</v>
      </c>
      <c r="V60" s="29">
        <f t="shared" si="37"/>
        <v>47495</v>
      </c>
      <c r="W60" s="29">
        <f t="shared" si="37"/>
        <v>47495</v>
      </c>
      <c r="X60" s="29">
        <f t="shared" si="37"/>
        <v>47495</v>
      </c>
      <c r="Y60" s="29">
        <f t="shared" si="37"/>
        <v>47495</v>
      </c>
      <c r="Z60" s="29">
        <f t="shared" si="37"/>
        <v>47495</v>
      </c>
      <c r="AA60" s="29">
        <f t="shared" si="37"/>
        <v>47495</v>
      </c>
      <c r="AB60" s="29">
        <f t="shared" si="37"/>
        <v>47495</v>
      </c>
      <c r="AC60" s="29">
        <f t="shared" si="37"/>
        <v>47495</v>
      </c>
      <c r="AD60" s="29">
        <f t="shared" si="37"/>
        <v>47495</v>
      </c>
    </row>
    <row r="61" spans="3:30">
      <c r="C61" s="21" t="s">
        <v>15</v>
      </c>
      <c r="E61" s="328"/>
      <c r="F61" s="328"/>
      <c r="G61" s="328"/>
      <c r="H61" s="328"/>
      <c r="I61" s="328"/>
      <c r="J61" s="52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spans="3:30">
      <c r="E62" s="330"/>
      <c r="F62" s="330"/>
      <c r="G62" s="330"/>
      <c r="H62" s="330"/>
      <c r="I62" s="326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spans="3:30">
      <c r="C63" s="2" t="s">
        <v>44</v>
      </c>
      <c r="E63" s="337">
        <f t="shared" ref="E63:J63" si="38">SUM(E64:E66)</f>
        <v>0</v>
      </c>
      <c r="F63" s="337">
        <f t="shared" si="38"/>
        <v>0</v>
      </c>
      <c r="G63" s="337">
        <f t="shared" si="38"/>
        <v>0</v>
      </c>
      <c r="H63" s="337">
        <f t="shared" si="38"/>
        <v>845134</v>
      </c>
      <c r="I63" s="337">
        <f t="shared" si="38"/>
        <v>1004560</v>
      </c>
      <c r="J63" s="337">
        <f t="shared" si="38"/>
        <v>1027420</v>
      </c>
      <c r="K63" s="337">
        <f t="shared" ref="K63:AD63" ca="1" si="39">SUM(K64:K66)</f>
        <v>1049688.3859999999</v>
      </c>
      <c r="L63" s="337">
        <f t="shared" ca="1" si="39"/>
        <v>916299.05857142853</v>
      </c>
      <c r="M63" s="337">
        <f t="shared" ca="1" si="39"/>
        <v>811370.75536054419</v>
      </c>
      <c r="N63" s="337">
        <f t="shared" ca="1" si="39"/>
        <v>706996.86077939742</v>
      </c>
      <c r="O63" s="337">
        <f t="shared" ca="1" si="39"/>
        <v>605896.77406080801</v>
      </c>
      <c r="P63" s="337">
        <f t="shared" ca="1" si="39"/>
        <v>598585.17035520915</v>
      </c>
      <c r="Q63" s="337">
        <f t="shared" ca="1" si="39"/>
        <v>592655.76612023904</v>
      </c>
      <c r="R63" s="337">
        <f t="shared" ca="1" si="39"/>
        <v>581356.01842313027</v>
      </c>
      <c r="S63" s="337">
        <f t="shared" ca="1" si="39"/>
        <v>567461.26248357748</v>
      </c>
      <c r="T63" s="337">
        <f t="shared" ca="1" si="39"/>
        <v>554371.23814449669</v>
      </c>
      <c r="U63" s="337">
        <f t="shared" ca="1" si="39"/>
        <v>559639.85598438105</v>
      </c>
      <c r="V63" s="337">
        <f t="shared" ca="1" si="39"/>
        <v>556197.41079597734</v>
      </c>
      <c r="W63" s="337">
        <f t="shared" ca="1" si="39"/>
        <v>554229.42318671581</v>
      </c>
      <c r="X63" s="337">
        <f t="shared" ca="1" si="39"/>
        <v>553398.75501978828</v>
      </c>
      <c r="Y63" s="337">
        <f t="shared" ca="1" si="39"/>
        <v>547341.87743428198</v>
      </c>
      <c r="Z63" s="337">
        <f t="shared" ca="1" si="39"/>
        <v>529137.91925581894</v>
      </c>
      <c r="AA63" s="337">
        <f t="shared" ca="1" si="39"/>
        <v>497731.12991417048</v>
      </c>
      <c r="AB63" s="337">
        <f t="shared" ca="1" si="39"/>
        <v>497839.50401199446</v>
      </c>
      <c r="AC63" s="337">
        <f t="shared" ca="1" si="39"/>
        <v>494934</v>
      </c>
      <c r="AD63" s="337">
        <f t="shared" ca="1" si="39"/>
        <v>494934</v>
      </c>
    </row>
    <row r="64" spans="3:30">
      <c r="C64" s="403" t="s">
        <v>396</v>
      </c>
      <c r="E64" s="328"/>
      <c r="F64" s="328"/>
      <c r="G64" s="328"/>
      <c r="H64" s="328">
        <v>135784</v>
      </c>
      <c r="I64" s="329">
        <v>344986</v>
      </c>
      <c r="J64" s="52">
        <f>'ST Inv. &amp; Debt'!H15</f>
        <v>391248</v>
      </c>
      <c r="K64" s="29">
        <f ca="1">'ST Inv. &amp; Debt'!I15</f>
        <v>436122.386</v>
      </c>
      <c r="L64" s="29">
        <f ca="1">'ST Inv. &amp; Debt'!J15</f>
        <v>327169.05857142853</v>
      </c>
      <c r="M64" s="29">
        <f ca="1">'ST Inv. &amp; Debt'!K15</f>
        <v>239227.75536054422</v>
      </c>
      <c r="N64" s="29">
        <f ca="1">'ST Inv. &amp; Debt'!L15</f>
        <v>151840.86077939748</v>
      </c>
      <c r="O64" s="29">
        <f ca="1">'ST Inv. &amp; Debt'!M15</f>
        <v>67727.774060807991</v>
      </c>
      <c r="P64" s="475">
        <f ca="1">'ST Inv. &amp; Debt'!N15</f>
        <v>77403.170355209135</v>
      </c>
      <c r="Q64" s="475">
        <f ca="1">'ST Inv. &amp; Debt'!O15</f>
        <v>88460.766120239001</v>
      </c>
      <c r="R64" s="29">
        <f ca="1">'ST Inv. &amp; Debt'!P15</f>
        <v>94148.018423130299</v>
      </c>
      <c r="S64" s="29">
        <f ca="1">'ST Inv. &amp; Debt'!Q15</f>
        <v>97240.262483577506</v>
      </c>
      <c r="T64" s="29">
        <f ca="1">'ST Inv. &amp; Debt'!R15</f>
        <v>101137.23814449673</v>
      </c>
      <c r="U64" s="29">
        <f ca="1">'ST Inv. &amp; Debt'!S15</f>
        <v>106405.85598438108</v>
      </c>
      <c r="V64" s="29">
        <f ca="1">'ST Inv. &amp; Debt'!T15</f>
        <v>102963.41079597737</v>
      </c>
      <c r="W64" s="29">
        <f ca="1">'ST Inv. &amp; Debt'!U15</f>
        <v>100995.42318671584</v>
      </c>
      <c r="X64" s="29">
        <f ca="1">'ST Inv. &amp; Debt'!V15</f>
        <v>100164.75501978824</v>
      </c>
      <c r="Y64" s="29">
        <f ca="1">'ST Inv. &amp; Debt'!W15</f>
        <v>94107.877434281967</v>
      </c>
      <c r="Z64" s="29">
        <f ca="1">'ST Inv. &amp; Debt'!X15</f>
        <v>75903.919255818881</v>
      </c>
      <c r="AA64" s="29">
        <f ca="1">'ST Inv. &amp; Debt'!Y15</f>
        <v>44497.129914170488</v>
      </c>
      <c r="AB64" s="29">
        <f ca="1">'ST Inv. &amp; Debt'!Z15</f>
        <v>44605.504011994431</v>
      </c>
      <c r="AC64" s="29">
        <f ca="1">'ST Inv. &amp; Debt'!AA15</f>
        <v>41700</v>
      </c>
      <c r="AD64" s="29">
        <f ca="1">'ST Inv. &amp; Debt'!AB15</f>
        <v>41700</v>
      </c>
    </row>
    <row r="65" spans="3:30">
      <c r="C65" s="473" t="s">
        <v>453</v>
      </c>
      <c r="E65" s="328"/>
      <c r="F65" s="328"/>
      <c r="G65" s="328"/>
      <c r="H65" s="328"/>
      <c r="I65" s="329"/>
      <c r="J65" s="52">
        <f>+'Working Capital'!I26</f>
        <v>0</v>
      </c>
      <c r="K65" s="52">
        <f>+'Working Capital'!J26</f>
        <v>0</v>
      </c>
      <c r="L65" s="52">
        <f>+'Working Capital'!K26</f>
        <v>0</v>
      </c>
      <c r="M65" s="52">
        <f>+'Working Capital'!L26</f>
        <v>0</v>
      </c>
      <c r="N65" s="52">
        <f>+'Working Capital'!M26</f>
        <v>0</v>
      </c>
      <c r="O65" s="52">
        <f>+'Working Capital'!N26</f>
        <v>0</v>
      </c>
      <c r="P65" s="52">
        <f>+'Working Capital'!O26</f>
        <v>0</v>
      </c>
      <c r="Q65" s="52">
        <f>+'Working Capital'!P26</f>
        <v>0</v>
      </c>
      <c r="R65" s="52">
        <f>+'Working Capital'!Q26</f>
        <v>0</v>
      </c>
      <c r="S65" s="52">
        <f>+'Working Capital'!R26</f>
        <v>0</v>
      </c>
      <c r="T65" s="52">
        <f>+'Working Capital'!S26</f>
        <v>0</v>
      </c>
      <c r="U65" s="52">
        <f>+'Working Capital'!T26</f>
        <v>0</v>
      </c>
      <c r="V65" s="52">
        <f>+'Working Capital'!U26</f>
        <v>0</v>
      </c>
      <c r="W65" s="52">
        <f>+'Working Capital'!V26</f>
        <v>0</v>
      </c>
      <c r="X65" s="52">
        <f>+'Working Capital'!W26</f>
        <v>0</v>
      </c>
      <c r="Y65" s="52">
        <f>+'Working Capital'!X26</f>
        <v>0</v>
      </c>
      <c r="Z65" s="52">
        <f>+'Working Capital'!Y26</f>
        <v>0</v>
      </c>
      <c r="AA65" s="52">
        <f>+'Working Capital'!Z26</f>
        <v>0</v>
      </c>
      <c r="AB65" s="52">
        <f>+'Working Capital'!AA26</f>
        <v>0</v>
      </c>
      <c r="AC65" s="52">
        <f>+'Working Capital'!AB26</f>
        <v>0</v>
      </c>
      <c r="AD65" s="52">
        <f>+'Working Capital'!AC26</f>
        <v>0</v>
      </c>
    </row>
    <row r="66" spans="3:30">
      <c r="C66" s="19" t="s">
        <v>47</v>
      </c>
      <c r="E66" s="330">
        <f t="shared" ref="E66:J66" si="40">SUM(E67:E71)</f>
        <v>0</v>
      </c>
      <c r="F66" s="330">
        <f t="shared" si="40"/>
        <v>0</v>
      </c>
      <c r="G66" s="330">
        <f t="shared" si="40"/>
        <v>0</v>
      </c>
      <c r="H66" s="330">
        <f t="shared" si="40"/>
        <v>709350</v>
      </c>
      <c r="I66" s="330">
        <f t="shared" si="40"/>
        <v>659574</v>
      </c>
      <c r="J66" s="421">
        <f t="shared" si="40"/>
        <v>636172</v>
      </c>
      <c r="K66" s="330">
        <f t="shared" ref="K66:AD66" si="41">SUM(K67:K71)</f>
        <v>613566</v>
      </c>
      <c r="L66" s="330">
        <f t="shared" si="41"/>
        <v>589130</v>
      </c>
      <c r="M66" s="330">
        <f t="shared" si="41"/>
        <v>572143</v>
      </c>
      <c r="N66" s="330">
        <f t="shared" ref="N66:P66" si="42">SUM(N67:N71)</f>
        <v>555156</v>
      </c>
      <c r="O66" s="330">
        <f t="shared" si="42"/>
        <v>538169</v>
      </c>
      <c r="P66" s="330">
        <f t="shared" si="42"/>
        <v>521182</v>
      </c>
      <c r="Q66" s="330">
        <f t="shared" si="41"/>
        <v>504195</v>
      </c>
      <c r="R66" s="330">
        <f t="shared" si="41"/>
        <v>487208</v>
      </c>
      <c r="S66" s="330">
        <f t="shared" si="41"/>
        <v>470221</v>
      </c>
      <c r="T66" s="330">
        <f t="shared" si="41"/>
        <v>453234</v>
      </c>
      <c r="U66" s="330">
        <f t="shared" si="41"/>
        <v>453234</v>
      </c>
      <c r="V66" s="330">
        <f t="shared" si="41"/>
        <v>453234</v>
      </c>
      <c r="W66" s="330">
        <f t="shared" si="41"/>
        <v>453234</v>
      </c>
      <c r="X66" s="330">
        <f t="shared" si="41"/>
        <v>453234</v>
      </c>
      <c r="Y66" s="330">
        <f t="shared" si="41"/>
        <v>453234</v>
      </c>
      <c r="Z66" s="330">
        <f t="shared" si="41"/>
        <v>453234</v>
      </c>
      <c r="AA66" s="330">
        <f t="shared" si="41"/>
        <v>453234</v>
      </c>
      <c r="AB66" s="330">
        <f t="shared" si="41"/>
        <v>453234</v>
      </c>
      <c r="AC66" s="330">
        <f t="shared" si="41"/>
        <v>453234</v>
      </c>
      <c r="AD66" s="330">
        <f t="shared" si="41"/>
        <v>453234</v>
      </c>
    </row>
    <row r="67" spans="3:30" s="41" customFormat="1">
      <c r="C67" s="41" t="s">
        <v>497</v>
      </c>
      <c r="E67" s="376"/>
      <c r="F67" s="376"/>
      <c r="G67" s="376"/>
      <c r="H67" s="376">
        <f>664239</f>
        <v>664239</v>
      </c>
      <c r="I67" s="376">
        <f>417772</f>
        <v>417772</v>
      </c>
      <c r="J67" s="5">
        <f t="shared" ref="J67:K68" si="43">I67</f>
        <v>417772</v>
      </c>
      <c r="K67" s="5">
        <f t="shared" si="43"/>
        <v>417772</v>
      </c>
      <c r="L67" s="5">
        <f t="shared" ref="L67:AD67" si="44">K67</f>
        <v>417772</v>
      </c>
      <c r="M67" s="5">
        <f t="shared" si="44"/>
        <v>417772</v>
      </c>
      <c r="N67" s="5">
        <f t="shared" si="44"/>
        <v>417772</v>
      </c>
      <c r="O67" s="5">
        <f t="shared" si="44"/>
        <v>417772</v>
      </c>
      <c r="P67" s="5">
        <f t="shared" si="44"/>
        <v>417772</v>
      </c>
      <c r="Q67" s="5">
        <f t="shared" si="44"/>
        <v>417772</v>
      </c>
      <c r="R67" s="5">
        <f t="shared" si="44"/>
        <v>417772</v>
      </c>
      <c r="S67" s="5">
        <f t="shared" si="44"/>
        <v>417772</v>
      </c>
      <c r="T67" s="5">
        <f t="shared" si="44"/>
        <v>417772</v>
      </c>
      <c r="U67" s="5">
        <f t="shared" si="44"/>
        <v>417772</v>
      </c>
      <c r="V67" s="5">
        <f t="shared" si="44"/>
        <v>417772</v>
      </c>
      <c r="W67" s="5">
        <f t="shared" si="44"/>
        <v>417772</v>
      </c>
      <c r="X67" s="5">
        <f t="shared" si="44"/>
        <v>417772</v>
      </c>
      <c r="Y67" s="5">
        <f t="shared" si="44"/>
        <v>417772</v>
      </c>
      <c r="Z67" s="5">
        <f t="shared" si="44"/>
        <v>417772</v>
      </c>
      <c r="AA67" s="5">
        <f t="shared" si="44"/>
        <v>417772</v>
      </c>
      <c r="AB67" s="5">
        <f t="shared" si="44"/>
        <v>417772</v>
      </c>
      <c r="AC67" s="5">
        <f t="shared" si="44"/>
        <v>417772</v>
      </c>
      <c r="AD67" s="5">
        <f t="shared" si="44"/>
        <v>417772</v>
      </c>
    </row>
    <row r="68" spans="3:30" s="41" customFormat="1">
      <c r="C68" s="21" t="s">
        <v>435</v>
      </c>
      <c r="E68" s="376"/>
      <c r="F68" s="376"/>
      <c r="G68" s="376"/>
      <c r="H68" s="376">
        <v>8632</v>
      </c>
      <c r="I68" s="376">
        <v>22724</v>
      </c>
      <c r="J68" s="5">
        <f t="shared" si="43"/>
        <v>22724</v>
      </c>
      <c r="K68" s="5">
        <f t="shared" si="43"/>
        <v>22724</v>
      </c>
      <c r="L68" s="5">
        <f t="shared" ref="L68:AD70" si="45">K68</f>
        <v>22724</v>
      </c>
      <c r="M68" s="5">
        <f t="shared" si="45"/>
        <v>22724</v>
      </c>
      <c r="N68" s="5">
        <f t="shared" ref="N68:P68" si="46">M68</f>
        <v>22724</v>
      </c>
      <c r="O68" s="5">
        <f t="shared" si="46"/>
        <v>22724</v>
      </c>
      <c r="P68" s="5">
        <f t="shared" si="46"/>
        <v>22724</v>
      </c>
      <c r="Q68" s="5">
        <f t="shared" si="45"/>
        <v>22724</v>
      </c>
      <c r="R68" s="5">
        <f t="shared" si="45"/>
        <v>22724</v>
      </c>
      <c r="S68" s="5">
        <f t="shared" si="45"/>
        <v>22724</v>
      </c>
      <c r="T68" s="5">
        <f t="shared" si="45"/>
        <v>22724</v>
      </c>
      <c r="U68" s="5">
        <f t="shared" si="45"/>
        <v>22724</v>
      </c>
      <c r="V68" s="5">
        <f t="shared" si="45"/>
        <v>22724</v>
      </c>
      <c r="W68" s="5">
        <f t="shared" si="45"/>
        <v>22724</v>
      </c>
      <c r="X68" s="5">
        <f t="shared" si="45"/>
        <v>22724</v>
      </c>
      <c r="Y68" s="5">
        <f t="shared" si="45"/>
        <v>22724</v>
      </c>
      <c r="Z68" s="5">
        <f t="shared" si="45"/>
        <v>22724</v>
      </c>
      <c r="AA68" s="5">
        <f t="shared" si="45"/>
        <v>22724</v>
      </c>
      <c r="AB68" s="5">
        <f t="shared" si="45"/>
        <v>22724</v>
      </c>
      <c r="AC68" s="5">
        <f t="shared" si="45"/>
        <v>22724</v>
      </c>
      <c r="AD68" s="5">
        <f t="shared" si="45"/>
        <v>22724</v>
      </c>
    </row>
    <row r="69" spans="3:30" s="41" customFormat="1">
      <c r="C69" s="595" t="s">
        <v>496</v>
      </c>
      <c r="D69" s="596"/>
      <c r="E69" s="597"/>
      <c r="F69" s="597"/>
      <c r="G69" s="597"/>
      <c r="H69" s="597">
        <v>25159</v>
      </c>
      <c r="I69" s="598">
        <v>219078</v>
      </c>
      <c r="J69" s="599">
        <f>'Tributos a Recolher'!A10</f>
        <v>195676</v>
      </c>
      <c r="K69" s="599">
        <f>'Tributos a Recolher'!B10</f>
        <v>173070</v>
      </c>
      <c r="L69" s="599">
        <f>'Tributos a Recolher'!C10</f>
        <v>148634</v>
      </c>
      <c r="M69" s="599">
        <f>'Tributos a Recolher'!D10</f>
        <v>131647</v>
      </c>
      <c r="N69" s="599">
        <f>'Tributos a Recolher'!E10</f>
        <v>114660</v>
      </c>
      <c r="O69" s="599">
        <f>'Tributos a Recolher'!F10</f>
        <v>97673</v>
      </c>
      <c r="P69" s="599">
        <f>'Tributos a Recolher'!G10</f>
        <v>80686</v>
      </c>
      <c r="Q69" s="599">
        <f>'Tributos a Recolher'!H10</f>
        <v>63699</v>
      </c>
      <c r="R69" s="599">
        <f>'Tributos a Recolher'!I10</f>
        <v>46712</v>
      </c>
      <c r="S69" s="599">
        <f>'Tributos a Recolher'!J10</f>
        <v>29725</v>
      </c>
      <c r="T69" s="5">
        <f>'Tributos a Recolher'!K10</f>
        <v>12738</v>
      </c>
      <c r="U69" s="5">
        <f t="shared" si="45"/>
        <v>12738</v>
      </c>
      <c r="V69" s="5">
        <f t="shared" si="45"/>
        <v>12738</v>
      </c>
      <c r="W69" s="5">
        <f t="shared" si="45"/>
        <v>12738</v>
      </c>
      <c r="X69" s="5">
        <f t="shared" si="45"/>
        <v>12738</v>
      </c>
      <c r="Y69" s="5">
        <f t="shared" si="45"/>
        <v>12738</v>
      </c>
      <c r="Z69" s="5">
        <f t="shared" si="45"/>
        <v>12738</v>
      </c>
      <c r="AA69" s="5">
        <f t="shared" si="45"/>
        <v>12738</v>
      </c>
      <c r="AB69" s="5">
        <f t="shared" si="45"/>
        <v>12738</v>
      </c>
      <c r="AC69" s="5">
        <f t="shared" si="45"/>
        <v>12738</v>
      </c>
      <c r="AD69" s="5">
        <f t="shared" si="45"/>
        <v>12738</v>
      </c>
    </row>
    <row r="70" spans="3:30" s="41" customFormat="1">
      <c r="C70" s="21" t="s">
        <v>492</v>
      </c>
      <c r="E70" s="376"/>
      <c r="F70" s="376"/>
      <c r="G70" s="376"/>
      <c r="H70" s="376">
        <v>11015</v>
      </c>
      <c r="I70" s="455"/>
      <c r="J70" s="5">
        <f t="shared" ref="J70:Y70" si="47">I70</f>
        <v>0</v>
      </c>
      <c r="K70" s="5">
        <f>J70</f>
        <v>0</v>
      </c>
      <c r="L70" s="5">
        <f t="shared" si="47"/>
        <v>0</v>
      </c>
      <c r="M70" s="5">
        <f t="shared" si="47"/>
        <v>0</v>
      </c>
      <c r="N70" s="5">
        <f t="shared" si="47"/>
        <v>0</v>
      </c>
      <c r="O70" s="5">
        <f t="shared" si="47"/>
        <v>0</v>
      </c>
      <c r="P70" s="5">
        <f t="shared" si="47"/>
        <v>0</v>
      </c>
      <c r="Q70" s="5">
        <f t="shared" si="47"/>
        <v>0</v>
      </c>
      <c r="R70" s="5">
        <f t="shared" si="47"/>
        <v>0</v>
      </c>
      <c r="S70" s="5">
        <f t="shared" si="47"/>
        <v>0</v>
      </c>
      <c r="T70" s="5">
        <f t="shared" si="47"/>
        <v>0</v>
      </c>
      <c r="U70" s="5">
        <f t="shared" si="47"/>
        <v>0</v>
      </c>
      <c r="V70" s="5">
        <f t="shared" si="47"/>
        <v>0</v>
      </c>
      <c r="W70" s="5">
        <f t="shared" si="47"/>
        <v>0</v>
      </c>
      <c r="X70" s="5">
        <f t="shared" si="47"/>
        <v>0</v>
      </c>
      <c r="Y70" s="5">
        <f t="shared" si="47"/>
        <v>0</v>
      </c>
      <c r="Z70" s="5">
        <f t="shared" si="45"/>
        <v>0</v>
      </c>
      <c r="AA70" s="5">
        <f t="shared" si="45"/>
        <v>0</v>
      </c>
      <c r="AB70" s="5">
        <f t="shared" si="45"/>
        <v>0</v>
      </c>
      <c r="AC70" s="5">
        <f t="shared" si="45"/>
        <v>0</v>
      </c>
      <c r="AD70" s="5">
        <f t="shared" si="45"/>
        <v>0</v>
      </c>
    </row>
    <row r="71" spans="3:30" s="41" customFormat="1">
      <c r="C71" s="21" t="s">
        <v>490</v>
      </c>
      <c r="E71" s="376"/>
      <c r="F71" s="376"/>
      <c r="G71" s="376"/>
      <c r="H71" s="376">
        <v>305</v>
      </c>
      <c r="I71" s="455"/>
      <c r="J71" s="5">
        <f>'Working Capital'!I25</f>
        <v>0</v>
      </c>
      <c r="K71" s="5">
        <f>'Working Capital'!J25</f>
        <v>0</v>
      </c>
      <c r="L71" s="5">
        <f>'Working Capital'!K25</f>
        <v>0</v>
      </c>
      <c r="M71" s="5">
        <f>'Working Capital'!L25</f>
        <v>0</v>
      </c>
      <c r="N71" s="5">
        <f>'Working Capital'!M25</f>
        <v>0</v>
      </c>
      <c r="O71" s="5">
        <f>'Working Capital'!N25</f>
        <v>0</v>
      </c>
      <c r="P71" s="5">
        <f>'Working Capital'!O25</f>
        <v>0</v>
      </c>
      <c r="Q71" s="5">
        <f>'Working Capital'!P25</f>
        <v>0</v>
      </c>
      <c r="R71" s="5">
        <f>'Working Capital'!Q25</f>
        <v>0</v>
      </c>
      <c r="S71" s="5">
        <f>'Working Capital'!R25</f>
        <v>0</v>
      </c>
      <c r="T71" s="5">
        <f>'Working Capital'!S25</f>
        <v>0</v>
      </c>
      <c r="U71" s="5">
        <f>'Working Capital'!T25</f>
        <v>0</v>
      </c>
      <c r="V71" s="5">
        <f>'Working Capital'!U25</f>
        <v>0</v>
      </c>
      <c r="W71" s="5">
        <f>'Working Capital'!V25</f>
        <v>0</v>
      </c>
      <c r="X71" s="5">
        <f>'Working Capital'!W25</f>
        <v>0</v>
      </c>
      <c r="Y71" s="5">
        <f>'Working Capital'!X25</f>
        <v>0</v>
      </c>
      <c r="Z71" s="5">
        <f>'Working Capital'!Y25</f>
        <v>0</v>
      </c>
      <c r="AA71" s="5">
        <f>'Working Capital'!Z25</f>
        <v>0</v>
      </c>
      <c r="AB71" s="5">
        <f>'Working Capital'!AA25</f>
        <v>0</v>
      </c>
      <c r="AC71" s="5">
        <f>'Working Capital'!AB25</f>
        <v>0</v>
      </c>
      <c r="AD71" s="5">
        <f>'Working Capital'!AC25</f>
        <v>0</v>
      </c>
    </row>
    <row r="72" spans="3:30">
      <c r="E72" s="330"/>
      <c r="F72" s="330"/>
      <c r="G72" s="330"/>
      <c r="H72" s="330"/>
      <c r="I72" s="326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spans="3:30">
      <c r="C73" s="2" t="s">
        <v>46</v>
      </c>
      <c r="E73" s="328"/>
      <c r="F73" s="328"/>
      <c r="G73" s="331"/>
      <c r="H73" s="331"/>
      <c r="I73" s="331"/>
      <c r="J73" s="485">
        <f>I73</f>
        <v>0</v>
      </c>
      <c r="K73" s="31">
        <f>J73</f>
        <v>0</v>
      </c>
      <c r="L73" s="31">
        <f t="shared" ref="L73:AD73" si="48">K73</f>
        <v>0</v>
      </c>
      <c r="M73" s="31">
        <f t="shared" si="48"/>
        <v>0</v>
      </c>
      <c r="N73" s="31">
        <f t="shared" si="48"/>
        <v>0</v>
      </c>
      <c r="O73" s="31">
        <f t="shared" si="48"/>
        <v>0</v>
      </c>
      <c r="P73" s="31">
        <f t="shared" si="48"/>
        <v>0</v>
      </c>
      <c r="Q73" s="31">
        <f t="shared" si="48"/>
        <v>0</v>
      </c>
      <c r="R73" s="31">
        <f t="shared" si="48"/>
        <v>0</v>
      </c>
      <c r="S73" s="31">
        <f t="shared" si="48"/>
        <v>0</v>
      </c>
      <c r="T73" s="31">
        <f t="shared" si="48"/>
        <v>0</v>
      </c>
      <c r="U73" s="31">
        <f t="shared" si="48"/>
        <v>0</v>
      </c>
      <c r="V73" s="31">
        <f t="shared" si="48"/>
        <v>0</v>
      </c>
      <c r="W73" s="31">
        <f t="shared" si="48"/>
        <v>0</v>
      </c>
      <c r="X73" s="31">
        <f t="shared" si="48"/>
        <v>0</v>
      </c>
      <c r="Y73" s="31">
        <f t="shared" si="48"/>
        <v>0</v>
      </c>
      <c r="Z73" s="31">
        <f t="shared" si="48"/>
        <v>0</v>
      </c>
      <c r="AA73" s="31">
        <f t="shared" si="48"/>
        <v>0</v>
      </c>
      <c r="AB73" s="31">
        <f t="shared" si="48"/>
        <v>0</v>
      </c>
      <c r="AC73" s="31">
        <f t="shared" si="48"/>
        <v>0</v>
      </c>
      <c r="AD73" s="31">
        <f t="shared" si="48"/>
        <v>0</v>
      </c>
    </row>
    <row r="74" spans="3:30">
      <c r="E74" s="330"/>
      <c r="F74" s="330"/>
      <c r="G74" s="330"/>
      <c r="H74" s="330"/>
      <c r="I74" s="326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spans="3:30">
      <c r="C75" s="2" t="s">
        <v>48</v>
      </c>
      <c r="E75" s="328"/>
      <c r="F75" s="328"/>
      <c r="G75" s="331"/>
      <c r="H75" s="331"/>
      <c r="I75" s="332"/>
      <c r="J75" s="485">
        <f>I75</f>
        <v>0</v>
      </c>
      <c r="K75" s="31">
        <f>J75</f>
        <v>0</v>
      </c>
      <c r="L75" s="31">
        <f t="shared" ref="L75:AD75" si="49">K75</f>
        <v>0</v>
      </c>
      <c r="M75" s="31">
        <f t="shared" si="49"/>
        <v>0</v>
      </c>
      <c r="N75" s="31">
        <f t="shared" si="49"/>
        <v>0</v>
      </c>
      <c r="O75" s="31">
        <f t="shared" si="49"/>
        <v>0</v>
      </c>
      <c r="P75" s="31">
        <f t="shared" si="49"/>
        <v>0</v>
      </c>
      <c r="Q75" s="31">
        <f t="shared" si="49"/>
        <v>0</v>
      </c>
      <c r="R75" s="31">
        <f t="shared" si="49"/>
        <v>0</v>
      </c>
      <c r="S75" s="31">
        <f t="shared" si="49"/>
        <v>0</v>
      </c>
      <c r="T75" s="31">
        <f t="shared" si="49"/>
        <v>0</v>
      </c>
      <c r="U75" s="31">
        <f t="shared" si="49"/>
        <v>0</v>
      </c>
      <c r="V75" s="31">
        <f t="shared" si="49"/>
        <v>0</v>
      </c>
      <c r="W75" s="31">
        <f t="shared" si="49"/>
        <v>0</v>
      </c>
      <c r="X75" s="31">
        <f t="shared" si="49"/>
        <v>0</v>
      </c>
      <c r="Y75" s="31">
        <f t="shared" si="49"/>
        <v>0</v>
      </c>
      <c r="Z75" s="31">
        <f t="shared" si="49"/>
        <v>0</v>
      </c>
      <c r="AA75" s="31">
        <f t="shared" si="49"/>
        <v>0</v>
      </c>
      <c r="AB75" s="31">
        <f t="shared" si="49"/>
        <v>0</v>
      </c>
      <c r="AC75" s="31">
        <f t="shared" si="49"/>
        <v>0</v>
      </c>
      <c r="AD75" s="31">
        <f t="shared" si="49"/>
        <v>0</v>
      </c>
    </row>
    <row r="76" spans="3:30">
      <c r="E76" s="330"/>
      <c r="F76" s="330"/>
      <c r="G76" s="330"/>
      <c r="H76" s="330"/>
      <c r="I76" s="326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spans="3:30">
      <c r="C77" s="2" t="s">
        <v>49</v>
      </c>
      <c r="E77" s="337">
        <f t="shared" ref="E77:I77" si="50">SUM(E78:E80)</f>
        <v>0</v>
      </c>
      <c r="F77" s="337">
        <f t="shared" si="50"/>
        <v>0</v>
      </c>
      <c r="G77" s="337">
        <f t="shared" si="50"/>
        <v>0</v>
      </c>
      <c r="H77" s="337">
        <f t="shared" si="50"/>
        <v>163932</v>
      </c>
      <c r="I77" s="337">
        <f t="shared" si="50"/>
        <v>207111</v>
      </c>
      <c r="J77" s="60">
        <f ca="1">SUM(J78:J80)</f>
        <v>227081.89764830025</v>
      </c>
      <c r="K77" s="337">
        <f t="shared" ref="K77:AD77" ca="1" si="51">SUM(K78:K80)</f>
        <v>250470.41636697404</v>
      </c>
      <c r="L77" s="337">
        <f t="shared" ca="1" si="51"/>
        <v>290493.3003550772</v>
      </c>
      <c r="M77" s="337">
        <f t="shared" ca="1" si="51"/>
        <v>324934.85189745127</v>
      </c>
      <c r="N77" s="337">
        <f t="shared" ca="1" si="51"/>
        <v>330765.6355087905</v>
      </c>
      <c r="O77" s="337">
        <f t="shared" ca="1" si="51"/>
        <v>330741.05239255604</v>
      </c>
      <c r="P77" s="337">
        <f t="shared" ca="1" si="51"/>
        <v>326189.22777415678</v>
      </c>
      <c r="Q77" s="337">
        <f t="shared" ca="1" si="51"/>
        <v>383594.78737575386</v>
      </c>
      <c r="R77" s="337">
        <f t="shared" ca="1" si="51"/>
        <v>418242.30368441704</v>
      </c>
      <c r="S77" s="337">
        <f t="shared" ca="1" si="51"/>
        <v>478072.80072668428</v>
      </c>
      <c r="T77" s="337">
        <f t="shared" ca="1" si="51"/>
        <v>538502.01565739047</v>
      </c>
      <c r="U77" s="337" t="e">
        <f t="shared" ca="1" si="51"/>
        <v>#VALUE!</v>
      </c>
      <c r="V77" s="337" t="e">
        <f t="shared" ca="1" si="51"/>
        <v>#VALUE!</v>
      </c>
      <c r="W77" s="337" t="e">
        <f t="shared" ca="1" si="51"/>
        <v>#VALUE!</v>
      </c>
      <c r="X77" s="337" t="e">
        <f t="shared" ca="1" si="51"/>
        <v>#VALUE!</v>
      </c>
      <c r="Y77" s="337" t="e">
        <f t="shared" ca="1" si="51"/>
        <v>#VALUE!</v>
      </c>
      <c r="Z77" s="337" t="e">
        <f t="shared" ca="1" si="51"/>
        <v>#VALUE!</v>
      </c>
      <c r="AA77" s="337" t="e">
        <f t="shared" ca="1" si="51"/>
        <v>#VALUE!</v>
      </c>
      <c r="AB77" s="337" t="e">
        <f t="shared" ca="1" si="51"/>
        <v>#VALUE!</v>
      </c>
      <c r="AC77" s="337" t="e">
        <f t="shared" ca="1" si="51"/>
        <v>#VALUE!</v>
      </c>
      <c r="AD77" s="337" t="e">
        <f t="shared" ca="1" si="51"/>
        <v>#VALUE!</v>
      </c>
    </row>
    <row r="78" spans="3:30">
      <c r="C78" s="19" t="s">
        <v>50</v>
      </c>
      <c r="E78" s="328"/>
      <c r="F78" s="328"/>
      <c r="G78" s="328"/>
      <c r="H78" s="328">
        <v>100818</v>
      </c>
      <c r="I78" s="329">
        <v>108963</v>
      </c>
      <c r="J78" s="59">
        <f>I78</f>
        <v>108963</v>
      </c>
      <c r="K78" s="59">
        <f>J78+'Goodwill, Taxes &amp; Div.'!I53</f>
        <v>108963</v>
      </c>
      <c r="L78" s="59">
        <f>K78+'Goodwill, Taxes &amp; Div.'!J53</f>
        <v>108963</v>
      </c>
      <c r="M78" s="59">
        <f>L78+'Goodwill, Taxes &amp; Div.'!K53</f>
        <v>108963</v>
      </c>
      <c r="N78" s="59">
        <f>M78+'Goodwill, Taxes &amp; Div.'!L53</f>
        <v>108963</v>
      </c>
      <c r="O78" s="59">
        <f>N78+'Goodwill, Taxes &amp; Div.'!M53</f>
        <v>108963</v>
      </c>
      <c r="P78" s="59">
        <f>O78+'Goodwill, Taxes &amp; Div.'!N53</f>
        <v>108963</v>
      </c>
      <c r="Q78" s="59">
        <f>P78+'Goodwill, Taxes &amp; Div.'!O53</f>
        <v>108963</v>
      </c>
      <c r="R78" s="59">
        <f>Q78+'Goodwill, Taxes &amp; Div.'!P53</f>
        <v>108963</v>
      </c>
      <c r="S78" s="59">
        <f>R78+'Goodwill, Taxes &amp; Div.'!Q53</f>
        <v>108963</v>
      </c>
      <c r="T78" s="59">
        <f>S78+'Goodwill, Taxes &amp; Div.'!R53</f>
        <v>108963</v>
      </c>
      <c r="U78" s="59">
        <f>T78+'Goodwill, Taxes &amp; Div.'!S53</f>
        <v>108963</v>
      </c>
      <c r="V78" s="59">
        <f>U78+'Goodwill, Taxes &amp; Div.'!T53</f>
        <v>108963</v>
      </c>
      <c r="W78" s="59">
        <f>V78+'Goodwill, Taxes &amp; Div.'!U53</f>
        <v>108963</v>
      </c>
      <c r="X78" s="59">
        <f>W78+'Goodwill, Taxes &amp; Div.'!V53</f>
        <v>108963</v>
      </c>
      <c r="Y78" s="59">
        <f>X78+'Goodwill, Taxes &amp; Div.'!W53</f>
        <v>108963</v>
      </c>
      <c r="Z78" s="59">
        <f>Y78+'Goodwill, Taxes &amp; Div.'!X53</f>
        <v>108963</v>
      </c>
      <c r="AA78" s="59">
        <f>Z78+'Goodwill, Taxes &amp; Div.'!Y53</f>
        <v>108963</v>
      </c>
      <c r="AB78" s="59">
        <f>AA78+'Goodwill, Taxes &amp; Div.'!Z53</f>
        <v>108963</v>
      </c>
      <c r="AC78" s="59">
        <f>AB78+'Goodwill, Taxes &amp; Div.'!AA53</f>
        <v>108963</v>
      </c>
      <c r="AD78" s="59">
        <f>AC78+'Goodwill, Taxes &amp; Div.'!AB53</f>
        <v>108963</v>
      </c>
    </row>
    <row r="79" spans="3:30">
      <c r="C79" s="19" t="s">
        <v>52</v>
      </c>
      <c r="E79" s="328"/>
      <c r="F79" s="328"/>
      <c r="G79" s="328"/>
      <c r="H79" s="328">
        <v>37118</v>
      </c>
      <c r="I79" s="328">
        <v>61606</v>
      </c>
      <c r="J79" s="450">
        <f>I79</f>
        <v>61606</v>
      </c>
      <c r="K79" s="450">
        <f>J79</f>
        <v>61606</v>
      </c>
      <c r="L79" s="450">
        <f t="shared" ref="L79:AD79" si="52">K79</f>
        <v>61606</v>
      </c>
      <c r="M79" s="450">
        <f t="shared" si="52"/>
        <v>61606</v>
      </c>
      <c r="N79" s="450">
        <f t="shared" si="52"/>
        <v>61606</v>
      </c>
      <c r="O79" s="450">
        <f t="shared" si="52"/>
        <v>61606</v>
      </c>
      <c r="P79" s="450">
        <f t="shared" si="52"/>
        <v>61606</v>
      </c>
      <c r="Q79" s="450">
        <f t="shared" si="52"/>
        <v>61606</v>
      </c>
      <c r="R79" s="450">
        <f t="shared" si="52"/>
        <v>61606</v>
      </c>
      <c r="S79" s="450">
        <f t="shared" si="52"/>
        <v>61606</v>
      </c>
      <c r="T79" s="450">
        <f t="shared" si="52"/>
        <v>61606</v>
      </c>
      <c r="U79" s="450">
        <f t="shared" si="52"/>
        <v>61606</v>
      </c>
      <c r="V79" s="450">
        <f t="shared" si="52"/>
        <v>61606</v>
      </c>
      <c r="W79" s="450">
        <f t="shared" si="52"/>
        <v>61606</v>
      </c>
      <c r="X79" s="450">
        <f t="shared" si="52"/>
        <v>61606</v>
      </c>
      <c r="Y79" s="450">
        <f t="shared" si="52"/>
        <v>61606</v>
      </c>
      <c r="Z79" s="450">
        <f t="shared" si="52"/>
        <v>61606</v>
      </c>
      <c r="AA79" s="450">
        <f t="shared" si="52"/>
        <v>61606</v>
      </c>
      <c r="AB79" s="450">
        <f t="shared" si="52"/>
        <v>61606</v>
      </c>
      <c r="AC79" s="450">
        <f t="shared" si="52"/>
        <v>61606</v>
      </c>
      <c r="AD79" s="450">
        <f t="shared" si="52"/>
        <v>61606</v>
      </c>
    </row>
    <row r="80" spans="3:30">
      <c r="C80" s="19" t="s">
        <v>51</v>
      </c>
      <c r="E80" s="328"/>
      <c r="F80" s="328"/>
      <c r="G80" s="328"/>
      <c r="H80" s="328">
        <v>25996</v>
      </c>
      <c r="I80" s="329">
        <v>36542</v>
      </c>
      <c r="J80" s="30">
        <f ca="1">I80+'Income Statement'!J81-J53+'Cash Flow'!H46</f>
        <v>56512.897648300255</v>
      </c>
      <c r="K80" s="30">
        <f ca="1">J80+'Income Statement'!K81-K53+'Cash Flow'!I46</f>
        <v>79901.416366974037</v>
      </c>
      <c r="L80" s="30">
        <f ca="1">K80+'Income Statement'!L81-L53+'Cash Flow'!J46</f>
        <v>119924.3003550772</v>
      </c>
      <c r="M80" s="30">
        <f ca="1">L80+'Income Statement'!M81-M53+'Cash Flow'!K46</f>
        <v>154365.85189745127</v>
      </c>
      <c r="N80" s="30">
        <f ca="1">M80+'Income Statement'!N81-N53+'Cash Flow'!L46</f>
        <v>160196.63550879052</v>
      </c>
      <c r="O80" s="30">
        <f ca="1">N80+'Income Statement'!O81-O53+'Cash Flow'!M46</f>
        <v>160172.05239255604</v>
      </c>
      <c r="P80" s="30">
        <f ca="1">O80+'Income Statement'!P81-P53+'Cash Flow'!N46</f>
        <v>155620.22777415678</v>
      </c>
      <c r="Q80" s="30">
        <f ca="1">P80+'Income Statement'!Q81-Q53+'Cash Flow'!O46</f>
        <v>213025.78737575386</v>
      </c>
      <c r="R80" s="30">
        <f ca="1">Q80+'Income Statement'!R81-R53+'Cash Flow'!P46</f>
        <v>247673.30368441707</v>
      </c>
      <c r="S80" s="30">
        <f ca="1">R80+'Income Statement'!S81-S53+'Cash Flow'!Q46</f>
        <v>307503.80072668428</v>
      </c>
      <c r="T80" s="30">
        <f ca="1">S80+'Income Statement'!T81-T53+'Cash Flow'!R46</f>
        <v>367933.01565739041</v>
      </c>
      <c r="U80" s="30" t="e">
        <f ca="1">T80+'Income Statement'!U81-U53+'Cash Flow'!S46</f>
        <v>#VALUE!</v>
      </c>
      <c r="V80" s="30" t="e">
        <f ca="1">U80+'Income Statement'!V81-V53+'Cash Flow'!T46</f>
        <v>#VALUE!</v>
      </c>
      <c r="W80" s="30" t="e">
        <f ca="1">V80+'Income Statement'!W81-W53+'Cash Flow'!U46</f>
        <v>#VALUE!</v>
      </c>
      <c r="X80" s="30" t="e">
        <f ca="1">W80+'Income Statement'!X81-X53+'Cash Flow'!V46</f>
        <v>#VALUE!</v>
      </c>
      <c r="Y80" s="30" t="e">
        <f ca="1">X80+'Income Statement'!Y81-Y53+'Cash Flow'!W46</f>
        <v>#VALUE!</v>
      </c>
      <c r="Z80" s="30" t="e">
        <f ca="1">Y80+'Income Statement'!Z81-Z53+'Cash Flow'!X46</f>
        <v>#VALUE!</v>
      </c>
      <c r="AA80" s="30" t="e">
        <f ca="1">Z80+'Income Statement'!AA81-AA53+'Cash Flow'!Y46</f>
        <v>#VALUE!</v>
      </c>
      <c r="AB80" s="30" t="e">
        <f ca="1">AA80+'Income Statement'!AB81-AB53+'Cash Flow'!Z46</f>
        <v>#VALUE!</v>
      </c>
      <c r="AC80" s="30" t="e">
        <f ca="1">AB80+'Income Statement'!AC81-AC53+'Cash Flow'!AA46</f>
        <v>#VALUE!</v>
      </c>
      <c r="AD80" s="30" t="e">
        <f ca="1">AC80+'Income Statement'!AD81-AD53+'Cash Flow'!AB46</f>
        <v>#VALUE!</v>
      </c>
    </row>
    <row r="81" spans="3:30">
      <c r="E81" s="325"/>
      <c r="F81" s="325"/>
      <c r="G81" s="325"/>
      <c r="H81" s="325"/>
      <c r="I81" s="325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spans="3:30">
      <c r="E82" s="325"/>
      <c r="F82" s="325"/>
      <c r="G82" s="325"/>
      <c r="H82" s="325"/>
      <c r="I82" s="325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spans="3:30">
      <c r="C83" s="108" t="s">
        <v>53</v>
      </c>
      <c r="D83" s="109"/>
      <c r="E83" s="333">
        <f t="shared" ref="E83:AD83" si="53">E10-E44</f>
        <v>0</v>
      </c>
      <c r="F83" s="333">
        <f t="shared" si="53"/>
        <v>0</v>
      </c>
      <c r="G83" s="333">
        <f t="shared" si="53"/>
        <v>0</v>
      </c>
      <c r="H83" s="333">
        <f>H10-H44</f>
        <v>0</v>
      </c>
      <c r="I83" s="333">
        <f>I10-I44</f>
        <v>0</v>
      </c>
      <c r="J83" s="333">
        <f ca="1">J10-J44</f>
        <v>0</v>
      </c>
      <c r="K83" s="333">
        <f ca="1">K10-K44</f>
        <v>0</v>
      </c>
      <c r="L83" s="333">
        <f t="shared" ca="1" si="53"/>
        <v>0</v>
      </c>
      <c r="M83" s="333">
        <f t="shared" ca="1" si="53"/>
        <v>0</v>
      </c>
      <c r="N83" s="333">
        <f t="shared" ca="1" si="53"/>
        <v>0</v>
      </c>
      <c r="O83" s="333">
        <f t="shared" ca="1" si="53"/>
        <v>0</v>
      </c>
      <c r="P83" s="333">
        <f t="shared" ca="1" si="53"/>
        <v>0</v>
      </c>
      <c r="Q83" s="333">
        <f t="shared" ca="1" si="53"/>
        <v>0</v>
      </c>
      <c r="R83" s="333">
        <f t="shared" ca="1" si="53"/>
        <v>0</v>
      </c>
      <c r="S83" s="333">
        <f t="shared" ca="1" si="53"/>
        <v>16987</v>
      </c>
      <c r="T83" s="333">
        <f t="shared" ca="1" si="53"/>
        <v>33974.000000000931</v>
      </c>
      <c r="U83" s="333" t="e">
        <f t="shared" ca="1" si="53"/>
        <v>#VALUE!</v>
      </c>
      <c r="V83" s="333" t="e">
        <f t="shared" ca="1" si="53"/>
        <v>#VALUE!</v>
      </c>
      <c r="W83" s="333" t="e">
        <f t="shared" ca="1" si="53"/>
        <v>#VALUE!</v>
      </c>
      <c r="X83" s="333" t="e">
        <f t="shared" ca="1" si="53"/>
        <v>#VALUE!</v>
      </c>
      <c r="Y83" s="333" t="e">
        <f t="shared" ca="1" si="53"/>
        <v>#VALUE!</v>
      </c>
      <c r="Z83" s="333" t="e">
        <f t="shared" ca="1" si="53"/>
        <v>#VALUE!</v>
      </c>
      <c r="AA83" s="333" t="e">
        <f t="shared" ca="1" si="53"/>
        <v>#VALUE!</v>
      </c>
      <c r="AB83" s="333" t="e">
        <f t="shared" ca="1" si="53"/>
        <v>#VALUE!</v>
      </c>
      <c r="AC83" s="333" t="e">
        <f t="shared" ca="1" si="53"/>
        <v>#VALUE!</v>
      </c>
      <c r="AD83" s="333" t="e">
        <f t="shared" ca="1" si="53"/>
        <v>#DIV/0!</v>
      </c>
    </row>
    <row r="84" spans="3:30">
      <c r="H84" s="480"/>
      <c r="J84" s="29"/>
      <c r="K84" s="29"/>
    </row>
    <row r="85" spans="3:30">
      <c r="F85" s="334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 spans="3:30">
      <c r="I86" s="325"/>
      <c r="J86" s="27"/>
      <c r="M86" s="37"/>
    </row>
    <row r="87" spans="3:30">
      <c r="I87" s="334"/>
      <c r="J87" s="27"/>
      <c r="L87" s="27"/>
      <c r="M87" s="27"/>
    </row>
    <row r="88" spans="3:30">
      <c r="I88" s="334"/>
      <c r="J88" s="37"/>
      <c r="L88" s="27"/>
      <c r="M88" s="27"/>
    </row>
    <row r="89" spans="3:30">
      <c r="C89" s="388" t="s">
        <v>246</v>
      </c>
      <c r="D89" s="109"/>
      <c r="E89" s="335"/>
      <c r="F89" s="335"/>
      <c r="G89" s="335"/>
      <c r="H89" s="335"/>
      <c r="I89" s="335"/>
      <c r="J89" s="156"/>
      <c r="K89" s="156"/>
      <c r="L89" s="156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</row>
    <row r="90" spans="3:30">
      <c r="F90" s="334"/>
      <c r="I90" s="334"/>
      <c r="J90" s="37"/>
      <c r="L90" s="37"/>
      <c r="M90" s="27"/>
    </row>
    <row r="91" spans="3:30">
      <c r="F91" s="334"/>
      <c r="I91" s="334"/>
      <c r="J91" s="3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3:30">
      <c r="F92" s="334"/>
      <c r="I92" s="334"/>
      <c r="J92" s="37"/>
      <c r="K92" s="27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</row>
    <row r="93" spans="3:30">
      <c r="F93" s="334"/>
      <c r="I93" s="334"/>
      <c r="K93" s="27"/>
    </row>
    <row r="94" spans="3:30">
      <c r="F94" s="334"/>
      <c r="I94" s="334"/>
      <c r="J94" s="37"/>
      <c r="K94" s="27"/>
      <c r="N94" s="29"/>
    </row>
    <row r="95" spans="3:30">
      <c r="F95" s="334"/>
      <c r="I95" s="334"/>
      <c r="J95" s="37"/>
      <c r="K95" s="27"/>
    </row>
    <row r="96" spans="3:30">
      <c r="F96" s="334"/>
      <c r="I96" s="334"/>
      <c r="J96" s="37"/>
      <c r="K96" s="27"/>
    </row>
    <row r="97" spans="6:11">
      <c r="F97" s="334"/>
      <c r="I97" s="334"/>
      <c r="J97" s="37"/>
      <c r="K97" s="27"/>
    </row>
    <row r="98" spans="6:11">
      <c r="F98" s="334"/>
      <c r="I98" s="334"/>
      <c r="J98" s="37"/>
      <c r="K98" s="27"/>
    </row>
    <row r="99" spans="6:11">
      <c r="F99" s="334"/>
      <c r="I99" s="334"/>
      <c r="J99" s="37"/>
      <c r="K99" s="27"/>
    </row>
    <row r="100" spans="6:11">
      <c r="F100" s="334"/>
      <c r="I100" s="334"/>
      <c r="J100" s="37"/>
      <c r="K100" s="27"/>
    </row>
    <row r="101" spans="6:11">
      <c r="F101" s="334"/>
      <c r="I101" s="334"/>
      <c r="J101" s="37"/>
      <c r="K101" s="27"/>
    </row>
    <row r="102" spans="6:11">
      <c r="F102" s="334"/>
      <c r="I102" s="334"/>
      <c r="J102" s="37"/>
      <c r="K102" s="27"/>
    </row>
    <row r="103" spans="6:11">
      <c r="F103" s="334"/>
      <c r="I103" s="334"/>
      <c r="J103" s="37"/>
      <c r="K103" s="27"/>
    </row>
    <row r="104" spans="6:11">
      <c r="F104" s="334"/>
      <c r="I104" s="334"/>
      <c r="J104" s="37"/>
      <c r="K104" s="27"/>
    </row>
    <row r="105" spans="6:11">
      <c r="F105" s="334"/>
      <c r="I105" s="334"/>
      <c r="J105" s="37"/>
      <c r="K105" s="27"/>
    </row>
    <row r="106" spans="6:11">
      <c r="F106" s="334"/>
      <c r="I106" s="334"/>
      <c r="J106" s="37"/>
      <c r="K106" s="27"/>
    </row>
    <row r="107" spans="6:11">
      <c r="F107" s="334"/>
      <c r="I107" s="334"/>
      <c r="J107" s="37"/>
      <c r="K107" s="27"/>
    </row>
    <row r="108" spans="6:11">
      <c r="F108" s="334"/>
      <c r="I108" s="334"/>
      <c r="J108" s="37"/>
      <c r="K108" s="27"/>
    </row>
    <row r="109" spans="6:11">
      <c r="F109" s="334"/>
      <c r="I109" s="334"/>
      <c r="J109" s="37"/>
      <c r="K109" s="27"/>
    </row>
    <row r="110" spans="6:11">
      <c r="F110" s="334"/>
      <c r="I110" s="334"/>
      <c r="J110" s="37"/>
      <c r="K110" s="27"/>
    </row>
    <row r="111" spans="6:11">
      <c r="F111" s="334"/>
      <c r="I111" s="334"/>
      <c r="J111" s="37"/>
      <c r="K111" s="27"/>
    </row>
    <row r="112" spans="6:11">
      <c r="F112" s="334"/>
      <c r="I112" s="334"/>
      <c r="J112" s="37"/>
      <c r="K112" s="27"/>
    </row>
    <row r="113" spans="6:11">
      <c r="F113" s="334"/>
      <c r="I113" s="334"/>
      <c r="J113" s="37"/>
      <c r="K113" s="27"/>
    </row>
    <row r="114" spans="6:11">
      <c r="F114" s="334"/>
      <c r="I114" s="334"/>
      <c r="J114" s="37"/>
      <c r="K114" s="27"/>
    </row>
    <row r="115" spans="6:11">
      <c r="F115" s="334"/>
      <c r="I115" s="334"/>
      <c r="J115" s="37"/>
      <c r="K115" s="27"/>
    </row>
    <row r="116" spans="6:11">
      <c r="F116" s="334"/>
      <c r="I116" s="334"/>
      <c r="J116" s="37"/>
      <c r="K116" s="27"/>
    </row>
    <row r="117" spans="6:11">
      <c r="F117" s="334"/>
      <c r="I117" s="334"/>
      <c r="J117" s="37"/>
      <c r="K117" s="27"/>
    </row>
    <row r="118" spans="6:11">
      <c r="F118" s="334"/>
      <c r="I118" s="334"/>
      <c r="J118" s="37"/>
      <c r="K118" s="27"/>
    </row>
    <row r="119" spans="6:11">
      <c r="F119" s="334"/>
      <c r="I119" s="334"/>
      <c r="J119" s="37"/>
      <c r="K119" s="27"/>
    </row>
    <row r="120" spans="6:11">
      <c r="F120" s="334"/>
      <c r="I120" s="334"/>
      <c r="J120" s="37"/>
      <c r="K120" s="27"/>
    </row>
    <row r="121" spans="6:11">
      <c r="F121" s="334"/>
      <c r="I121" s="334"/>
      <c r="J121" s="37"/>
      <c r="K121" s="27"/>
    </row>
    <row r="122" spans="6:11">
      <c r="F122" s="334"/>
      <c r="I122" s="334"/>
    </row>
    <row r="123" spans="6:11">
      <c r="F123" s="334"/>
      <c r="I123" s="334"/>
    </row>
    <row r="124" spans="6:11">
      <c r="F124" s="334"/>
      <c r="I124" s="334"/>
    </row>
    <row r="125" spans="6:11">
      <c r="F125" s="334"/>
      <c r="I125" s="334"/>
    </row>
    <row r="126" spans="6:11">
      <c r="F126" s="334"/>
      <c r="I126" s="334"/>
    </row>
    <row r="127" spans="6:11">
      <c r="F127" s="334"/>
      <c r="I127" s="334"/>
    </row>
    <row r="128" spans="6:11">
      <c r="F128" s="334"/>
      <c r="I128" s="334"/>
    </row>
    <row r="129" spans="6:9">
      <c r="F129" s="334"/>
      <c r="I129" s="334"/>
    </row>
    <row r="130" spans="6:9">
      <c r="F130" s="334"/>
      <c r="I130" s="334"/>
    </row>
    <row r="131" spans="6:9">
      <c r="F131" s="334"/>
      <c r="I131" s="334"/>
    </row>
    <row r="132" spans="6:9">
      <c r="F132" s="334"/>
      <c r="I132" s="334"/>
    </row>
    <row r="133" spans="6:9">
      <c r="F133" s="334"/>
      <c r="I133" s="334"/>
    </row>
    <row r="134" spans="6:9">
      <c r="F134" s="334"/>
      <c r="I134" s="334"/>
    </row>
    <row r="135" spans="6:9">
      <c r="F135" s="334"/>
      <c r="I135" s="334"/>
    </row>
    <row r="136" spans="6:9">
      <c r="F136" s="334"/>
      <c r="I136" s="334"/>
    </row>
    <row r="137" spans="6:9">
      <c r="F137" s="334"/>
      <c r="I137" s="334"/>
    </row>
    <row r="138" spans="6:9">
      <c r="F138" s="334"/>
      <c r="I138" s="334"/>
    </row>
    <row r="139" spans="6:9">
      <c r="F139" s="334"/>
    </row>
    <row r="140" spans="6:9">
      <c r="F140" s="334"/>
    </row>
    <row r="141" spans="6:9">
      <c r="F141" s="334"/>
    </row>
    <row r="142" spans="6:9">
      <c r="F142" s="334"/>
    </row>
    <row r="143" spans="6:9">
      <c r="F143" s="334"/>
    </row>
    <row r="144" spans="6:9">
      <c r="F144" s="334"/>
    </row>
    <row r="145" spans="6:6">
      <c r="F145" s="334"/>
    </row>
    <row r="146" spans="6:6">
      <c r="F146" s="334"/>
    </row>
    <row r="147" spans="6:6">
      <c r="F147" s="334"/>
    </row>
    <row r="148" spans="6:6">
      <c r="F148" s="334"/>
    </row>
    <row r="149" spans="6:6">
      <c r="F149" s="334"/>
    </row>
    <row r="150" spans="6:6">
      <c r="F150" s="334"/>
    </row>
    <row r="151" spans="6:6">
      <c r="F151" s="334"/>
    </row>
    <row r="152" spans="6:6">
      <c r="F152" s="334"/>
    </row>
    <row r="153" spans="6:6">
      <c r="F153" s="334"/>
    </row>
    <row r="154" spans="6:6">
      <c r="F154" s="334"/>
    </row>
    <row r="155" spans="6:6">
      <c r="F155" s="334"/>
    </row>
    <row r="156" spans="6:6">
      <c r="F156" s="334"/>
    </row>
    <row r="157" spans="6:6">
      <c r="F157" s="334"/>
    </row>
    <row r="158" spans="6:6">
      <c r="F158" s="334"/>
    </row>
    <row r="159" spans="6:6">
      <c r="F159" s="334"/>
    </row>
    <row r="160" spans="6:6">
      <c r="F160" s="334"/>
    </row>
    <row r="161" spans="6:6">
      <c r="F161" s="334"/>
    </row>
    <row r="162" spans="6:6">
      <c r="F162" s="334"/>
    </row>
    <row r="163" spans="6:6">
      <c r="F163" s="334"/>
    </row>
    <row r="164" spans="6:6">
      <c r="F164" s="334"/>
    </row>
    <row r="165" spans="6:6">
      <c r="F165" s="334"/>
    </row>
    <row r="166" spans="6:6">
      <c r="F166" s="334"/>
    </row>
    <row r="167" spans="6:6">
      <c r="F167" s="334"/>
    </row>
    <row r="168" spans="6:6">
      <c r="F168" s="334"/>
    </row>
    <row r="169" spans="6:6">
      <c r="F169" s="334"/>
    </row>
    <row r="170" spans="6:6">
      <c r="F170" s="334"/>
    </row>
    <row r="171" spans="6:6">
      <c r="F171" s="334"/>
    </row>
    <row r="172" spans="6:6">
      <c r="F172" s="334"/>
    </row>
    <row r="173" spans="6:6">
      <c r="F173" s="334"/>
    </row>
  </sheetData>
  <phoneticPr fontId="7" type="noConversion"/>
  <pageMargins left="0.75" right="0.75" top="1" bottom="1" header="0.5" footer="0.5"/>
  <pageSetup scale="69" orientation="portrait" r:id="rId1"/>
  <headerFooter alignWithMargins="0"/>
  <rowBreaks count="1" manualBreakCount="1">
    <brk id="84" max="16383" man="1"/>
  </rowBreaks>
  <colBreaks count="1" manualBreakCount="1">
    <brk id="11" max="7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2:AD101"/>
  <sheetViews>
    <sheetView showGridLines="0" zoomScale="85" workbookViewId="0">
      <pane xSplit="8" ySplit="7" topLeftCell="I8" activePane="bottomRight" state="frozen"/>
      <selection activeCell="H55" sqref="H55"/>
      <selection pane="topRight" activeCell="H55" sqref="H55"/>
      <selection pane="bottomLeft" activeCell="H55" sqref="H55"/>
      <selection pane="bottomRight" activeCell="J24" sqref="J24"/>
    </sheetView>
  </sheetViews>
  <sheetFormatPr defaultRowHeight="13.2" outlineLevelRow="1" outlineLevelCol="1"/>
  <cols>
    <col min="1" max="1" width="3.5546875" customWidth="1"/>
    <col min="2" max="2" width="31.5546875" bestFit="1" customWidth="1"/>
    <col min="3" max="3" width="9.88671875" bestFit="1" customWidth="1"/>
    <col min="4" max="6" width="10.44140625" hidden="1" customWidth="1" outlineLevel="1"/>
    <col min="7" max="7" width="10.44140625" customWidth="1" outlineLevel="1"/>
    <col min="8" max="14" width="10.44140625" customWidth="1"/>
    <col min="15" max="23" width="10.44140625" customWidth="1" outlineLevel="1"/>
    <col min="24" max="29" width="11.5546875" bestFit="1" customWidth="1" outlineLevel="1"/>
  </cols>
  <sheetData>
    <row r="2" spans="1:29">
      <c r="A2" s="92">
        <v>1</v>
      </c>
      <c r="B2" s="93" t="str">
        <f>'Revenues, COGS &amp; SG&amp;A'!B2</f>
        <v>Base Case</v>
      </c>
      <c r="C2" s="94" t="s">
        <v>123</v>
      </c>
    </row>
    <row r="3" spans="1:29">
      <c r="A3" s="92">
        <v>2</v>
      </c>
      <c r="B3" s="93" t="str">
        <f>'Revenues, COGS &amp; SG&amp;A'!B3</f>
        <v>Client Case</v>
      </c>
      <c r="C3" s="96">
        <f>Output!G2</f>
        <v>1</v>
      </c>
    </row>
    <row r="4" spans="1:29">
      <c r="A4" s="92">
        <v>3</v>
      </c>
      <c r="B4" s="93" t="str">
        <f>'Revenues, COGS &amp; SG&amp;A'!B4</f>
        <v>Stress Case</v>
      </c>
      <c r="I4" s="29">
        <f ca="1">'Balance Sheet'!J83</f>
        <v>0</v>
      </c>
      <c r="J4" s="29">
        <f ca="1">'Balance Sheet'!K83</f>
        <v>0</v>
      </c>
      <c r="K4" s="29">
        <f ca="1">'Balance Sheet'!L83</f>
        <v>0</v>
      </c>
      <c r="L4" s="29">
        <f ca="1">'Balance Sheet'!M83</f>
        <v>0</v>
      </c>
      <c r="M4" s="29">
        <f ca="1">'Balance Sheet'!N83</f>
        <v>0</v>
      </c>
      <c r="N4" s="29">
        <f ca="1">'Balance Sheet'!O83</f>
        <v>0</v>
      </c>
      <c r="O4" s="29">
        <f ca="1">'Balance Sheet'!P83</f>
        <v>0</v>
      </c>
      <c r="P4" s="29">
        <f ca="1">'Balance Sheet'!Q83</f>
        <v>0</v>
      </c>
      <c r="Q4" s="29">
        <f ca="1">'Balance Sheet'!R83</f>
        <v>0</v>
      </c>
    </row>
    <row r="5" spans="1:29">
      <c r="I5" s="29"/>
      <c r="Z5" s="223"/>
      <c r="AA5" s="223"/>
      <c r="AB5" s="223"/>
      <c r="AC5" s="223"/>
    </row>
    <row r="7" spans="1:29" ht="16.2" thickBot="1">
      <c r="B7" s="17" t="s">
        <v>7</v>
      </c>
      <c r="C7" s="12"/>
      <c r="D7" s="1">
        <f>'Revenues, COGS &amp; SG&amp;A'!D7</f>
        <v>39447</v>
      </c>
      <c r="E7" s="1">
        <f>'Revenues, COGS &amp; SG&amp;A'!E7</f>
        <v>39813</v>
      </c>
      <c r="F7" s="1">
        <f>'Revenues, COGS &amp; SG&amp;A'!F7</f>
        <v>40178</v>
      </c>
      <c r="G7" s="1">
        <f>'Revenues, COGS &amp; SG&amp;A'!G7</f>
        <v>40543</v>
      </c>
      <c r="H7" s="1">
        <f>'Revenues, COGS &amp; SG&amp;A'!H7</f>
        <v>40908</v>
      </c>
      <c r="I7" s="1">
        <f>'Revenues, COGS &amp; SG&amp;A'!I7</f>
        <v>41274</v>
      </c>
      <c r="J7" s="1">
        <f>'Revenues, COGS &amp; SG&amp;A'!J7</f>
        <v>41639</v>
      </c>
      <c r="K7" s="1">
        <f>'Revenues, COGS &amp; SG&amp;A'!K7</f>
        <v>42004</v>
      </c>
      <c r="L7" s="1">
        <f>'Revenues, COGS &amp; SG&amp;A'!L7</f>
        <v>42369</v>
      </c>
      <c r="M7" s="1">
        <f>'Revenues, COGS &amp; SG&amp;A'!M7</f>
        <v>42735</v>
      </c>
      <c r="N7" s="1">
        <f>'Revenues, COGS &amp; SG&amp;A'!N7</f>
        <v>43100</v>
      </c>
      <c r="O7" s="1">
        <f>'Revenues, COGS &amp; SG&amp;A'!O7</f>
        <v>43465</v>
      </c>
      <c r="P7" s="1">
        <f>'Revenues, COGS &amp; SG&amp;A'!P7</f>
        <v>43830</v>
      </c>
      <c r="Q7" s="1">
        <f>'Revenues, COGS &amp; SG&amp;A'!Q7</f>
        <v>44196</v>
      </c>
      <c r="R7" s="1">
        <f>'Revenues, COGS &amp; SG&amp;A'!R7</f>
        <v>44561</v>
      </c>
      <c r="S7" s="1">
        <f>'Revenues, COGS &amp; SG&amp;A'!S7</f>
        <v>44926</v>
      </c>
      <c r="T7" s="1">
        <f>'Revenues, COGS &amp; SG&amp;A'!T7</f>
        <v>45291</v>
      </c>
      <c r="U7" s="1">
        <f>'Revenues, COGS &amp; SG&amp;A'!U7</f>
        <v>45657</v>
      </c>
      <c r="V7" s="1">
        <f>'Revenues, COGS &amp; SG&amp;A'!V7</f>
        <v>46022</v>
      </c>
      <c r="W7" s="1">
        <f>'Revenues, COGS &amp; SG&amp;A'!W7</f>
        <v>46387</v>
      </c>
      <c r="X7" s="1">
        <f>'Revenues, COGS &amp; SG&amp;A'!X7</f>
        <v>46752</v>
      </c>
      <c r="Y7" s="1">
        <f>'Revenues, COGS &amp; SG&amp;A'!Y7</f>
        <v>47118</v>
      </c>
      <c r="Z7" s="1">
        <f>'Revenues, COGS &amp; SG&amp;A'!Z7</f>
        <v>47483</v>
      </c>
      <c r="AA7" s="1">
        <f>'Revenues, COGS &amp; SG&amp;A'!AA7</f>
        <v>47848</v>
      </c>
      <c r="AB7" s="1">
        <f>'Revenues, COGS &amp; SG&amp;A'!AB7</f>
        <v>48213</v>
      </c>
      <c r="AC7" s="1">
        <f>'Revenues, COGS &amp; SG&amp;A'!AC7</f>
        <v>48579</v>
      </c>
    </row>
    <row r="8" spans="1:29" ht="13.8" thickTop="1">
      <c r="B8" s="41" t="s">
        <v>70</v>
      </c>
    </row>
    <row r="9" spans="1:29">
      <c r="D9" s="23"/>
      <c r="E9" s="23"/>
      <c r="F9" s="23"/>
      <c r="G9" s="23"/>
      <c r="H9" s="24"/>
    </row>
    <row r="10" spans="1:29" outlineLevel="1">
      <c r="B10" s="28" t="s">
        <v>172</v>
      </c>
      <c r="C10" s="26"/>
      <c r="D10" s="66"/>
      <c r="E10" s="66"/>
      <c r="F10" s="66"/>
      <c r="G10" s="66"/>
      <c r="H10" s="67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outlineLevel="1">
      <c r="D11" s="23"/>
      <c r="E11" s="23"/>
      <c r="F11" s="23"/>
      <c r="G11" s="23"/>
      <c r="H11" s="24"/>
    </row>
    <row r="12" spans="1:29" outlineLevel="1">
      <c r="B12" s="4" t="s">
        <v>235</v>
      </c>
      <c r="D12" s="23"/>
      <c r="E12" s="23"/>
      <c r="F12" s="23"/>
      <c r="G12" s="23"/>
      <c r="H12" s="24"/>
      <c r="L12" s="29"/>
      <c r="M12" s="29"/>
      <c r="N12" s="29"/>
      <c r="O12" s="29"/>
      <c r="P12" s="29"/>
    </row>
    <row r="13" spans="1:29" outlineLevel="1">
      <c r="B13" t="str">
        <f>'Balance Sheet'!C14</f>
        <v>Aplicações de liquidez imediata e valores em trânsito</v>
      </c>
      <c r="D13" s="132">
        <f>'Balance Sheet'!E14</f>
        <v>0</v>
      </c>
      <c r="E13" s="132">
        <f>'Balance Sheet'!F14</f>
        <v>0</v>
      </c>
      <c r="F13" s="132">
        <f>'Balance Sheet'!G14</f>
        <v>0</v>
      </c>
      <c r="G13" s="132">
        <f>'Balance Sheet'!H14</f>
        <v>0</v>
      </c>
      <c r="H13" s="132">
        <f>'Balance Sheet'!I14</f>
        <v>0</v>
      </c>
      <c r="I13" s="29">
        <f>I31/360*I37</f>
        <v>0</v>
      </c>
      <c r="J13" s="29">
        <f t="shared" ref="J13:AC13" si="0">J31/360*J37</f>
        <v>0</v>
      </c>
      <c r="K13" s="29">
        <f t="shared" si="0"/>
        <v>0</v>
      </c>
      <c r="L13" s="29">
        <f t="shared" si="0"/>
        <v>0</v>
      </c>
      <c r="M13" s="29">
        <f t="shared" si="0"/>
        <v>0</v>
      </c>
      <c r="N13" s="29">
        <f t="shared" si="0"/>
        <v>0</v>
      </c>
      <c r="O13" s="29">
        <f t="shared" si="0"/>
        <v>0</v>
      </c>
      <c r="P13" s="29">
        <f t="shared" si="0"/>
        <v>0</v>
      </c>
      <c r="Q13" s="29">
        <f t="shared" si="0"/>
        <v>0</v>
      </c>
      <c r="R13" s="29">
        <f t="shared" si="0"/>
        <v>0</v>
      </c>
      <c r="S13" s="29">
        <f t="shared" si="0"/>
        <v>0</v>
      </c>
      <c r="T13" s="29">
        <f t="shared" si="0"/>
        <v>0</v>
      </c>
      <c r="U13" s="29">
        <f t="shared" si="0"/>
        <v>0</v>
      </c>
      <c r="V13" s="29">
        <f t="shared" si="0"/>
        <v>0</v>
      </c>
      <c r="W13" s="29">
        <f t="shared" si="0"/>
        <v>0</v>
      </c>
      <c r="X13" s="29">
        <f t="shared" si="0"/>
        <v>0</v>
      </c>
      <c r="Y13" s="29">
        <f t="shared" si="0"/>
        <v>0</v>
      </c>
      <c r="Z13" s="29">
        <f t="shared" si="0"/>
        <v>0</v>
      </c>
      <c r="AA13" s="29">
        <f t="shared" si="0"/>
        <v>0</v>
      </c>
      <c r="AB13" s="29">
        <f t="shared" si="0"/>
        <v>0</v>
      </c>
      <c r="AC13" s="29">
        <f t="shared" si="0"/>
        <v>0</v>
      </c>
    </row>
    <row r="14" spans="1:29" outlineLevel="1">
      <c r="B14" t="str">
        <f>'Balance Sheet'!C15</f>
        <v>Reserva Técnica</v>
      </c>
      <c r="D14" s="132">
        <f>'Balance Sheet'!E15</f>
        <v>0</v>
      </c>
      <c r="E14" s="132">
        <f>'Balance Sheet'!F15</f>
        <v>0</v>
      </c>
      <c r="F14" s="132">
        <f>'Balance Sheet'!G15</f>
        <v>0</v>
      </c>
      <c r="G14" s="132">
        <f>'Balance Sheet'!H15</f>
        <v>102022</v>
      </c>
      <c r="H14" s="132">
        <f>'Balance Sheet'!I15</f>
        <v>172303</v>
      </c>
      <c r="I14" s="29">
        <f>I38/360*I31</f>
        <v>185298.0279760407</v>
      </c>
      <c r="J14" s="29">
        <f t="shared" ref="J14:AC14" si="1">J38/360*J31</f>
        <v>202410.9696789498</v>
      </c>
      <c r="K14" s="29">
        <f t="shared" si="1"/>
        <v>217651.61723750833</v>
      </c>
      <c r="L14" s="29">
        <f t="shared" si="1"/>
        <v>234399.17473120851</v>
      </c>
      <c r="M14" s="29">
        <f t="shared" si="1"/>
        <v>253008.3901606185</v>
      </c>
      <c r="N14" s="29">
        <f t="shared" si="1"/>
        <v>272986.88816679042</v>
      </c>
      <c r="O14" s="29">
        <f t="shared" si="1"/>
        <v>294738.53210159286</v>
      </c>
      <c r="P14" s="29">
        <f t="shared" si="1"/>
        <v>318237.23520854372</v>
      </c>
      <c r="Q14" s="29">
        <f t="shared" si="1"/>
        <v>343414.91049657325</v>
      </c>
      <c r="R14" s="29">
        <f t="shared" si="1"/>
        <v>370440.2744570137</v>
      </c>
      <c r="S14" s="29">
        <f t="shared" si="1"/>
        <v>399699.64954256045</v>
      </c>
      <c r="T14" s="29">
        <f t="shared" si="1"/>
        <v>434373.59414037754</v>
      </c>
      <c r="U14" s="29">
        <f t="shared" si="1"/>
        <v>472055.50343205524</v>
      </c>
      <c r="V14" s="29">
        <f t="shared" si="1"/>
        <v>513006.31835478597</v>
      </c>
      <c r="W14" s="29">
        <f t="shared" si="1"/>
        <v>557509.61647206359</v>
      </c>
      <c r="X14" s="29">
        <f t="shared" si="1"/>
        <v>605873.57570101507</v>
      </c>
      <c r="Y14" s="29">
        <f t="shared" si="1"/>
        <v>658433.10839307809</v>
      </c>
      <c r="Z14" s="29">
        <f t="shared" si="1"/>
        <v>715552.18054617743</v>
      </c>
      <c r="AA14" s="29">
        <f t="shared" si="1"/>
        <v>777626.33220855822</v>
      </c>
      <c r="AB14" s="29">
        <f t="shared" si="1"/>
        <v>777626.33220855822</v>
      </c>
      <c r="AC14" s="29">
        <f t="shared" si="1"/>
        <v>777626.33220855822</v>
      </c>
    </row>
    <row r="15" spans="1:29" outlineLevel="1">
      <c r="B15" t="str">
        <f>'Balance Sheet'!C16</f>
        <v>Créd. operações pl. de assist. à saúde</v>
      </c>
      <c r="D15" s="132">
        <f>'Balance Sheet'!E16</f>
        <v>0</v>
      </c>
      <c r="E15" s="132">
        <f>'Balance Sheet'!F16</f>
        <v>0</v>
      </c>
      <c r="F15" s="132">
        <f>'Balance Sheet'!G16</f>
        <v>0</v>
      </c>
      <c r="G15" s="132">
        <f>'Balance Sheet'!H16</f>
        <v>86898</v>
      </c>
      <c r="H15" s="132">
        <f>'Balance Sheet'!I16</f>
        <v>106236</v>
      </c>
      <c r="I15" s="29">
        <f>I39/360*I31</f>
        <v>114248.27948476035</v>
      </c>
      <c r="J15" s="29">
        <f t="shared" ref="J15:AC15" si="2">J39/360*J31</f>
        <v>124799.5204657662</v>
      </c>
      <c r="K15" s="29">
        <f t="shared" si="2"/>
        <v>134196.37039891319</v>
      </c>
      <c r="L15" s="29">
        <f t="shared" si="2"/>
        <v>144522.32826326104</v>
      </c>
      <c r="M15" s="29">
        <f t="shared" si="2"/>
        <v>155996.11926143753</v>
      </c>
      <c r="N15" s="29">
        <f t="shared" si="2"/>
        <v>168314.16197795249</v>
      </c>
      <c r="O15" s="29">
        <f t="shared" si="2"/>
        <v>181725.46442223771</v>
      </c>
      <c r="P15" s="29">
        <f t="shared" si="2"/>
        <v>196213.94241316084</v>
      </c>
      <c r="Q15" s="29">
        <f>Q39/360*Q31</f>
        <v>211737.61589475494</v>
      </c>
      <c r="R15" s="29">
        <f t="shared" si="2"/>
        <v>228400.50955128646</v>
      </c>
      <c r="S15" s="29">
        <f t="shared" si="2"/>
        <v>246440.81628760646</v>
      </c>
      <c r="T15" s="29">
        <f t="shared" si="2"/>
        <v>267819.55710055627</v>
      </c>
      <c r="U15" s="29">
        <f t="shared" si="2"/>
        <v>291052.90367902949</v>
      </c>
      <c r="V15" s="29">
        <f t="shared" si="2"/>
        <v>316301.74307318532</v>
      </c>
      <c r="W15" s="29">
        <f t="shared" si="2"/>
        <v>343740.91928478412</v>
      </c>
      <c r="X15" s="29">
        <f>X39/360*X31</f>
        <v>373560.44403273909</v>
      </c>
      <c r="Y15" s="29">
        <f t="shared" si="2"/>
        <v>405966.81255257915</v>
      </c>
      <c r="Z15" s="29">
        <f t="shared" si="2"/>
        <v>441184.43354151532</v>
      </c>
      <c r="AA15" s="29">
        <f t="shared" si="2"/>
        <v>479457.18315124168</v>
      </c>
      <c r="AB15" s="29">
        <f t="shared" si="2"/>
        <v>479457.18315124168</v>
      </c>
      <c r="AC15" s="29">
        <f t="shared" si="2"/>
        <v>479457.18315124168</v>
      </c>
    </row>
    <row r="16" spans="1:29" outlineLevel="1">
      <c r="B16" t="str">
        <f>'Balance Sheet'!C17</f>
        <v>Despesas de comercialização diferidas</v>
      </c>
      <c r="D16" s="132">
        <f>'Balance Sheet'!E22</f>
        <v>0</v>
      </c>
      <c r="E16" s="132">
        <f>'Balance Sheet'!F21</f>
        <v>0</v>
      </c>
      <c r="F16" s="132">
        <f>'Balance Sheet'!G21</f>
        <v>0</v>
      </c>
      <c r="G16" s="132">
        <f>'Balance Sheet'!H17</f>
        <v>9839</v>
      </c>
      <c r="H16" s="132">
        <f>'Balance Sheet'!I17</f>
        <v>9480</v>
      </c>
      <c r="I16" s="29">
        <f>I40/360*I31</f>
        <v>10194.978063137998</v>
      </c>
      <c r="J16" s="29">
        <f t="shared" ref="J16:AC16" si="3">J40/360*J31</f>
        <v>11136.521085276778</v>
      </c>
      <c r="K16" s="29">
        <f t="shared" si="3"/>
        <v>11975.051690403414</v>
      </c>
      <c r="L16" s="29">
        <f t="shared" si="3"/>
        <v>12896.491508864367</v>
      </c>
      <c r="M16" s="29">
        <f t="shared" si="3"/>
        <v>13920.358546993748</v>
      </c>
      <c r="N16" s="29">
        <f t="shared" si="3"/>
        <v>15019.562629908787</v>
      </c>
      <c r="O16" s="29">
        <f t="shared" si="3"/>
        <v>16216.324058914244</v>
      </c>
      <c r="P16" s="29">
        <f t="shared" si="3"/>
        <v>17509.207557483009</v>
      </c>
      <c r="Q16" s="29">
        <f t="shared" si="3"/>
        <v>18894.467023252731</v>
      </c>
      <c r="R16" s="29">
        <f t="shared" si="3"/>
        <v>20381.385128828231</v>
      </c>
      <c r="S16" s="29">
        <f t="shared" si="3"/>
        <v>21991.217086547964</v>
      </c>
      <c r="T16" s="29">
        <f t="shared" si="3"/>
        <v>23898.955168805998</v>
      </c>
      <c r="U16" s="29">
        <f t="shared" si="3"/>
        <v>25972.189529699914</v>
      </c>
      <c r="V16" s="29">
        <f t="shared" si="3"/>
        <v>28225.276971401381</v>
      </c>
      <c r="W16" s="29">
        <f t="shared" si="3"/>
        <v>30673.819748670448</v>
      </c>
      <c r="X16" s="29">
        <f t="shared" si="3"/>
        <v>33334.773611867604</v>
      </c>
      <c r="Y16" s="29">
        <f t="shared" si="3"/>
        <v>36226.565222697114</v>
      </c>
      <c r="Z16" s="29">
        <f t="shared" si="3"/>
        <v>39369.219755766084</v>
      </c>
      <c r="AA16" s="29">
        <f t="shared" si="3"/>
        <v>42784.499569578787</v>
      </c>
      <c r="AB16" s="29">
        <f t="shared" si="3"/>
        <v>42784.499569578787</v>
      </c>
      <c r="AC16" s="29">
        <f t="shared" si="3"/>
        <v>42784.499569578787</v>
      </c>
    </row>
    <row r="17" spans="2:29" outlineLevel="1">
      <c r="B17" t="str">
        <f>'Balance Sheet'!C18</f>
        <v>Títulos e créditos a receber</v>
      </c>
      <c r="D17" s="132">
        <v>0</v>
      </c>
      <c r="E17" s="132">
        <v>0</v>
      </c>
      <c r="F17" s="132">
        <v>0</v>
      </c>
      <c r="G17" s="132">
        <f>'Balance Sheet'!H18</f>
        <v>45149</v>
      </c>
      <c r="H17" s="132">
        <f>'Balance Sheet'!I18</f>
        <v>52275</v>
      </c>
      <c r="I17" s="29">
        <f>I41/360*I31</f>
        <v>56217.560996892273</v>
      </c>
      <c r="J17" s="29">
        <f t="shared" ref="J17:Y17" si="4">J41/360*J31</f>
        <v>61409.455668021466</v>
      </c>
      <c r="K17" s="29">
        <f t="shared" si="4"/>
        <v>66033.315096607432</v>
      </c>
      <c r="L17" s="29">
        <f t="shared" si="4"/>
        <v>71114.355867709353</v>
      </c>
      <c r="M17" s="29">
        <f t="shared" si="4"/>
        <v>76760.204962457618</v>
      </c>
      <c r="N17" s="29">
        <f t="shared" si="4"/>
        <v>82821.480641190064</v>
      </c>
      <c r="O17" s="29">
        <f t="shared" si="4"/>
        <v>89420.710989424275</v>
      </c>
      <c r="P17" s="29">
        <f t="shared" si="4"/>
        <v>96549.981547196658</v>
      </c>
      <c r="Q17" s="29">
        <f t="shared" si="4"/>
        <v>104188.63540511987</v>
      </c>
      <c r="R17" s="29">
        <f t="shared" si="4"/>
        <v>112387.85945247846</v>
      </c>
      <c r="S17" s="29">
        <f t="shared" si="4"/>
        <v>121264.86004211969</v>
      </c>
      <c r="T17" s="29">
        <f t="shared" si="4"/>
        <v>131784.58665077356</v>
      </c>
      <c r="U17" s="29">
        <f t="shared" si="4"/>
        <v>143216.89954272815</v>
      </c>
      <c r="V17" s="29">
        <f t="shared" si="4"/>
        <v>155640.96557805981</v>
      </c>
      <c r="W17" s="29">
        <f t="shared" si="4"/>
        <v>169142.81934195649</v>
      </c>
      <c r="X17" s="29">
        <f t="shared" si="4"/>
        <v>183815.95891987119</v>
      </c>
      <c r="Y17" s="29">
        <f t="shared" si="4"/>
        <v>199761.99335616999</v>
      </c>
      <c r="Z17" s="29">
        <f t="shared" ref="Z17:AC17" si="5">Z41/360*Z31</f>
        <v>217091.34627981772</v>
      </c>
      <c r="AA17" s="29">
        <f t="shared" si="5"/>
        <v>235924.02056959187</v>
      </c>
      <c r="AB17" s="29">
        <f t="shared" si="5"/>
        <v>235924.02056959187</v>
      </c>
      <c r="AC17" s="29">
        <f t="shared" si="5"/>
        <v>235924.02056959187</v>
      </c>
    </row>
    <row r="18" spans="2:29" outlineLevel="1">
      <c r="B18" t="str">
        <f>'Balance Sheet'!C19</f>
        <v>Outros valores e bens</v>
      </c>
      <c r="D18" s="132"/>
      <c r="E18" s="132"/>
      <c r="F18" s="132"/>
      <c r="G18" s="132">
        <f>'Balance Sheet'!H19</f>
        <v>12056</v>
      </c>
      <c r="H18" s="132">
        <f>'Balance Sheet'!I19</f>
        <v>32674</v>
      </c>
      <c r="I18" s="29">
        <f>I42/360*I31</f>
        <v>35138.260889764861</v>
      </c>
      <c r="J18" s="29">
        <f t="shared" ref="J18:O18" si="6">J42/360*J31</f>
        <v>38383.406111849516</v>
      </c>
      <c r="K18" s="29">
        <f t="shared" si="6"/>
        <v>41273.506216481132</v>
      </c>
      <c r="L18" s="29">
        <f t="shared" si="6"/>
        <v>44449.36324479265</v>
      </c>
      <c r="M18" s="29">
        <f t="shared" si="6"/>
        <v>47978.248435071066</v>
      </c>
      <c r="N18" s="29">
        <f t="shared" si="6"/>
        <v>51766.792127599125</v>
      </c>
      <c r="O18" s="29">
        <f t="shared" si="6"/>
        <v>55891.579356641771</v>
      </c>
      <c r="P18" s="29">
        <f>P42/360*P31</f>
        <v>60347.66326299576</v>
      </c>
      <c r="Q18" s="29">
        <f t="shared" ref="Q18:AC18" si="7">Q42/360*Q31</f>
        <v>65122.132438582252</v>
      </c>
      <c r="R18" s="29">
        <f t="shared" si="7"/>
        <v>70246.980769971895</v>
      </c>
      <c r="S18" s="29">
        <f t="shared" si="7"/>
        <v>75795.466992180183</v>
      </c>
      <c r="T18" s="29">
        <f t="shared" si="7"/>
        <v>82370.723753751809</v>
      </c>
      <c r="U18" s="29">
        <f t="shared" si="7"/>
        <v>89516.38403938977</v>
      </c>
      <c r="V18" s="29">
        <f t="shared" si="7"/>
        <v>97281.930354806813</v>
      </c>
      <c r="W18" s="29">
        <f t="shared" si="7"/>
        <v>105721.1378130863</v>
      </c>
      <c r="X18" s="29">
        <f t="shared" si="7"/>
        <v>114892.44651837152</v>
      </c>
      <c r="Y18" s="29">
        <f t="shared" si="7"/>
        <v>124859.36625384024</v>
      </c>
      <c r="Z18" s="29">
        <f t="shared" si="7"/>
        <v>135690.91627636086</v>
      </c>
      <c r="AA18" s="29">
        <f t="shared" si="7"/>
        <v>147462.10326333516</v>
      </c>
      <c r="AB18" s="29">
        <f t="shared" si="7"/>
        <v>147462.10326333516</v>
      </c>
      <c r="AC18" s="29">
        <f t="shared" si="7"/>
        <v>147462.10326333516</v>
      </c>
    </row>
    <row r="19" spans="2:29" ht="6" customHeight="1" outlineLevel="1">
      <c r="D19" s="72"/>
      <c r="E19" s="72"/>
      <c r="F19" s="72"/>
      <c r="G19" s="72"/>
      <c r="H19" s="72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spans="2:29" outlineLevel="1">
      <c r="B20" s="4" t="s">
        <v>236</v>
      </c>
      <c r="D20" s="72"/>
      <c r="E20" s="72"/>
      <c r="F20" s="72"/>
      <c r="G20" s="72"/>
      <c r="H20" s="7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spans="2:29" outlineLevel="1">
      <c r="B21" t="str">
        <f>'Balance Sheet'!C47</f>
        <v>Débitos de operações de assit. à saúde</v>
      </c>
      <c r="D21" s="132">
        <f>'Balance Sheet'!E47</f>
        <v>0</v>
      </c>
      <c r="E21" s="132">
        <f>'Balance Sheet'!F47</f>
        <v>0</v>
      </c>
      <c r="F21" s="132">
        <f>'Balance Sheet'!G47</f>
        <v>0</v>
      </c>
      <c r="G21" s="132">
        <f>'Balance Sheet'!H47</f>
        <v>4653</v>
      </c>
      <c r="H21" s="132">
        <f>'Balance Sheet'!I47</f>
        <v>4911</v>
      </c>
      <c r="I21" s="29">
        <f>I46/360*I31</f>
        <v>5281.3857877711716</v>
      </c>
      <c r="J21" s="29">
        <f t="shared" ref="J21:AA21" si="8">J46/360*J31</f>
        <v>5769.1408280373689</v>
      </c>
      <c r="K21" s="29">
        <f t="shared" si="8"/>
        <v>6203.5315244273388</v>
      </c>
      <c r="L21" s="29">
        <f t="shared" si="8"/>
        <v>6680.8723417756237</v>
      </c>
      <c r="M21" s="29">
        <f t="shared" si="8"/>
        <v>7211.2743485534083</v>
      </c>
      <c r="N21" s="29">
        <f t="shared" si="8"/>
        <v>7780.7038054305967</v>
      </c>
      <c r="O21" s="29">
        <f t="shared" si="8"/>
        <v>8400.6716722919682</v>
      </c>
      <c r="P21" s="29">
        <f t="shared" si="8"/>
        <v>9070.4344213923068</v>
      </c>
      <c r="Q21" s="29">
        <f t="shared" si="8"/>
        <v>9788.051429450863</v>
      </c>
      <c r="R21" s="29">
        <f t="shared" si="8"/>
        <v>10558.331473383487</v>
      </c>
      <c r="S21" s="29">
        <f t="shared" si="8"/>
        <v>11392.285560341463</v>
      </c>
      <c r="T21" s="29">
        <f t="shared" si="8"/>
        <v>12380.566332701083</v>
      </c>
      <c r="U21" s="29">
        <f t="shared" si="8"/>
        <v>13454.580462062901</v>
      </c>
      <c r="V21" s="29">
        <f t="shared" si="8"/>
        <v>14621.765317146856</v>
      </c>
      <c r="W21" s="29">
        <f t="shared" si="8"/>
        <v>15890.203458409345</v>
      </c>
      <c r="X21" s="29">
        <f t="shared" si="8"/>
        <v>17268.678608426351</v>
      </c>
      <c r="Y21" s="29">
        <f t="shared" si="8"/>
        <v>18766.736477707338</v>
      </c>
      <c r="Z21" s="29">
        <f t="shared" si="8"/>
        <v>20394.750867148447</v>
      </c>
      <c r="AA21" s="29">
        <f t="shared" si="8"/>
        <v>22163.995504873568</v>
      </c>
      <c r="AB21" s="29">
        <f t="shared" ref="AB21:AC21" si="9">AB46/360*AB31</f>
        <v>22163.995504873568</v>
      </c>
      <c r="AC21" s="29">
        <f t="shared" si="9"/>
        <v>22163.995504873568</v>
      </c>
    </row>
    <row r="22" spans="2:29" outlineLevel="1">
      <c r="B22" t="str">
        <f>'Balance Sheet'!C48</f>
        <v>Débitos de oper. assist. à saúde não rel. c/plano de saúde da op.</v>
      </c>
      <c r="D22" s="132">
        <f>'Balance Sheet'!E48</f>
        <v>0</v>
      </c>
      <c r="E22" s="132">
        <f>'Balance Sheet'!F48</f>
        <v>0</v>
      </c>
      <c r="F22" s="132">
        <f>'Balance Sheet'!G48</f>
        <v>0</v>
      </c>
      <c r="G22" s="132">
        <f>'Balance Sheet'!H48</f>
        <v>29653</v>
      </c>
      <c r="H22" s="132">
        <f>'Balance Sheet'!I48</f>
        <v>39339</v>
      </c>
      <c r="I22" s="29">
        <f>I47/360*I31</f>
        <v>42305.932703141945</v>
      </c>
      <c r="J22" s="29">
        <f t="shared" ref="J22:AB22" si="10">J47/360*J31</f>
        <v>46213.038288365307</v>
      </c>
      <c r="K22" s="29">
        <f t="shared" si="10"/>
        <v>49692.67494185442</v>
      </c>
      <c r="L22" s="29">
        <f t="shared" si="10"/>
        <v>53516.358593588113</v>
      </c>
      <c r="M22" s="29">
        <f t="shared" si="10"/>
        <v>57765.082793268681</v>
      </c>
      <c r="N22" s="29">
        <f t="shared" si="10"/>
        <v>62326.431887972758</v>
      </c>
      <c r="O22" s="29">
        <f t="shared" si="10"/>
        <v>67292.613096374203</v>
      </c>
      <c r="P22" s="29">
        <f t="shared" si="10"/>
        <v>72657.670475086925</v>
      </c>
      <c r="Q22" s="29">
        <f t="shared" si="10"/>
        <v>78406.058884782615</v>
      </c>
      <c r="R22" s="29">
        <f t="shared" si="10"/>
        <v>84576.298479216639</v>
      </c>
      <c r="S22" s="29">
        <f t="shared" si="10"/>
        <v>91256.59166326058</v>
      </c>
      <c r="T22" s="29">
        <f t="shared" si="10"/>
        <v>99173.100990048435</v>
      </c>
      <c r="U22" s="29">
        <f t="shared" si="10"/>
        <v>107776.36750093511</v>
      </c>
      <c r="V22" s="29">
        <f t="shared" si="10"/>
        <v>117125.96738164123</v>
      </c>
      <c r="W22" s="29">
        <f t="shared" si="10"/>
        <v>127286.6450519986</v>
      </c>
      <c r="X22" s="29">
        <f t="shared" si="10"/>
        <v>138328.76151025944</v>
      </c>
      <c r="Y22" s="29">
        <f t="shared" si="10"/>
        <v>150328.78157127445</v>
      </c>
      <c r="Z22" s="29">
        <f t="shared" si="10"/>
        <v>163369.80337258248</v>
      </c>
      <c r="AA22" s="29">
        <f t="shared" si="10"/>
        <v>177542.133815154</v>
      </c>
      <c r="AB22" s="29">
        <f t="shared" si="10"/>
        <v>177542.133815154</v>
      </c>
      <c r="AC22" s="29">
        <f t="shared" ref="AC22" si="11">AC47/360*AC31</f>
        <v>177542.133815154</v>
      </c>
    </row>
    <row r="23" spans="2:29" outlineLevel="1">
      <c r="B23" t="str">
        <f>'Balance Sheet'!C49</f>
        <v>Taxes</v>
      </c>
      <c r="D23" s="132">
        <f>'Balance Sheet'!E49</f>
        <v>0</v>
      </c>
      <c r="E23" s="132">
        <f>'Balance Sheet'!F49</f>
        <v>0</v>
      </c>
      <c r="F23" s="132">
        <f>'Balance Sheet'!G49</f>
        <v>0</v>
      </c>
      <c r="G23" s="132">
        <f>'Balance Sheet'!H49</f>
        <v>25896</v>
      </c>
      <c r="H23" s="132">
        <f>'Balance Sheet'!I49</f>
        <v>32706</v>
      </c>
      <c r="I23" s="29">
        <f t="shared" ref="I23:P23" si="12">I48/360*I31</f>
        <v>35172.674317826088</v>
      </c>
      <c r="J23" s="29">
        <f t="shared" si="12"/>
        <v>38420.997744204877</v>
      </c>
      <c r="K23" s="29">
        <f t="shared" si="12"/>
        <v>41313.928331891781</v>
      </c>
      <c r="L23" s="29">
        <f t="shared" si="12"/>
        <v>44492.895705582065</v>
      </c>
      <c r="M23" s="29">
        <f t="shared" si="12"/>
        <v>48025.236987128432</v>
      </c>
      <c r="N23" s="29">
        <f t="shared" si="12"/>
        <v>51817.491073185316</v>
      </c>
      <c r="O23" s="29">
        <f t="shared" si="12"/>
        <v>55946.318003254142</v>
      </c>
      <c r="P23" s="29">
        <f t="shared" si="12"/>
        <v>60406.766073316379</v>
      </c>
      <c r="Q23" s="29">
        <f t="shared" ref="Q23:AC23" si="13">Q48/360*Q31</f>
        <v>65185.911230221922</v>
      </c>
      <c r="R23" s="29">
        <f t="shared" si="13"/>
        <v>70315.778694457404</v>
      </c>
      <c r="S23" s="29">
        <f t="shared" si="13"/>
        <v>75869.698948590478</v>
      </c>
      <c r="T23" s="29">
        <f t="shared" si="13"/>
        <v>82451.395332380693</v>
      </c>
      <c r="U23" s="29">
        <f t="shared" si="13"/>
        <v>89604.053877464699</v>
      </c>
      <c r="V23" s="29">
        <f t="shared" si="13"/>
        <v>97377.205551334759</v>
      </c>
      <c r="W23" s="29">
        <f t="shared" si="13"/>
        <v>105824.67813291305</v>
      </c>
      <c r="X23" s="29">
        <f t="shared" si="13"/>
        <v>115004.96896094322</v>
      </c>
      <c r="Y23" s="29">
        <f t="shared" si="13"/>
        <v>124981.65001830505</v>
      </c>
      <c r="Z23" s="29">
        <f t="shared" si="13"/>
        <v>135823.80815739298</v>
      </c>
      <c r="AA23" s="29">
        <f t="shared" si="13"/>
        <v>147606.52351504681</v>
      </c>
      <c r="AB23" s="29">
        <f t="shared" si="13"/>
        <v>147606.52351504681</v>
      </c>
      <c r="AC23" s="29">
        <f t="shared" si="13"/>
        <v>147606.52351504681</v>
      </c>
    </row>
    <row r="24" spans="2:29" outlineLevel="1">
      <c r="B24" t="str">
        <f>'Balance Sheet'!C52</f>
        <v>Provisões técnicas de operações de assist. à saúde</v>
      </c>
      <c r="D24" s="132">
        <f>'Balance Sheet'!E51</f>
        <v>0</v>
      </c>
      <c r="E24" s="132">
        <f>'Balance Sheet'!F51</f>
        <v>0</v>
      </c>
      <c r="F24" s="132">
        <f>'Balance Sheet'!G51</f>
        <v>0</v>
      </c>
      <c r="G24" s="132">
        <f>'Balance Sheet'!H52</f>
        <v>171826</v>
      </c>
      <c r="H24" s="132">
        <f>'Balance Sheet'!I52</f>
        <v>217876</v>
      </c>
      <c r="I24" s="29">
        <f>I49/360*I31</f>
        <v>234308.12663336014</v>
      </c>
      <c r="J24" s="29">
        <f t="shared" ref="J24:AC24" si="14">J49/360*J31</f>
        <v>255947.32784554458</v>
      </c>
      <c r="K24" s="29">
        <f t="shared" si="14"/>
        <v>275219.02553779894</v>
      </c>
      <c r="L24" s="29">
        <f t="shared" si="14"/>
        <v>296396.20084233466</v>
      </c>
      <c r="M24" s="29">
        <f t="shared" si="14"/>
        <v>319927.43025156221</v>
      </c>
      <c r="N24" s="29">
        <f t="shared" si="14"/>
        <v>345190.10839177284</v>
      </c>
      <c r="O24" s="29">
        <f t="shared" si="14"/>
        <v>372694.91779113916</v>
      </c>
      <c r="P24" s="29">
        <f t="shared" si="14"/>
        <v>402408.87191921601</v>
      </c>
      <c r="Q24" s="29">
        <f t="shared" si="14"/>
        <v>434245.87522765948</v>
      </c>
      <c r="R24" s="29">
        <f t="shared" si="14"/>
        <v>468419.26860006113</v>
      </c>
      <c r="S24" s="29">
        <f t="shared" si="14"/>
        <v>505417.55421400035</v>
      </c>
      <c r="T24" s="29">
        <f t="shared" si="14"/>
        <v>549262.52704206482</v>
      </c>
      <c r="U24" s="29">
        <f t="shared" si="14"/>
        <v>596911.05126296391</v>
      </c>
      <c r="V24" s="29">
        <f t="shared" si="14"/>
        <v>648693.08496002597</v>
      </c>
      <c r="W24" s="29">
        <f t="shared" si="14"/>
        <v>704967.21008030814</v>
      </c>
      <c r="X24" s="29">
        <f t="shared" si="14"/>
        <v>766123.11555477476</v>
      </c>
      <c r="Y24" s="29">
        <f t="shared" si="14"/>
        <v>832584.29582915141</v>
      </c>
      <c r="Z24" s="29">
        <f t="shared" si="14"/>
        <v>904810.98349233018</v>
      </c>
      <c r="AA24" s="29">
        <f t="shared" si="14"/>
        <v>983303.33631028968</v>
      </c>
      <c r="AB24" s="29">
        <f t="shared" si="14"/>
        <v>983303.33631028968</v>
      </c>
      <c r="AC24" s="29">
        <f t="shared" si="14"/>
        <v>983303.33631028968</v>
      </c>
    </row>
    <row r="25" spans="2:29" outlineLevel="1">
      <c r="B25" t="str">
        <f>+'Balance Sheet'!C71</f>
        <v>Débitos diversos</v>
      </c>
      <c r="D25" s="33">
        <f>'Balance Sheet'!E65</f>
        <v>0</v>
      </c>
      <c r="E25" s="33">
        <f>'Balance Sheet'!F65</f>
        <v>0</v>
      </c>
      <c r="F25" s="33">
        <f>'Balance Sheet'!G65</f>
        <v>0</v>
      </c>
      <c r="G25" s="33">
        <f>'Balance Sheet'!H71</f>
        <v>305</v>
      </c>
      <c r="H25" s="33">
        <f>'Balance Sheet'!I71</f>
        <v>0</v>
      </c>
      <c r="I25" s="29">
        <f>I50/360*I31</f>
        <v>0</v>
      </c>
      <c r="J25" s="29">
        <f>J50/360*J31</f>
        <v>0</v>
      </c>
      <c r="K25" s="29">
        <f t="shared" ref="K25:AC25" si="15">K50/360*K31</f>
        <v>0</v>
      </c>
      <c r="L25" s="29">
        <f t="shared" si="15"/>
        <v>0</v>
      </c>
      <c r="M25" s="29">
        <f t="shared" si="15"/>
        <v>0</v>
      </c>
      <c r="N25" s="29">
        <f t="shared" si="15"/>
        <v>0</v>
      </c>
      <c r="O25" s="29">
        <f t="shared" si="15"/>
        <v>0</v>
      </c>
      <c r="P25" s="29">
        <f t="shared" si="15"/>
        <v>0</v>
      </c>
      <c r="Q25" s="29">
        <f t="shared" si="15"/>
        <v>0</v>
      </c>
      <c r="R25" s="29">
        <f t="shared" si="15"/>
        <v>0</v>
      </c>
      <c r="S25" s="29">
        <f t="shared" si="15"/>
        <v>0</v>
      </c>
      <c r="T25" s="29">
        <f t="shared" si="15"/>
        <v>0</v>
      </c>
      <c r="U25" s="29">
        <f t="shared" si="15"/>
        <v>0</v>
      </c>
      <c r="V25" s="29">
        <f t="shared" si="15"/>
        <v>0</v>
      </c>
      <c r="W25" s="29">
        <f t="shared" si="15"/>
        <v>0</v>
      </c>
      <c r="X25" s="29">
        <f t="shared" si="15"/>
        <v>0</v>
      </c>
      <c r="Y25" s="29">
        <f t="shared" si="15"/>
        <v>0</v>
      </c>
      <c r="Z25" s="29">
        <f t="shared" si="15"/>
        <v>0</v>
      </c>
      <c r="AA25" s="29">
        <f t="shared" si="15"/>
        <v>0</v>
      </c>
      <c r="AB25" s="29">
        <f t="shared" si="15"/>
        <v>0</v>
      </c>
      <c r="AC25" s="29">
        <f t="shared" si="15"/>
        <v>0</v>
      </c>
    </row>
    <row r="26" spans="2:29" outlineLevel="1">
      <c r="B26" s="483" t="str">
        <f>+'Balance Sheet'!C65</f>
        <v>Empréstimos de coligadas</v>
      </c>
      <c r="D26" s="33"/>
      <c r="E26" s="33"/>
      <c r="F26" s="33"/>
      <c r="G26" s="33">
        <f>+'Balance Sheet'!H65</f>
        <v>0</v>
      </c>
      <c r="H26" s="33">
        <f>+'Balance Sheet'!I65</f>
        <v>0</v>
      </c>
      <c r="I26" s="29">
        <f>I51/360*I31</f>
        <v>0</v>
      </c>
      <c r="J26" s="29">
        <f t="shared" ref="J26:AC26" si="16">J51/360*J31</f>
        <v>0</v>
      </c>
      <c r="K26" s="29">
        <f t="shared" si="16"/>
        <v>0</v>
      </c>
      <c r="L26" s="29">
        <f t="shared" si="16"/>
        <v>0</v>
      </c>
      <c r="M26" s="29">
        <f t="shared" si="16"/>
        <v>0</v>
      </c>
      <c r="N26" s="29">
        <f t="shared" si="16"/>
        <v>0</v>
      </c>
      <c r="O26" s="29">
        <f t="shared" si="16"/>
        <v>0</v>
      </c>
      <c r="P26" s="29">
        <f t="shared" si="16"/>
        <v>0</v>
      </c>
      <c r="Q26" s="29">
        <f t="shared" si="16"/>
        <v>0</v>
      </c>
      <c r="R26" s="29">
        <f t="shared" si="16"/>
        <v>0</v>
      </c>
      <c r="S26" s="29">
        <f t="shared" si="16"/>
        <v>0</v>
      </c>
      <c r="T26" s="29">
        <f t="shared" si="16"/>
        <v>0</v>
      </c>
      <c r="U26" s="29">
        <f t="shared" si="16"/>
        <v>0</v>
      </c>
      <c r="V26" s="29">
        <f t="shared" si="16"/>
        <v>0</v>
      </c>
      <c r="W26" s="29">
        <f t="shared" si="16"/>
        <v>0</v>
      </c>
      <c r="X26" s="29">
        <f t="shared" si="16"/>
        <v>0</v>
      </c>
      <c r="Y26" s="29">
        <f t="shared" si="16"/>
        <v>0</v>
      </c>
      <c r="Z26" s="29">
        <f t="shared" si="16"/>
        <v>0</v>
      </c>
      <c r="AA26" s="29">
        <f t="shared" si="16"/>
        <v>0</v>
      </c>
      <c r="AB26" s="29">
        <f t="shared" si="16"/>
        <v>0</v>
      </c>
      <c r="AC26" s="29">
        <f t="shared" si="16"/>
        <v>0</v>
      </c>
    </row>
    <row r="27" spans="2:29" outlineLevel="1">
      <c r="B27" s="483" t="str">
        <f>+'Balance Sheet'!C56</f>
        <v>Other Non-Op. Cur. Liabilities</v>
      </c>
      <c r="D27" s="33"/>
      <c r="E27" s="33"/>
      <c r="F27" s="33"/>
      <c r="G27" s="33"/>
      <c r="H27" s="33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spans="2:29" outlineLevel="1">
      <c r="D28" s="33"/>
      <c r="E28" s="33"/>
      <c r="F28" s="33"/>
      <c r="G28" s="33"/>
      <c r="H28" s="33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spans="2:29" outlineLevel="1">
      <c r="B29" s="28" t="s">
        <v>173</v>
      </c>
      <c r="C29" s="26"/>
      <c r="D29" s="66"/>
      <c r="E29" s="66"/>
      <c r="F29" s="66"/>
      <c r="G29" s="66"/>
      <c r="H29" s="6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2:29" outlineLevel="1">
      <c r="D30" s="33"/>
      <c r="E30" s="33"/>
      <c r="F30" s="33"/>
      <c r="G30" s="33"/>
      <c r="H30" s="33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spans="2:29" outlineLevel="1">
      <c r="B31" t="s">
        <v>125</v>
      </c>
      <c r="D31" s="33">
        <f>'Revenues, COGS &amp; SG&amp;A'!D34</f>
        <v>0</v>
      </c>
      <c r="E31" s="33">
        <f>'Revenues, COGS &amp; SG&amp;A'!E34</f>
        <v>0</v>
      </c>
      <c r="F31" s="33">
        <f>'Revenues, COGS &amp; SG&amp;A'!F34</f>
        <v>0</v>
      </c>
      <c r="G31" s="33">
        <f>'Revenues, COGS &amp; SG&amp;A'!G34</f>
        <v>2434971</v>
      </c>
      <c r="H31" s="33">
        <f>'Revenues, COGS &amp; SG&amp;A'!H34</f>
        <v>2853511</v>
      </c>
      <c r="I31" s="33">
        <f>'Revenues, COGS &amp; SG&amp;A'!I34</f>
        <v>3068721.7350129713</v>
      </c>
      <c r="J31" s="33">
        <f>'Revenues, COGS &amp; SG&amp;A'!J34</f>
        <v>3352129.263562154</v>
      </c>
      <c r="K31" s="33">
        <f>'Revenues, COGS &amp; SG&amp;A'!K34</f>
        <v>3604529.7177357315</v>
      </c>
      <c r="L31" s="33">
        <f>'Revenues, COGS &amp; SG&amp;A'!L34</f>
        <v>3881886.116239564</v>
      </c>
      <c r="M31" s="33">
        <f>'Revenues, COGS &amp; SG&amp;A'!M34</f>
        <v>4190073.4428049237</v>
      </c>
      <c r="N31" s="33">
        <f>'Revenues, COGS &amp; SG&amp;A'!N34</f>
        <v>4520937.4662060812</v>
      </c>
      <c r="O31" s="33">
        <f>'Revenues, COGS &amp; SG&amp;A'!O34</f>
        <v>4881166.569797093</v>
      </c>
      <c r="P31" s="33">
        <f>'Revenues, COGS &amp; SG&amp;A'!P34</f>
        <v>5270328.7306498839</v>
      </c>
      <c r="Q31" s="33">
        <f>'Revenues, COGS &amp; SG&amp;A'!Q34</f>
        <v>5687296.3597034728</v>
      </c>
      <c r="R31" s="33">
        <f>'Revenues, COGS &amp; SG&amp;A'!R34</f>
        <v>6134863.5717666429</v>
      </c>
      <c r="S31" s="33">
        <f>'Revenues, COGS &amp; SG&amp;A'!S34</f>
        <v>6619428.2552587092</v>
      </c>
      <c r="T31" s="33">
        <f>'Revenues, COGS &amp; SG&amp;A'!T34</f>
        <v>7193663.6564024016</v>
      </c>
      <c r="U31" s="33">
        <f>'Revenues, COGS &amp; SG&amp;A'!U34</f>
        <v>7817713.978595309</v>
      </c>
      <c r="V31" s="33">
        <f>'Revenues, COGS &amp; SG&amp;A'!V34</f>
        <v>8495900.6662384514</v>
      </c>
      <c r="W31" s="33">
        <f>'Revenues, COGS &amp; SG&amp;A'!W34</f>
        <v>9232920.0490346365</v>
      </c>
      <c r="X31" s="33">
        <f>'Revenues, COGS &amp; SG&amp;A'!X34</f>
        <v>10033875.86328839</v>
      </c>
      <c r="Y31" s="33">
        <f>'Revenues, COGS &amp; SG&amp;A'!Y34</f>
        <v>10904314.594428657</v>
      </c>
      <c r="Z31" s="33">
        <f>'Revenues, COGS &amp; SG&amp;A'!Z34</f>
        <v>11850263.88549534</v>
      </c>
      <c r="AA31" s="33">
        <f>'Revenues, COGS &amp; SG&amp;A'!AA34</f>
        <v>12878274.277562059</v>
      </c>
      <c r="AB31" s="33">
        <f>'Revenues, COGS &amp; SG&amp;A'!AB34</f>
        <v>12878274.277562059</v>
      </c>
      <c r="AC31" s="33">
        <f>'Revenues, COGS &amp; SG&amp;A'!AC34</f>
        <v>12878274.277562059</v>
      </c>
    </row>
    <row r="32" spans="2:29" outlineLevel="1">
      <c r="B32" t="s">
        <v>5</v>
      </c>
      <c r="D32" s="33">
        <f>'Revenues, COGS &amp; SG&amp;A'!D38</f>
        <v>0</v>
      </c>
      <c r="E32" s="33">
        <f>'Revenues, COGS &amp; SG&amp;A'!E38</f>
        <v>0</v>
      </c>
      <c r="F32" s="33">
        <f>'Revenues, COGS &amp; SG&amp;A'!F38</f>
        <v>0</v>
      </c>
      <c r="G32" s="33">
        <f>'Revenues, COGS &amp; SG&amp;A'!G38</f>
        <v>1897818</v>
      </c>
      <c r="H32" s="33">
        <f>'Revenues, COGS &amp; SG&amp;A'!H38</f>
        <v>2250776</v>
      </c>
      <c r="I32" s="33">
        <f>'Revenues, COGS &amp; SG&amp;A'!I38</f>
        <v>2425322.2757875966</v>
      </c>
      <c r="J32" s="33">
        <f>'Revenues, COGS &amp; SG&amp;A'!J38</f>
        <v>2652824.3857947863</v>
      </c>
      <c r="K32" s="33">
        <f>'Revenues, COGS &amp; SG&amp;A'!K38</f>
        <v>2825774.9285272355</v>
      </c>
      <c r="L32" s="33">
        <f>'Revenues, COGS &amp; SG&amp;A'!L38</f>
        <v>3061587.3703190088</v>
      </c>
      <c r="M32" s="33">
        <f>'Revenues, COGS &amp; SG&amp;A'!M38</f>
        <v>3356477.8982603401</v>
      </c>
      <c r="N32" s="33">
        <f>'Revenues, COGS &amp; SG&amp;A'!N38</f>
        <v>3628553.8504518666</v>
      </c>
      <c r="O32" s="33">
        <f>'Revenues, COGS &amp; SG&amp;A'!O38</f>
        <v>3924326.8517051614</v>
      </c>
      <c r="P32" s="33">
        <f>'Revenues, COGS &amp; SG&amp;A'!P38</f>
        <v>4140696.6150816083</v>
      </c>
      <c r="Q32" s="33">
        <f>'Revenues, COGS &amp; SG&amp;A'!Q38</f>
        <v>4520362.8807474999</v>
      </c>
      <c r="R32" s="33">
        <f>'Revenues, COGS &amp; SG&amp;A'!R38</f>
        <v>4848012.9360048929</v>
      </c>
      <c r="S32" s="33">
        <f>'Revenues, COGS &amp; SG&amp;A'!S38</f>
        <v>5246086.4291975768</v>
      </c>
      <c r="T32" s="33">
        <f>'Revenues, COGS &amp; SG&amp;A'!T38</f>
        <v>5692951.6282699732</v>
      </c>
      <c r="U32" s="33">
        <f>'Revenues, COGS &amp; SG&amp;A'!U38</f>
        <v>6191288.6789945373</v>
      </c>
      <c r="V32" s="33">
        <f>'Revenues, COGS &amp; SG&amp;A'!V38</f>
        <v>6725952.185480074</v>
      </c>
      <c r="W32" s="33">
        <f>'Revenues, COGS &amp; SG&amp;A'!W38</f>
        <v>7310749.3661399363</v>
      </c>
      <c r="X32" s="33">
        <f>'Revenues, COGS &amp; SG&amp;A'!X38</f>
        <v>7944239.1684286408</v>
      </c>
      <c r="Y32" s="33">
        <f>'Revenues, COGS &amp; SG&amp;A'!Y38</f>
        <v>8633791.8993658796</v>
      </c>
      <c r="Z32" s="33">
        <f>'Revenues, COGS &amp; SG&amp;A'!Z38</f>
        <v>9382561.4395819176</v>
      </c>
      <c r="AA32" s="33">
        <f>'Revenues, COGS &amp; SG&amp;A'!AA38</f>
        <v>10196613.789461087</v>
      </c>
      <c r="AB32" s="33">
        <f>'Revenues, COGS &amp; SG&amp;A'!AB38</f>
        <v>10196556.216963368</v>
      </c>
      <c r="AC32" s="33">
        <f>'Revenues, COGS &amp; SG&amp;A'!AC38</f>
        <v>10196585.003212228</v>
      </c>
    </row>
    <row r="33" spans="2:29" outlineLevel="1">
      <c r="B33" t="s">
        <v>4</v>
      </c>
      <c r="D33" s="33">
        <f>'Revenues, COGS &amp; SG&amp;A'!D48</f>
        <v>0</v>
      </c>
      <c r="E33" s="33">
        <f>'Revenues, COGS &amp; SG&amp;A'!E48</f>
        <v>0</v>
      </c>
      <c r="F33" s="33">
        <f>'Revenues, COGS &amp; SG&amp;A'!F48</f>
        <v>0</v>
      </c>
      <c r="G33" s="33">
        <f>'Revenues, COGS &amp; SG&amp;A'!G48</f>
        <v>492128</v>
      </c>
      <c r="H33" s="33">
        <f>'Revenues, COGS &amp; SG&amp;A'!H48</f>
        <v>535439</v>
      </c>
      <c r="I33" s="33">
        <f>'Revenues, COGS &amp; SG&amp;A'!I48</f>
        <v>575821.60961482557</v>
      </c>
      <c r="J33" s="33">
        <f>'Revenues, COGS &amp; SG&amp;A'!J48</f>
        <v>629000.81364762783</v>
      </c>
      <c r="K33" s="33">
        <f>'Revenues, COGS &amp; SG&amp;A'!K48</f>
        <v>676361.7829175014</v>
      </c>
      <c r="L33" s="33">
        <f>'Revenues, COGS &amp; SG&amp;A'!L48</f>
        <v>728405.53976949665</v>
      </c>
      <c r="M33" s="33">
        <f>'Revenues, COGS &amp; SG&amp;A'!M48</f>
        <v>786234.47890757234</v>
      </c>
      <c r="N33" s="33">
        <f>'Revenues, COGS &amp; SG&amp;A'!N48</f>
        <v>848318.52267887455</v>
      </c>
      <c r="O33" s="33">
        <f>'Revenues, COGS &amp; SG&amp;A'!O48</f>
        <v>915912.69385875354</v>
      </c>
      <c r="P33" s="33">
        <f>'Revenues, COGS &amp; SG&amp;A'!P48</f>
        <v>988935.92672691413</v>
      </c>
      <c r="Q33" s="33">
        <f>'Revenues, COGS &amp; SG&amp;A'!Q48</f>
        <v>1067176.6380235674</v>
      </c>
      <c r="R33" s="33">
        <f>'Revenues, COGS &amp; SG&amp;A'!R48</f>
        <v>1151159.121518424</v>
      </c>
      <c r="S33" s="33">
        <f>'Revenues, COGS &amp; SG&amp;A'!S48</f>
        <v>1242083.8908865142</v>
      </c>
      <c r="T33" s="33">
        <f>'Revenues, COGS &amp; SG&amp;A'!T48</f>
        <v>1349834.6684209192</v>
      </c>
      <c r="U33" s="33">
        <f>'Revenues, COGS &amp; SG&amp;A'!U48</f>
        <v>1466932.8259064339</v>
      </c>
      <c r="V33" s="33">
        <f ca="1">'Revenues, COGS &amp; SG&amp;A'!V48</f>
        <v>1470298.2161899216</v>
      </c>
      <c r="W33" s="33">
        <f ca="1">'Revenues, COGS &amp; SG&amp;A'!W48</f>
        <v>1606315.5127317323</v>
      </c>
      <c r="X33" s="33">
        <f ca="1">'Revenues, COGS &amp; SG&amp;A'!X48</f>
        <v>1756207.3340101712</v>
      </c>
      <c r="Y33" s="33">
        <f ca="1">'Revenues, COGS &amp; SG&amp;A'!Y48</f>
        <v>1918760.5891966606</v>
      </c>
      <c r="Z33" s="33">
        <f ca="1">'Revenues, COGS &amp; SG&amp;A'!Z48</f>
        <v>2095642.3722615791</v>
      </c>
      <c r="AA33" s="33">
        <f ca="1">'Revenues, COGS &amp; SG&amp;A'!AA48</f>
        <v>2289053.3210898777</v>
      </c>
      <c r="AB33" s="33">
        <f ca="1">'Revenues, COGS &amp; SG&amp;A'!AB48</f>
        <v>2290848.5126937083</v>
      </c>
      <c r="AC33" s="33">
        <f ca="1">'Revenues, COGS &amp; SG&amp;A'!AC48</f>
        <v>2290070.2026961725</v>
      </c>
    </row>
    <row r="34" spans="2:29" outlineLevel="1">
      <c r="D34" s="23"/>
      <c r="E34" s="23"/>
      <c r="F34" s="23"/>
      <c r="G34" s="23"/>
      <c r="H34" s="24"/>
    </row>
    <row r="35" spans="2:29">
      <c r="B35" s="28" t="s">
        <v>233</v>
      </c>
      <c r="C35" s="26"/>
      <c r="D35" s="141"/>
      <c r="E35" s="141"/>
      <c r="F35" s="141"/>
      <c r="G35" s="141"/>
      <c r="H35" s="227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2:29">
      <c r="D36" s="23"/>
      <c r="E36" s="23"/>
      <c r="F36" s="23"/>
      <c r="G36" s="23"/>
      <c r="H36" s="24"/>
    </row>
    <row r="37" spans="2:29">
      <c r="B37" t="str">
        <f>B13</f>
        <v>Aplicações de liquidez imediata e valores em trânsito</v>
      </c>
      <c r="D37" s="342">
        <f t="shared" ref="D37:F37" si="17">IF(D31&gt;0,D13/D31*360,)</f>
        <v>0</v>
      </c>
      <c r="E37" s="342">
        <f t="shared" si="17"/>
        <v>0</v>
      </c>
      <c r="F37" s="342">
        <f t="shared" si="17"/>
        <v>0</v>
      </c>
      <c r="G37" s="342">
        <f>IF(G31&gt;0,G13/G31*360,)</f>
        <v>0</v>
      </c>
      <c r="H37" s="342">
        <f>IF(H31&gt;0,H13/H31*360,)</f>
        <v>0</v>
      </c>
      <c r="I37" s="344">
        <f t="shared" ref="I37:AC37" si="18">CHOOSE($C$3,I56,I71,I86)</f>
        <v>0</v>
      </c>
      <c r="J37" s="344">
        <f t="shared" si="18"/>
        <v>0</v>
      </c>
      <c r="K37" s="344">
        <f t="shared" si="18"/>
        <v>0</v>
      </c>
      <c r="L37" s="344">
        <f t="shared" si="18"/>
        <v>0</v>
      </c>
      <c r="M37" s="344">
        <f t="shared" si="18"/>
        <v>0</v>
      </c>
      <c r="N37" s="344">
        <f t="shared" si="18"/>
        <v>0</v>
      </c>
      <c r="O37" s="344">
        <f t="shared" si="18"/>
        <v>0</v>
      </c>
      <c r="P37" s="344">
        <f t="shared" si="18"/>
        <v>0</v>
      </c>
      <c r="Q37" s="344">
        <f t="shared" si="18"/>
        <v>0</v>
      </c>
      <c r="R37" s="344">
        <f t="shared" si="18"/>
        <v>0</v>
      </c>
      <c r="S37" s="344">
        <f t="shared" si="18"/>
        <v>0</v>
      </c>
      <c r="T37" s="344">
        <f t="shared" si="18"/>
        <v>0</v>
      </c>
      <c r="U37" s="344">
        <f t="shared" si="18"/>
        <v>0</v>
      </c>
      <c r="V37" s="344">
        <f t="shared" si="18"/>
        <v>0</v>
      </c>
      <c r="W37" s="344">
        <f t="shared" si="18"/>
        <v>0</v>
      </c>
      <c r="X37" s="344">
        <f t="shared" si="18"/>
        <v>0</v>
      </c>
      <c r="Y37" s="344">
        <f t="shared" si="18"/>
        <v>0</v>
      </c>
      <c r="Z37" s="344">
        <f t="shared" si="18"/>
        <v>0</v>
      </c>
      <c r="AA37" s="344">
        <f t="shared" si="18"/>
        <v>0</v>
      </c>
      <c r="AB37" s="344">
        <f t="shared" si="18"/>
        <v>0</v>
      </c>
      <c r="AC37" s="344">
        <f t="shared" si="18"/>
        <v>0</v>
      </c>
    </row>
    <row r="38" spans="2:29">
      <c r="B38" t="str">
        <f t="shared" ref="B38:B41" si="19">B14</f>
        <v>Reserva Técnica</v>
      </c>
      <c r="D38" s="342">
        <f t="shared" ref="D38:F38" si="20">IF(D32&gt;0,D14/D32*360,)</f>
        <v>0</v>
      </c>
      <c r="E38" s="342">
        <f t="shared" si="20"/>
        <v>0</v>
      </c>
      <c r="F38" s="342">
        <f t="shared" si="20"/>
        <v>0</v>
      </c>
      <c r="G38" s="342">
        <f>IF($G$31&gt;0,G14/$G$31*360,)</f>
        <v>15.083514341649241</v>
      </c>
      <c r="H38" s="342">
        <f>IF(H31&gt;0,H14/H31*360,)</f>
        <v>21.737810017203365</v>
      </c>
      <c r="I38" s="344">
        <f t="shared" ref="I38:AC38" si="21">CHOOSE($C$3,I57,I72,I87)</f>
        <v>21.737810017203365</v>
      </c>
      <c r="J38" s="344">
        <f t="shared" si="21"/>
        <v>21.737810017203365</v>
      </c>
      <c r="K38" s="344">
        <f t="shared" si="21"/>
        <v>21.737810017203365</v>
      </c>
      <c r="L38" s="344">
        <f t="shared" si="21"/>
        <v>21.737810017203365</v>
      </c>
      <c r="M38" s="344">
        <f t="shared" si="21"/>
        <v>21.737810017203365</v>
      </c>
      <c r="N38" s="344">
        <f t="shared" si="21"/>
        <v>21.737810017203365</v>
      </c>
      <c r="O38" s="344">
        <f t="shared" si="21"/>
        <v>21.737810017203365</v>
      </c>
      <c r="P38" s="344">
        <f t="shared" si="21"/>
        <v>21.737810017203365</v>
      </c>
      <c r="Q38" s="344">
        <f t="shared" si="21"/>
        <v>21.737810017203365</v>
      </c>
      <c r="R38" s="344">
        <f t="shared" si="21"/>
        <v>21.737810017203365</v>
      </c>
      <c r="S38" s="344">
        <f t="shared" si="21"/>
        <v>21.737810017203365</v>
      </c>
      <c r="T38" s="344">
        <f t="shared" si="21"/>
        <v>21.737810017203365</v>
      </c>
      <c r="U38" s="344">
        <f t="shared" si="21"/>
        <v>21.737810017203365</v>
      </c>
      <c r="V38" s="344">
        <f t="shared" si="21"/>
        <v>21.737810017203365</v>
      </c>
      <c r="W38" s="344">
        <f t="shared" si="21"/>
        <v>21.737810017203365</v>
      </c>
      <c r="X38" s="344">
        <f t="shared" si="21"/>
        <v>21.737810017203365</v>
      </c>
      <c r="Y38" s="344">
        <f t="shared" si="21"/>
        <v>21.737810017203365</v>
      </c>
      <c r="Z38" s="344">
        <f t="shared" si="21"/>
        <v>21.737810017203365</v>
      </c>
      <c r="AA38" s="344">
        <f t="shared" si="21"/>
        <v>21.737810017203365</v>
      </c>
      <c r="AB38" s="344">
        <f t="shared" si="21"/>
        <v>21.737810017203365</v>
      </c>
      <c r="AC38" s="344">
        <f t="shared" si="21"/>
        <v>21.737810017203365</v>
      </c>
    </row>
    <row r="39" spans="2:29">
      <c r="B39" t="str">
        <f t="shared" si="19"/>
        <v>Créd. operações pl. de assist. à saúde</v>
      </c>
      <c r="D39" s="342">
        <f t="shared" ref="D39:F39" si="22">IF(D32&gt;0,D15/D32*360,)</f>
        <v>0</v>
      </c>
      <c r="E39" s="342">
        <f t="shared" si="22"/>
        <v>0</v>
      </c>
      <c r="F39" s="342">
        <f t="shared" si="22"/>
        <v>0</v>
      </c>
      <c r="G39" s="342">
        <f>IF(G31&gt;0,G15/G31*360,)</f>
        <v>12.847495925002802</v>
      </c>
      <c r="H39" s="342">
        <f>IF(H31&gt;0,H15/H31*360,)</f>
        <v>13.40277293481609</v>
      </c>
      <c r="I39" s="344">
        <f t="shared" ref="I39:AC39" si="23">CHOOSE($C$3,I58,I73,I88)</f>
        <v>13.40277293481609</v>
      </c>
      <c r="J39" s="344">
        <f t="shared" si="23"/>
        <v>13.40277293481609</v>
      </c>
      <c r="K39" s="344">
        <f t="shared" si="23"/>
        <v>13.40277293481609</v>
      </c>
      <c r="L39" s="344">
        <f t="shared" si="23"/>
        <v>13.40277293481609</v>
      </c>
      <c r="M39" s="344">
        <f t="shared" si="23"/>
        <v>13.40277293481609</v>
      </c>
      <c r="N39" s="344">
        <f t="shared" si="23"/>
        <v>13.40277293481609</v>
      </c>
      <c r="O39" s="344">
        <f t="shared" si="23"/>
        <v>13.40277293481609</v>
      </c>
      <c r="P39" s="344">
        <f t="shared" si="23"/>
        <v>13.40277293481609</v>
      </c>
      <c r="Q39" s="344">
        <f t="shared" si="23"/>
        <v>13.40277293481609</v>
      </c>
      <c r="R39" s="344">
        <f t="shared" si="23"/>
        <v>13.40277293481609</v>
      </c>
      <c r="S39" s="344">
        <f t="shared" si="23"/>
        <v>13.40277293481609</v>
      </c>
      <c r="T39" s="344">
        <f t="shared" si="23"/>
        <v>13.40277293481609</v>
      </c>
      <c r="U39" s="344">
        <f t="shared" si="23"/>
        <v>13.40277293481609</v>
      </c>
      <c r="V39" s="344">
        <f t="shared" si="23"/>
        <v>13.40277293481609</v>
      </c>
      <c r="W39" s="344">
        <f t="shared" si="23"/>
        <v>13.40277293481609</v>
      </c>
      <c r="X39" s="344">
        <f t="shared" si="23"/>
        <v>13.40277293481609</v>
      </c>
      <c r="Y39" s="344">
        <f t="shared" si="23"/>
        <v>13.40277293481609</v>
      </c>
      <c r="Z39" s="344">
        <f t="shared" si="23"/>
        <v>13.40277293481609</v>
      </c>
      <c r="AA39" s="344">
        <f t="shared" si="23"/>
        <v>13.40277293481609</v>
      </c>
      <c r="AB39" s="344">
        <f t="shared" si="23"/>
        <v>13.40277293481609</v>
      </c>
      <c r="AC39" s="344">
        <f t="shared" si="23"/>
        <v>13.40277293481609</v>
      </c>
    </row>
    <row r="40" spans="2:29">
      <c r="B40" t="str">
        <f t="shared" si="19"/>
        <v>Despesas de comercialização diferidas</v>
      </c>
      <c r="D40" s="342">
        <f t="shared" ref="D40:G40" si="24">IF(D31&gt;0,D16/D31*360,)</f>
        <v>0</v>
      </c>
      <c r="E40" s="342">
        <f t="shared" si="24"/>
        <v>0</v>
      </c>
      <c r="F40" s="342">
        <f t="shared" si="24"/>
        <v>0</v>
      </c>
      <c r="G40" s="342">
        <f t="shared" si="24"/>
        <v>1.4546538747278714</v>
      </c>
      <c r="H40" s="342">
        <f>IF(H31&gt;0,H16/H31*360,)</f>
        <v>1.1960002957759757</v>
      </c>
      <c r="I40" s="344">
        <f t="shared" ref="I40:AC40" si="25">CHOOSE($C$3,I59,I74,I89)</f>
        <v>1.1960002957759757</v>
      </c>
      <c r="J40" s="344">
        <f t="shared" si="25"/>
        <v>1.1960002957759757</v>
      </c>
      <c r="K40" s="344">
        <f t="shared" si="25"/>
        <v>1.1960002957759757</v>
      </c>
      <c r="L40" s="344">
        <f t="shared" si="25"/>
        <v>1.1960002957759757</v>
      </c>
      <c r="M40" s="344">
        <f t="shared" si="25"/>
        <v>1.1960002957759757</v>
      </c>
      <c r="N40" s="344">
        <f t="shared" si="25"/>
        <v>1.1960002957759757</v>
      </c>
      <c r="O40" s="344">
        <f t="shared" si="25"/>
        <v>1.1960002957759757</v>
      </c>
      <c r="P40" s="344">
        <f t="shared" si="25"/>
        <v>1.1960002957759757</v>
      </c>
      <c r="Q40" s="344">
        <f t="shared" si="25"/>
        <v>1.1960002957759757</v>
      </c>
      <c r="R40" s="344">
        <f t="shared" si="25"/>
        <v>1.1960002957759757</v>
      </c>
      <c r="S40" s="344">
        <f t="shared" si="25"/>
        <v>1.1960002957759757</v>
      </c>
      <c r="T40" s="344">
        <f t="shared" si="25"/>
        <v>1.1960002957759757</v>
      </c>
      <c r="U40" s="344">
        <f t="shared" si="25"/>
        <v>1.1960002957759757</v>
      </c>
      <c r="V40" s="344">
        <f t="shared" si="25"/>
        <v>1.1960002957759757</v>
      </c>
      <c r="W40" s="344">
        <f t="shared" si="25"/>
        <v>1.1960002957759757</v>
      </c>
      <c r="X40" s="344">
        <f t="shared" si="25"/>
        <v>1.1960002957759757</v>
      </c>
      <c r="Y40" s="344">
        <f t="shared" si="25"/>
        <v>1.1960002957759757</v>
      </c>
      <c r="Z40" s="344">
        <f t="shared" si="25"/>
        <v>1.1960002957759757</v>
      </c>
      <c r="AA40" s="344">
        <f t="shared" si="25"/>
        <v>1.1960002957759757</v>
      </c>
      <c r="AB40" s="344">
        <f t="shared" si="25"/>
        <v>1.1960002957759757</v>
      </c>
      <c r="AC40" s="344">
        <f t="shared" si="25"/>
        <v>1.1960002957759757</v>
      </c>
    </row>
    <row r="41" spans="2:29">
      <c r="B41" t="str">
        <f t="shared" si="19"/>
        <v>Títulos e créditos a receber</v>
      </c>
      <c r="D41" s="132"/>
      <c r="E41" s="132"/>
      <c r="F41" s="132"/>
      <c r="G41" s="342">
        <f>IF(G31&gt;0,G17/G31*360,)</f>
        <v>6.6750856581043472</v>
      </c>
      <c r="H41" s="342">
        <f>IF(H31&gt;0,H17/H31*360,)</f>
        <v>6.5950332765494855</v>
      </c>
      <c r="I41" s="344">
        <f t="shared" ref="I41:AC41" si="26">CHOOSE($C$3,I60,I75,I90)</f>
        <v>6.5950332765494855</v>
      </c>
      <c r="J41" s="344">
        <f t="shared" si="26"/>
        <v>6.5950332765494855</v>
      </c>
      <c r="K41" s="344">
        <f t="shared" si="26"/>
        <v>6.5950332765494855</v>
      </c>
      <c r="L41" s="344">
        <f t="shared" si="26"/>
        <v>6.5950332765494855</v>
      </c>
      <c r="M41" s="344">
        <f t="shared" si="26"/>
        <v>6.5950332765494855</v>
      </c>
      <c r="N41" s="344">
        <f t="shared" si="26"/>
        <v>6.5950332765494855</v>
      </c>
      <c r="O41" s="344">
        <f t="shared" si="26"/>
        <v>6.5950332765494855</v>
      </c>
      <c r="P41" s="344">
        <f t="shared" si="26"/>
        <v>6.5950332765494855</v>
      </c>
      <c r="Q41" s="344">
        <f t="shared" si="26"/>
        <v>6.5950332765494855</v>
      </c>
      <c r="R41" s="344">
        <f t="shared" si="26"/>
        <v>6.5950332765494855</v>
      </c>
      <c r="S41" s="344">
        <f t="shared" si="26"/>
        <v>6.5950332765494855</v>
      </c>
      <c r="T41" s="344">
        <f t="shared" si="26"/>
        <v>6.5950332765494855</v>
      </c>
      <c r="U41" s="344">
        <f t="shared" si="26"/>
        <v>6.5950332765494855</v>
      </c>
      <c r="V41" s="344">
        <f t="shared" si="26"/>
        <v>6.5950332765494855</v>
      </c>
      <c r="W41" s="344">
        <f t="shared" si="26"/>
        <v>6.5950332765494855</v>
      </c>
      <c r="X41" s="344">
        <f t="shared" si="26"/>
        <v>6.5950332765494855</v>
      </c>
      <c r="Y41" s="344">
        <f t="shared" si="26"/>
        <v>6.5950332765494855</v>
      </c>
      <c r="Z41" s="344">
        <f t="shared" si="26"/>
        <v>6.5950332765494855</v>
      </c>
      <c r="AA41" s="344">
        <f t="shared" si="26"/>
        <v>6.5950332765494855</v>
      </c>
      <c r="AB41" s="344">
        <f t="shared" si="26"/>
        <v>6.5950332765494855</v>
      </c>
      <c r="AC41" s="344">
        <f t="shared" si="26"/>
        <v>6.5950332765494855</v>
      </c>
    </row>
    <row r="42" spans="2:29">
      <c r="B42" t="str">
        <f>B18</f>
        <v>Outros valores e bens</v>
      </c>
      <c r="D42" s="132"/>
      <c r="E42" s="132"/>
      <c r="F42" s="132"/>
      <c r="G42" s="342">
        <f>IF(G31&gt;0,G18/G31*360,)</f>
        <v>1.7824277989347717</v>
      </c>
      <c r="H42" s="342">
        <f>IF(H31&gt;0,H18/H31*360,)</f>
        <v>4.1221638886270284</v>
      </c>
      <c r="I42" s="344">
        <f>CHOOSE($C$3,I61,I76,I91)</f>
        <v>4.1221638886270284</v>
      </c>
      <c r="J42" s="344">
        <f t="shared" ref="J42:AC42" si="27">CHOOSE($C$3,J61,J76,J91)</f>
        <v>4.1221638886270284</v>
      </c>
      <c r="K42" s="344">
        <f t="shared" si="27"/>
        <v>4.1221638886270284</v>
      </c>
      <c r="L42" s="344">
        <f t="shared" si="27"/>
        <v>4.1221638886270284</v>
      </c>
      <c r="M42" s="344">
        <f t="shared" si="27"/>
        <v>4.1221638886270284</v>
      </c>
      <c r="N42" s="344">
        <f t="shared" si="27"/>
        <v>4.1221638886270284</v>
      </c>
      <c r="O42" s="344">
        <f t="shared" si="27"/>
        <v>4.1221638886270284</v>
      </c>
      <c r="P42" s="344">
        <f t="shared" si="27"/>
        <v>4.1221638886270284</v>
      </c>
      <c r="Q42" s="344">
        <f t="shared" si="27"/>
        <v>4.1221638886270284</v>
      </c>
      <c r="R42" s="344">
        <f t="shared" si="27"/>
        <v>4.1221638886270284</v>
      </c>
      <c r="S42" s="344">
        <f t="shared" si="27"/>
        <v>4.1221638886270284</v>
      </c>
      <c r="T42" s="344">
        <f t="shared" si="27"/>
        <v>4.1221638886270284</v>
      </c>
      <c r="U42" s="344">
        <f t="shared" si="27"/>
        <v>4.1221638886270284</v>
      </c>
      <c r="V42" s="344">
        <f t="shared" si="27"/>
        <v>4.1221638886270284</v>
      </c>
      <c r="W42" s="344">
        <f t="shared" si="27"/>
        <v>4.1221638886270284</v>
      </c>
      <c r="X42" s="344">
        <f t="shared" si="27"/>
        <v>4.1221638886270284</v>
      </c>
      <c r="Y42" s="344">
        <f t="shared" si="27"/>
        <v>4.1221638886270284</v>
      </c>
      <c r="Z42" s="344">
        <f t="shared" si="27"/>
        <v>4.1221638886270284</v>
      </c>
      <c r="AA42" s="344">
        <f t="shared" si="27"/>
        <v>4.1221638886270284</v>
      </c>
      <c r="AB42" s="344">
        <f t="shared" si="27"/>
        <v>4.1221638886270284</v>
      </c>
      <c r="AC42" s="344">
        <f t="shared" si="27"/>
        <v>4.1221638886270284</v>
      </c>
    </row>
    <row r="43" spans="2:29">
      <c r="D43" s="72"/>
      <c r="E43" s="72"/>
      <c r="F43" s="72"/>
      <c r="G43" s="72"/>
      <c r="H43" s="73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</row>
    <row r="44" spans="2:29">
      <c r="B44" s="28" t="s">
        <v>234</v>
      </c>
      <c r="C44" s="26"/>
      <c r="D44" s="141"/>
      <c r="E44" s="141"/>
      <c r="F44" s="141"/>
      <c r="G44" s="141"/>
      <c r="H44" s="141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2:29">
      <c r="D45" s="72"/>
      <c r="E45" s="72"/>
      <c r="F45" s="72"/>
      <c r="G45" s="72"/>
      <c r="H45" s="73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</row>
    <row r="46" spans="2:29">
      <c r="B46" t="str">
        <f>B21</f>
        <v>Débitos de operações de assit. à saúde</v>
      </c>
      <c r="D46" s="342">
        <f t="shared" ref="D46:F46" si="28">IF(D32&gt;0,D21/D32*360,)</f>
        <v>0</v>
      </c>
      <c r="E46" s="342">
        <f t="shared" si="28"/>
        <v>0</v>
      </c>
      <c r="F46" s="342">
        <f t="shared" si="28"/>
        <v>0</v>
      </c>
      <c r="G46" s="342">
        <f>IF(G31&gt;0,G21/G31*360,)</f>
        <v>0.68792605743559165</v>
      </c>
      <c r="H46" s="342">
        <f>IF(H31&gt;0,H21/H31*360,)</f>
        <v>0.61957357094470644</v>
      </c>
      <c r="I46" s="344">
        <f t="shared" ref="I46:I52" si="29">CHOOSE($C$3,I62,I77,I92)</f>
        <v>0.61957357094470644</v>
      </c>
      <c r="J46" s="344">
        <f t="shared" ref="J46:AC46" si="30">CHOOSE($C$3,J62,J77,J92)</f>
        <v>0.61957357094470644</v>
      </c>
      <c r="K46" s="344">
        <f t="shared" si="30"/>
        <v>0.61957357094470644</v>
      </c>
      <c r="L46" s="344">
        <f t="shared" si="30"/>
        <v>0.61957357094470644</v>
      </c>
      <c r="M46" s="344">
        <f t="shared" si="30"/>
        <v>0.61957357094470644</v>
      </c>
      <c r="N46" s="344">
        <f t="shared" si="30"/>
        <v>0.61957357094470644</v>
      </c>
      <c r="O46" s="344">
        <f t="shared" si="30"/>
        <v>0.61957357094470644</v>
      </c>
      <c r="P46" s="344">
        <f t="shared" si="30"/>
        <v>0.61957357094470644</v>
      </c>
      <c r="Q46" s="344">
        <f t="shared" si="30"/>
        <v>0.61957357094470644</v>
      </c>
      <c r="R46" s="344">
        <f t="shared" si="30"/>
        <v>0.61957357094470644</v>
      </c>
      <c r="S46" s="344">
        <f t="shared" si="30"/>
        <v>0.61957357094470644</v>
      </c>
      <c r="T46" s="344">
        <f t="shared" si="30"/>
        <v>0.61957357094470644</v>
      </c>
      <c r="U46" s="344">
        <f t="shared" si="30"/>
        <v>0.61957357094470644</v>
      </c>
      <c r="V46" s="344">
        <f t="shared" si="30"/>
        <v>0.61957357094470644</v>
      </c>
      <c r="W46" s="344">
        <f t="shared" si="30"/>
        <v>0.61957357094470644</v>
      </c>
      <c r="X46" s="344">
        <f t="shared" si="30"/>
        <v>0.61957357094470644</v>
      </c>
      <c r="Y46" s="344">
        <f t="shared" si="30"/>
        <v>0.61957357094470644</v>
      </c>
      <c r="Z46" s="344">
        <f t="shared" si="30"/>
        <v>0.61957357094470644</v>
      </c>
      <c r="AA46" s="344">
        <f t="shared" si="30"/>
        <v>0.61957357094470644</v>
      </c>
      <c r="AB46" s="344">
        <f t="shared" si="30"/>
        <v>0.61957357094470644</v>
      </c>
      <c r="AC46" s="344">
        <f t="shared" si="30"/>
        <v>0.61957357094470644</v>
      </c>
    </row>
    <row r="47" spans="2:29">
      <c r="B47" t="str">
        <f t="shared" ref="B47:B49" si="31">B22</f>
        <v>Débitos de oper. assist. à saúde não rel. c/plano de saúde da op.</v>
      </c>
      <c r="D47" s="342">
        <f t="shared" ref="D47:F47" si="32">IF(D33&gt;0,D22/D33*360,)</f>
        <v>0</v>
      </c>
      <c r="E47" s="342">
        <f t="shared" si="32"/>
        <v>0</v>
      </c>
      <c r="F47" s="342">
        <f t="shared" si="32"/>
        <v>0</v>
      </c>
      <c r="G47" s="342">
        <f>IF(G31&gt;0,G22/G31*360,)</f>
        <v>4.3840686398318498</v>
      </c>
      <c r="H47" s="342">
        <f>IF(H31&gt;0,H22/H31*360,)</f>
        <v>4.9630227463640404</v>
      </c>
      <c r="I47" s="344">
        <f t="shared" si="29"/>
        <v>4.9630227463640404</v>
      </c>
      <c r="J47" s="344">
        <f t="shared" ref="J47:AC47" si="33">CHOOSE($C$3,J63,J78,J93)</f>
        <v>4.9630227463640404</v>
      </c>
      <c r="K47" s="344">
        <f t="shared" si="33"/>
        <v>4.9630227463640404</v>
      </c>
      <c r="L47" s="344">
        <f t="shared" si="33"/>
        <v>4.9630227463640404</v>
      </c>
      <c r="M47" s="344">
        <f t="shared" si="33"/>
        <v>4.9630227463640404</v>
      </c>
      <c r="N47" s="344">
        <f t="shared" si="33"/>
        <v>4.9630227463640404</v>
      </c>
      <c r="O47" s="344">
        <f t="shared" si="33"/>
        <v>4.9630227463640404</v>
      </c>
      <c r="P47" s="344">
        <f t="shared" si="33"/>
        <v>4.9630227463640404</v>
      </c>
      <c r="Q47" s="344">
        <f t="shared" si="33"/>
        <v>4.9630227463640404</v>
      </c>
      <c r="R47" s="344">
        <f t="shared" si="33"/>
        <v>4.9630227463640404</v>
      </c>
      <c r="S47" s="344">
        <f t="shared" si="33"/>
        <v>4.9630227463640404</v>
      </c>
      <c r="T47" s="344">
        <f t="shared" si="33"/>
        <v>4.9630227463640404</v>
      </c>
      <c r="U47" s="344">
        <f t="shared" si="33"/>
        <v>4.9630227463640404</v>
      </c>
      <c r="V47" s="344">
        <f t="shared" si="33"/>
        <v>4.9630227463640404</v>
      </c>
      <c r="W47" s="344">
        <f t="shared" si="33"/>
        <v>4.9630227463640404</v>
      </c>
      <c r="X47" s="344">
        <f t="shared" si="33"/>
        <v>4.9630227463640404</v>
      </c>
      <c r="Y47" s="344">
        <f t="shared" si="33"/>
        <v>4.9630227463640404</v>
      </c>
      <c r="Z47" s="344">
        <f t="shared" si="33"/>
        <v>4.9630227463640404</v>
      </c>
      <c r="AA47" s="344">
        <f t="shared" si="33"/>
        <v>4.9630227463640404</v>
      </c>
      <c r="AB47" s="344">
        <f t="shared" si="33"/>
        <v>4.9630227463640404</v>
      </c>
      <c r="AC47" s="344">
        <f t="shared" si="33"/>
        <v>4.9630227463640404</v>
      </c>
    </row>
    <row r="48" spans="2:29">
      <c r="B48" t="str">
        <f t="shared" si="31"/>
        <v>Taxes</v>
      </c>
      <c r="D48" s="342">
        <f t="shared" ref="D48:F48" si="34">IF(D31&gt;0,D23/D31*360,)</f>
        <v>0</v>
      </c>
      <c r="E48" s="342">
        <f t="shared" si="34"/>
        <v>0</v>
      </c>
      <c r="F48" s="342">
        <f t="shared" si="34"/>
        <v>0</v>
      </c>
      <c r="G48" s="342">
        <f>IF(G31&gt;0,G23/G31*360,)</f>
        <v>3.8286123325493406</v>
      </c>
      <c r="H48" s="342">
        <f>IF(H31&gt;0,H23/H31*360,)</f>
        <v>4.126201020427116</v>
      </c>
      <c r="I48" s="344">
        <f t="shared" si="29"/>
        <v>4.126201020427116</v>
      </c>
      <c r="J48" s="344">
        <f t="shared" ref="J48:AC48" si="35">CHOOSE($C$3,J64,J79,J94)</f>
        <v>4.126201020427116</v>
      </c>
      <c r="K48" s="344">
        <f t="shared" si="35"/>
        <v>4.126201020427116</v>
      </c>
      <c r="L48" s="344">
        <f t="shared" si="35"/>
        <v>4.126201020427116</v>
      </c>
      <c r="M48" s="344">
        <f t="shared" si="35"/>
        <v>4.126201020427116</v>
      </c>
      <c r="N48" s="344">
        <f t="shared" si="35"/>
        <v>4.126201020427116</v>
      </c>
      <c r="O48" s="344">
        <f t="shared" si="35"/>
        <v>4.126201020427116</v>
      </c>
      <c r="P48" s="344">
        <f t="shared" si="35"/>
        <v>4.126201020427116</v>
      </c>
      <c r="Q48" s="344">
        <f t="shared" si="35"/>
        <v>4.126201020427116</v>
      </c>
      <c r="R48" s="344">
        <f t="shared" si="35"/>
        <v>4.126201020427116</v>
      </c>
      <c r="S48" s="344">
        <f t="shared" si="35"/>
        <v>4.126201020427116</v>
      </c>
      <c r="T48" s="344">
        <f t="shared" si="35"/>
        <v>4.126201020427116</v>
      </c>
      <c r="U48" s="344">
        <f t="shared" si="35"/>
        <v>4.126201020427116</v>
      </c>
      <c r="V48" s="344">
        <f t="shared" si="35"/>
        <v>4.126201020427116</v>
      </c>
      <c r="W48" s="344">
        <f t="shared" si="35"/>
        <v>4.126201020427116</v>
      </c>
      <c r="X48" s="344">
        <f t="shared" si="35"/>
        <v>4.126201020427116</v>
      </c>
      <c r="Y48" s="344">
        <f t="shared" si="35"/>
        <v>4.126201020427116</v>
      </c>
      <c r="Z48" s="344">
        <f t="shared" si="35"/>
        <v>4.126201020427116</v>
      </c>
      <c r="AA48" s="344">
        <f t="shared" si="35"/>
        <v>4.126201020427116</v>
      </c>
      <c r="AB48" s="344">
        <f t="shared" si="35"/>
        <v>4.126201020427116</v>
      </c>
      <c r="AC48" s="344">
        <f t="shared" si="35"/>
        <v>4.126201020427116</v>
      </c>
    </row>
    <row r="49" spans="2:30">
      <c r="B49" t="str">
        <f t="shared" si="31"/>
        <v>Provisões técnicas de operações de assist. à saúde</v>
      </c>
      <c r="D49" s="342">
        <f t="shared" ref="D49:F49" si="36">IF(D31&gt;0,D24/D31*360,)</f>
        <v>0</v>
      </c>
      <c r="E49" s="342">
        <f t="shared" si="36"/>
        <v>0</v>
      </c>
      <c r="F49" s="342">
        <f t="shared" si="36"/>
        <v>0</v>
      </c>
      <c r="G49" s="342">
        <f>IF(G31&gt;0,G24/G31*360,)</f>
        <v>25.403735814512778</v>
      </c>
      <c r="H49" s="342">
        <f>IF(H31&gt;0,H24/H31*360,)</f>
        <v>27.487316502371989</v>
      </c>
      <c r="I49" s="344">
        <f t="shared" si="29"/>
        <v>27.487316502371989</v>
      </c>
      <c r="J49" s="344">
        <f t="shared" ref="J49:AC49" si="37">CHOOSE($C$3,J65,J80,J95)</f>
        <v>27.487316502371989</v>
      </c>
      <c r="K49" s="344">
        <f t="shared" si="37"/>
        <v>27.487316502371989</v>
      </c>
      <c r="L49" s="344">
        <f t="shared" si="37"/>
        <v>27.487316502371989</v>
      </c>
      <c r="M49" s="344">
        <f t="shared" si="37"/>
        <v>27.487316502371989</v>
      </c>
      <c r="N49" s="344">
        <f t="shared" si="37"/>
        <v>27.487316502371989</v>
      </c>
      <c r="O49" s="344">
        <f t="shared" si="37"/>
        <v>27.487316502371989</v>
      </c>
      <c r="P49" s="344">
        <f t="shared" si="37"/>
        <v>27.487316502371989</v>
      </c>
      <c r="Q49" s="344">
        <f t="shared" si="37"/>
        <v>27.487316502371989</v>
      </c>
      <c r="R49" s="344">
        <f t="shared" si="37"/>
        <v>27.487316502371989</v>
      </c>
      <c r="S49" s="344">
        <f t="shared" si="37"/>
        <v>27.487316502371989</v>
      </c>
      <c r="T49" s="344">
        <f t="shared" si="37"/>
        <v>27.487316502371989</v>
      </c>
      <c r="U49" s="344">
        <f t="shared" si="37"/>
        <v>27.487316502371989</v>
      </c>
      <c r="V49" s="344">
        <f t="shared" si="37"/>
        <v>27.487316502371989</v>
      </c>
      <c r="W49" s="344">
        <f t="shared" si="37"/>
        <v>27.487316502371989</v>
      </c>
      <c r="X49" s="344">
        <f t="shared" si="37"/>
        <v>27.487316502371989</v>
      </c>
      <c r="Y49" s="344">
        <f t="shared" si="37"/>
        <v>27.487316502371989</v>
      </c>
      <c r="Z49" s="344">
        <f t="shared" si="37"/>
        <v>27.487316502371989</v>
      </c>
      <c r="AA49" s="344">
        <f t="shared" si="37"/>
        <v>27.487316502371989</v>
      </c>
      <c r="AB49" s="344">
        <f t="shared" si="37"/>
        <v>27.487316502371989</v>
      </c>
      <c r="AC49" s="344">
        <f t="shared" si="37"/>
        <v>27.487316502371989</v>
      </c>
    </row>
    <row r="50" spans="2:30">
      <c r="B50" t="str">
        <f>B25</f>
        <v>Débitos diversos</v>
      </c>
      <c r="D50" s="342">
        <f t="shared" ref="D50:F50" si="38">IF(D33&gt;0,D25/D33*360,)</f>
        <v>0</v>
      </c>
      <c r="E50" s="342">
        <f t="shared" si="38"/>
        <v>0</v>
      </c>
      <c r="F50" s="342">
        <f t="shared" si="38"/>
        <v>0</v>
      </c>
      <c r="G50" s="342">
        <f>IF(G31&gt;0,G25/G31*360,)</f>
        <v>4.5092939505234353E-2</v>
      </c>
      <c r="H50" s="342">
        <f>IF(H31&gt;0,H25/H31*360,)</f>
        <v>0</v>
      </c>
      <c r="I50" s="344">
        <f t="shared" si="29"/>
        <v>0</v>
      </c>
      <c r="J50" s="344">
        <f t="shared" ref="J50:AC50" si="39">CHOOSE($C$3,J66,J81,J96)</f>
        <v>0</v>
      </c>
      <c r="K50" s="344">
        <f t="shared" si="39"/>
        <v>0</v>
      </c>
      <c r="L50" s="344">
        <f t="shared" si="39"/>
        <v>0</v>
      </c>
      <c r="M50" s="344">
        <f t="shared" si="39"/>
        <v>0</v>
      </c>
      <c r="N50" s="344">
        <f t="shared" si="39"/>
        <v>0</v>
      </c>
      <c r="O50" s="344">
        <f t="shared" si="39"/>
        <v>0</v>
      </c>
      <c r="P50" s="344">
        <f t="shared" si="39"/>
        <v>0</v>
      </c>
      <c r="Q50" s="344">
        <f t="shared" si="39"/>
        <v>0</v>
      </c>
      <c r="R50" s="344">
        <f t="shared" si="39"/>
        <v>0</v>
      </c>
      <c r="S50" s="344">
        <f t="shared" si="39"/>
        <v>0</v>
      </c>
      <c r="T50" s="344">
        <f t="shared" si="39"/>
        <v>0</v>
      </c>
      <c r="U50" s="344">
        <f t="shared" si="39"/>
        <v>0</v>
      </c>
      <c r="V50" s="344">
        <f t="shared" si="39"/>
        <v>0</v>
      </c>
      <c r="W50" s="344">
        <f t="shared" si="39"/>
        <v>0</v>
      </c>
      <c r="X50" s="344">
        <f t="shared" si="39"/>
        <v>0</v>
      </c>
      <c r="Y50" s="344">
        <f t="shared" si="39"/>
        <v>0</v>
      </c>
      <c r="Z50" s="344">
        <f t="shared" si="39"/>
        <v>0</v>
      </c>
      <c r="AA50" s="344">
        <f t="shared" si="39"/>
        <v>0</v>
      </c>
      <c r="AB50" s="344">
        <f t="shared" si="39"/>
        <v>0</v>
      </c>
      <c r="AC50" s="344">
        <f t="shared" si="39"/>
        <v>0</v>
      </c>
    </row>
    <row r="51" spans="2:30">
      <c r="B51" t="str">
        <f>+B26</f>
        <v>Empréstimos de coligadas</v>
      </c>
      <c r="D51" s="342"/>
      <c r="E51" s="342"/>
      <c r="F51" s="342"/>
      <c r="G51" s="342">
        <f>IF(G31&gt;0,G26/G31*360,)</f>
        <v>0</v>
      </c>
      <c r="H51" s="342">
        <f>IF(H31&gt;0,H26/H31*360,)</f>
        <v>0</v>
      </c>
      <c r="I51" s="344">
        <f t="shared" si="29"/>
        <v>0</v>
      </c>
      <c r="J51" s="344">
        <f t="shared" ref="J51:AD51" si="40">CHOOSE($C$3,J67,J82,J97)</f>
        <v>0</v>
      </c>
      <c r="K51" s="344">
        <f t="shared" si="40"/>
        <v>0</v>
      </c>
      <c r="L51" s="344">
        <f t="shared" si="40"/>
        <v>0</v>
      </c>
      <c r="M51" s="344">
        <f t="shared" si="40"/>
        <v>0</v>
      </c>
      <c r="N51" s="344">
        <f t="shared" si="40"/>
        <v>0</v>
      </c>
      <c r="O51" s="344">
        <f t="shared" si="40"/>
        <v>0</v>
      </c>
      <c r="P51" s="344">
        <f t="shared" si="40"/>
        <v>0</v>
      </c>
      <c r="Q51" s="344">
        <f t="shared" si="40"/>
        <v>0</v>
      </c>
      <c r="R51" s="344">
        <f t="shared" si="40"/>
        <v>0</v>
      </c>
      <c r="S51" s="344">
        <f t="shared" si="40"/>
        <v>0</v>
      </c>
      <c r="T51" s="344">
        <f t="shared" si="40"/>
        <v>0</v>
      </c>
      <c r="U51" s="344">
        <f t="shared" si="40"/>
        <v>0</v>
      </c>
      <c r="V51" s="344">
        <f t="shared" si="40"/>
        <v>0</v>
      </c>
      <c r="W51" s="344">
        <f t="shared" si="40"/>
        <v>0</v>
      </c>
      <c r="X51" s="344">
        <f t="shared" si="40"/>
        <v>0</v>
      </c>
      <c r="Y51" s="344">
        <f t="shared" si="40"/>
        <v>0</v>
      </c>
      <c r="Z51" s="344">
        <f t="shared" si="40"/>
        <v>0</v>
      </c>
      <c r="AA51" s="344">
        <f t="shared" si="40"/>
        <v>0</v>
      </c>
      <c r="AB51" s="344">
        <f t="shared" si="40"/>
        <v>0</v>
      </c>
      <c r="AC51" s="344">
        <f t="shared" si="40"/>
        <v>0</v>
      </c>
      <c r="AD51" s="344">
        <f t="shared" si="40"/>
        <v>0</v>
      </c>
    </row>
    <row r="52" spans="2:30">
      <c r="B52" t="str">
        <f>+B27</f>
        <v>Other Non-Op. Cur. Liabilities</v>
      </c>
      <c r="D52" s="342"/>
      <c r="E52" s="342"/>
      <c r="F52" s="342"/>
      <c r="G52" s="342">
        <f>IF(G31&gt;0,G27/G31*360,)</f>
        <v>0</v>
      </c>
      <c r="H52" s="342">
        <f>IF(H31&gt;0,H27/H31*360,)</f>
        <v>0</v>
      </c>
      <c r="I52" s="344">
        <f t="shared" si="29"/>
        <v>0</v>
      </c>
      <c r="J52" s="344">
        <f t="shared" ref="J52:Z52" si="41">CHOOSE($C$3,J68,J83,J98)</f>
        <v>0</v>
      </c>
      <c r="K52" s="344">
        <f t="shared" si="41"/>
        <v>0</v>
      </c>
      <c r="L52" s="344">
        <f t="shared" si="41"/>
        <v>0</v>
      </c>
      <c r="M52" s="344">
        <f t="shared" si="41"/>
        <v>0</v>
      </c>
      <c r="N52" s="344">
        <f t="shared" si="41"/>
        <v>0</v>
      </c>
      <c r="O52" s="344">
        <f t="shared" si="41"/>
        <v>0</v>
      </c>
      <c r="P52" s="344">
        <f t="shared" si="41"/>
        <v>0</v>
      </c>
      <c r="Q52" s="344">
        <f t="shared" si="41"/>
        <v>0</v>
      </c>
      <c r="R52" s="344">
        <f t="shared" si="41"/>
        <v>0</v>
      </c>
      <c r="S52" s="344">
        <f t="shared" si="41"/>
        <v>0</v>
      </c>
      <c r="T52" s="344">
        <f t="shared" si="41"/>
        <v>0</v>
      </c>
      <c r="U52" s="344">
        <f t="shared" si="41"/>
        <v>0</v>
      </c>
      <c r="V52" s="344">
        <f t="shared" si="41"/>
        <v>0</v>
      </c>
      <c r="W52" s="344">
        <f t="shared" si="41"/>
        <v>0</v>
      </c>
      <c r="X52" s="344">
        <f t="shared" si="41"/>
        <v>0</v>
      </c>
      <c r="Y52" s="344">
        <f t="shared" si="41"/>
        <v>0</v>
      </c>
      <c r="Z52" s="344">
        <f t="shared" si="41"/>
        <v>0</v>
      </c>
      <c r="AA52" s="344"/>
      <c r="AB52" s="344"/>
      <c r="AC52" s="344"/>
      <c r="AD52" s="344"/>
    </row>
    <row r="53" spans="2:30">
      <c r="D53" s="23"/>
      <c r="E53" s="23"/>
      <c r="F53" s="23"/>
      <c r="G53" s="23"/>
      <c r="H53" s="24"/>
    </row>
    <row r="54" spans="2:30">
      <c r="D54" s="23"/>
      <c r="E54" s="23"/>
      <c r="F54" s="23"/>
      <c r="G54" s="23"/>
      <c r="H54" s="24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</row>
    <row r="55" spans="2:30">
      <c r="B55" s="2" t="str">
        <f>B2</f>
        <v>Base Case</v>
      </c>
      <c r="D55" s="23"/>
      <c r="E55" s="23"/>
      <c r="G55" s="23"/>
      <c r="H55" s="24"/>
      <c r="J55" s="37"/>
    </row>
    <row r="56" spans="2:30">
      <c r="B56" t="str">
        <f t="shared" ref="B56:B61" si="42">B37</f>
        <v>Aplicações de liquidez imediata e valores em trânsito</v>
      </c>
      <c r="D56" s="23"/>
      <c r="E56" s="23"/>
      <c r="G56" s="23"/>
      <c r="H56" s="24"/>
      <c r="I56" s="343">
        <f>(H37)</f>
        <v>0</v>
      </c>
      <c r="J56" s="343">
        <f>I56</f>
        <v>0</v>
      </c>
      <c r="K56" s="343">
        <f t="shared" ref="K56:AC56" si="43">J56</f>
        <v>0</v>
      </c>
      <c r="L56" s="343">
        <f t="shared" si="43"/>
        <v>0</v>
      </c>
      <c r="M56" s="343">
        <f t="shared" si="43"/>
        <v>0</v>
      </c>
      <c r="N56" s="343">
        <f t="shared" si="43"/>
        <v>0</v>
      </c>
      <c r="O56" s="343">
        <f t="shared" si="43"/>
        <v>0</v>
      </c>
      <c r="P56" s="343">
        <f t="shared" si="43"/>
        <v>0</v>
      </c>
      <c r="Q56" s="343">
        <f t="shared" si="43"/>
        <v>0</v>
      </c>
      <c r="R56" s="343">
        <f t="shared" si="43"/>
        <v>0</v>
      </c>
      <c r="S56" s="343">
        <f t="shared" si="43"/>
        <v>0</v>
      </c>
      <c r="T56" s="343">
        <f t="shared" si="43"/>
        <v>0</v>
      </c>
      <c r="U56" s="343">
        <f t="shared" si="43"/>
        <v>0</v>
      </c>
      <c r="V56" s="343">
        <f t="shared" si="43"/>
        <v>0</v>
      </c>
      <c r="W56" s="343">
        <f t="shared" si="43"/>
        <v>0</v>
      </c>
      <c r="X56" s="343">
        <f t="shared" si="43"/>
        <v>0</v>
      </c>
      <c r="Y56" s="343">
        <f t="shared" si="43"/>
        <v>0</v>
      </c>
      <c r="Z56" s="343">
        <f t="shared" si="43"/>
        <v>0</v>
      </c>
      <c r="AA56" s="343">
        <f t="shared" si="43"/>
        <v>0</v>
      </c>
      <c r="AB56" s="343">
        <f t="shared" si="43"/>
        <v>0</v>
      </c>
      <c r="AC56" s="343">
        <f t="shared" si="43"/>
        <v>0</v>
      </c>
    </row>
    <row r="57" spans="2:30">
      <c r="B57" t="str">
        <f t="shared" si="42"/>
        <v>Reserva Técnica</v>
      </c>
      <c r="D57" s="23"/>
      <c r="E57" s="23"/>
      <c r="G57" s="23"/>
      <c r="H57" s="24"/>
      <c r="I57" s="343">
        <f>(H38)</f>
        <v>21.737810017203365</v>
      </c>
      <c r="J57" s="343">
        <f t="shared" ref="J57:AC57" si="44">I57</f>
        <v>21.737810017203365</v>
      </c>
      <c r="K57" s="343">
        <f t="shared" si="44"/>
        <v>21.737810017203365</v>
      </c>
      <c r="L57" s="343">
        <f t="shared" si="44"/>
        <v>21.737810017203365</v>
      </c>
      <c r="M57" s="343">
        <f t="shared" si="44"/>
        <v>21.737810017203365</v>
      </c>
      <c r="N57" s="343">
        <f t="shared" si="44"/>
        <v>21.737810017203365</v>
      </c>
      <c r="O57" s="343">
        <f t="shared" si="44"/>
        <v>21.737810017203365</v>
      </c>
      <c r="P57" s="343">
        <f t="shared" si="44"/>
        <v>21.737810017203365</v>
      </c>
      <c r="Q57" s="343">
        <f t="shared" si="44"/>
        <v>21.737810017203365</v>
      </c>
      <c r="R57" s="343">
        <f t="shared" si="44"/>
        <v>21.737810017203365</v>
      </c>
      <c r="S57" s="343">
        <f t="shared" si="44"/>
        <v>21.737810017203365</v>
      </c>
      <c r="T57" s="343">
        <f t="shared" si="44"/>
        <v>21.737810017203365</v>
      </c>
      <c r="U57" s="343">
        <f t="shared" si="44"/>
        <v>21.737810017203365</v>
      </c>
      <c r="V57" s="343">
        <f t="shared" si="44"/>
        <v>21.737810017203365</v>
      </c>
      <c r="W57" s="343">
        <f t="shared" si="44"/>
        <v>21.737810017203365</v>
      </c>
      <c r="X57" s="343">
        <f t="shared" si="44"/>
        <v>21.737810017203365</v>
      </c>
      <c r="Y57" s="343">
        <f t="shared" si="44"/>
        <v>21.737810017203365</v>
      </c>
      <c r="Z57" s="343">
        <f t="shared" si="44"/>
        <v>21.737810017203365</v>
      </c>
      <c r="AA57" s="343">
        <f t="shared" si="44"/>
        <v>21.737810017203365</v>
      </c>
      <c r="AB57" s="343">
        <f t="shared" si="44"/>
        <v>21.737810017203365</v>
      </c>
      <c r="AC57" s="343">
        <f t="shared" si="44"/>
        <v>21.737810017203365</v>
      </c>
    </row>
    <row r="58" spans="2:30">
      <c r="B58" t="str">
        <f t="shared" si="42"/>
        <v>Créd. operações pl. de assist. à saúde</v>
      </c>
      <c r="D58" s="23"/>
      <c r="E58" s="23"/>
      <c r="F58" s="23"/>
      <c r="G58" s="23"/>
      <c r="H58" s="24"/>
      <c r="I58" s="343">
        <f t="shared" ref="I58:I60" si="45">(H39)</f>
        <v>13.40277293481609</v>
      </c>
      <c r="J58" s="343">
        <f t="shared" ref="J58:AC58" si="46">I58</f>
        <v>13.40277293481609</v>
      </c>
      <c r="K58" s="343">
        <f t="shared" si="46"/>
        <v>13.40277293481609</v>
      </c>
      <c r="L58" s="343">
        <f t="shared" si="46"/>
        <v>13.40277293481609</v>
      </c>
      <c r="M58" s="343">
        <f t="shared" si="46"/>
        <v>13.40277293481609</v>
      </c>
      <c r="N58" s="343">
        <f t="shared" si="46"/>
        <v>13.40277293481609</v>
      </c>
      <c r="O58" s="343">
        <f t="shared" si="46"/>
        <v>13.40277293481609</v>
      </c>
      <c r="P58" s="343">
        <f t="shared" si="46"/>
        <v>13.40277293481609</v>
      </c>
      <c r="Q58" s="343">
        <f t="shared" si="46"/>
        <v>13.40277293481609</v>
      </c>
      <c r="R58" s="343">
        <f t="shared" si="46"/>
        <v>13.40277293481609</v>
      </c>
      <c r="S58" s="343">
        <f t="shared" si="46"/>
        <v>13.40277293481609</v>
      </c>
      <c r="T58" s="343">
        <f t="shared" si="46"/>
        <v>13.40277293481609</v>
      </c>
      <c r="U58" s="343">
        <f t="shared" si="46"/>
        <v>13.40277293481609</v>
      </c>
      <c r="V58" s="343">
        <f t="shared" si="46"/>
        <v>13.40277293481609</v>
      </c>
      <c r="W58" s="343">
        <f t="shared" si="46"/>
        <v>13.40277293481609</v>
      </c>
      <c r="X58" s="343">
        <f t="shared" si="46"/>
        <v>13.40277293481609</v>
      </c>
      <c r="Y58" s="343">
        <f t="shared" si="46"/>
        <v>13.40277293481609</v>
      </c>
      <c r="Z58" s="343">
        <f t="shared" si="46"/>
        <v>13.40277293481609</v>
      </c>
      <c r="AA58" s="343">
        <f t="shared" si="46"/>
        <v>13.40277293481609</v>
      </c>
      <c r="AB58" s="343">
        <f t="shared" si="46"/>
        <v>13.40277293481609</v>
      </c>
      <c r="AC58" s="343">
        <f t="shared" si="46"/>
        <v>13.40277293481609</v>
      </c>
    </row>
    <row r="59" spans="2:30">
      <c r="B59" t="str">
        <f t="shared" si="42"/>
        <v>Despesas de comercialização diferidas</v>
      </c>
      <c r="D59" s="23"/>
      <c r="E59" s="23"/>
      <c r="F59" s="23"/>
      <c r="G59" s="23"/>
      <c r="H59" s="24"/>
      <c r="I59" s="343">
        <f t="shared" si="45"/>
        <v>1.1960002957759757</v>
      </c>
      <c r="J59" s="343">
        <f t="shared" ref="J59:AC59" si="47">I59</f>
        <v>1.1960002957759757</v>
      </c>
      <c r="K59" s="343">
        <f t="shared" si="47"/>
        <v>1.1960002957759757</v>
      </c>
      <c r="L59" s="343">
        <f t="shared" si="47"/>
        <v>1.1960002957759757</v>
      </c>
      <c r="M59" s="343">
        <f t="shared" si="47"/>
        <v>1.1960002957759757</v>
      </c>
      <c r="N59" s="343">
        <f t="shared" si="47"/>
        <v>1.1960002957759757</v>
      </c>
      <c r="O59" s="343">
        <f t="shared" si="47"/>
        <v>1.1960002957759757</v>
      </c>
      <c r="P59" s="343">
        <f t="shared" si="47"/>
        <v>1.1960002957759757</v>
      </c>
      <c r="Q59" s="343">
        <f t="shared" si="47"/>
        <v>1.1960002957759757</v>
      </c>
      <c r="R59" s="343">
        <f t="shared" si="47"/>
        <v>1.1960002957759757</v>
      </c>
      <c r="S59" s="343">
        <f t="shared" si="47"/>
        <v>1.1960002957759757</v>
      </c>
      <c r="T59" s="343">
        <f t="shared" si="47"/>
        <v>1.1960002957759757</v>
      </c>
      <c r="U59" s="343">
        <f t="shared" si="47"/>
        <v>1.1960002957759757</v>
      </c>
      <c r="V59" s="343">
        <f t="shared" si="47"/>
        <v>1.1960002957759757</v>
      </c>
      <c r="W59" s="343">
        <f t="shared" si="47"/>
        <v>1.1960002957759757</v>
      </c>
      <c r="X59" s="343">
        <f t="shared" si="47"/>
        <v>1.1960002957759757</v>
      </c>
      <c r="Y59" s="343">
        <f t="shared" si="47"/>
        <v>1.1960002957759757</v>
      </c>
      <c r="Z59" s="343">
        <f t="shared" si="47"/>
        <v>1.1960002957759757</v>
      </c>
      <c r="AA59" s="343">
        <f t="shared" si="47"/>
        <v>1.1960002957759757</v>
      </c>
      <c r="AB59" s="343">
        <f t="shared" si="47"/>
        <v>1.1960002957759757</v>
      </c>
      <c r="AC59" s="343">
        <f t="shared" si="47"/>
        <v>1.1960002957759757</v>
      </c>
    </row>
    <row r="60" spans="2:30">
      <c r="B60" t="str">
        <f t="shared" si="42"/>
        <v>Títulos e créditos a receber</v>
      </c>
      <c r="D60" s="23"/>
      <c r="E60" s="23"/>
      <c r="F60" s="23"/>
      <c r="G60" s="23"/>
      <c r="H60" s="24"/>
      <c r="I60" s="343">
        <f t="shared" si="45"/>
        <v>6.5950332765494855</v>
      </c>
      <c r="J60" s="343">
        <f t="shared" ref="J60:AC60" si="48">I60</f>
        <v>6.5950332765494855</v>
      </c>
      <c r="K60" s="343">
        <f t="shared" si="48"/>
        <v>6.5950332765494855</v>
      </c>
      <c r="L60" s="343">
        <f t="shared" si="48"/>
        <v>6.5950332765494855</v>
      </c>
      <c r="M60" s="343">
        <f t="shared" si="48"/>
        <v>6.5950332765494855</v>
      </c>
      <c r="N60" s="343">
        <f t="shared" si="48"/>
        <v>6.5950332765494855</v>
      </c>
      <c r="O60" s="343">
        <f t="shared" si="48"/>
        <v>6.5950332765494855</v>
      </c>
      <c r="P60" s="343">
        <f t="shared" si="48"/>
        <v>6.5950332765494855</v>
      </c>
      <c r="Q60" s="343">
        <f t="shared" si="48"/>
        <v>6.5950332765494855</v>
      </c>
      <c r="R60" s="343">
        <f t="shared" si="48"/>
        <v>6.5950332765494855</v>
      </c>
      <c r="S60" s="343">
        <f t="shared" si="48"/>
        <v>6.5950332765494855</v>
      </c>
      <c r="T60" s="343">
        <f t="shared" si="48"/>
        <v>6.5950332765494855</v>
      </c>
      <c r="U60" s="343">
        <f t="shared" si="48"/>
        <v>6.5950332765494855</v>
      </c>
      <c r="V60" s="343">
        <f t="shared" si="48"/>
        <v>6.5950332765494855</v>
      </c>
      <c r="W60" s="343">
        <f t="shared" si="48"/>
        <v>6.5950332765494855</v>
      </c>
      <c r="X60" s="343">
        <f t="shared" si="48"/>
        <v>6.5950332765494855</v>
      </c>
      <c r="Y60" s="343">
        <f t="shared" si="48"/>
        <v>6.5950332765494855</v>
      </c>
      <c r="Z60" s="343">
        <f t="shared" si="48"/>
        <v>6.5950332765494855</v>
      </c>
      <c r="AA60" s="343">
        <f t="shared" si="48"/>
        <v>6.5950332765494855</v>
      </c>
      <c r="AB60" s="343">
        <f t="shared" si="48"/>
        <v>6.5950332765494855</v>
      </c>
      <c r="AC60" s="343">
        <f t="shared" si="48"/>
        <v>6.5950332765494855</v>
      </c>
    </row>
    <row r="61" spans="2:30">
      <c r="B61" t="str">
        <f t="shared" si="42"/>
        <v>Outros valores e bens</v>
      </c>
      <c r="D61" s="23"/>
      <c r="E61" s="23"/>
      <c r="F61" s="23"/>
      <c r="G61" s="23"/>
      <c r="H61" s="24"/>
      <c r="I61" s="343">
        <f>(H42)</f>
        <v>4.1221638886270284</v>
      </c>
      <c r="J61" s="343">
        <f t="shared" ref="J61:AC61" si="49">I61</f>
        <v>4.1221638886270284</v>
      </c>
      <c r="K61" s="343">
        <f t="shared" si="49"/>
        <v>4.1221638886270284</v>
      </c>
      <c r="L61" s="343">
        <f t="shared" si="49"/>
        <v>4.1221638886270284</v>
      </c>
      <c r="M61" s="343">
        <f t="shared" si="49"/>
        <v>4.1221638886270284</v>
      </c>
      <c r="N61" s="343">
        <f t="shared" si="49"/>
        <v>4.1221638886270284</v>
      </c>
      <c r="O61" s="343">
        <f t="shared" si="49"/>
        <v>4.1221638886270284</v>
      </c>
      <c r="P61" s="343">
        <f t="shared" si="49"/>
        <v>4.1221638886270284</v>
      </c>
      <c r="Q61" s="343">
        <f t="shared" si="49"/>
        <v>4.1221638886270284</v>
      </c>
      <c r="R61" s="343">
        <f t="shared" si="49"/>
        <v>4.1221638886270284</v>
      </c>
      <c r="S61" s="343">
        <f t="shared" si="49"/>
        <v>4.1221638886270284</v>
      </c>
      <c r="T61" s="343">
        <f t="shared" si="49"/>
        <v>4.1221638886270284</v>
      </c>
      <c r="U61" s="343">
        <f t="shared" si="49"/>
        <v>4.1221638886270284</v>
      </c>
      <c r="V61" s="343">
        <f t="shared" si="49"/>
        <v>4.1221638886270284</v>
      </c>
      <c r="W61" s="343">
        <f t="shared" si="49"/>
        <v>4.1221638886270284</v>
      </c>
      <c r="X61" s="343">
        <f t="shared" si="49"/>
        <v>4.1221638886270284</v>
      </c>
      <c r="Y61" s="343">
        <f t="shared" si="49"/>
        <v>4.1221638886270284</v>
      </c>
      <c r="Z61" s="343">
        <f t="shared" si="49"/>
        <v>4.1221638886270284</v>
      </c>
      <c r="AA61" s="343">
        <f t="shared" si="49"/>
        <v>4.1221638886270284</v>
      </c>
      <c r="AB61" s="343">
        <f t="shared" si="49"/>
        <v>4.1221638886270284</v>
      </c>
      <c r="AC61" s="343">
        <f t="shared" si="49"/>
        <v>4.1221638886270284</v>
      </c>
    </row>
    <row r="62" spans="2:30">
      <c r="B62" t="str">
        <f>B46</f>
        <v>Débitos de operações de assit. à saúde</v>
      </c>
      <c r="D62" s="23"/>
      <c r="E62" s="23"/>
      <c r="F62" s="23"/>
      <c r="G62" s="23"/>
      <c r="H62" s="24"/>
      <c r="I62" s="343">
        <f>H46</f>
        <v>0.61957357094470644</v>
      </c>
      <c r="J62" s="343">
        <f t="shared" ref="J62:AC62" si="50">I62</f>
        <v>0.61957357094470644</v>
      </c>
      <c r="K62" s="343">
        <f t="shared" si="50"/>
        <v>0.61957357094470644</v>
      </c>
      <c r="L62" s="343">
        <f t="shared" si="50"/>
        <v>0.61957357094470644</v>
      </c>
      <c r="M62" s="343">
        <f t="shared" si="50"/>
        <v>0.61957357094470644</v>
      </c>
      <c r="N62" s="343">
        <f t="shared" si="50"/>
        <v>0.61957357094470644</v>
      </c>
      <c r="O62" s="343">
        <f t="shared" si="50"/>
        <v>0.61957357094470644</v>
      </c>
      <c r="P62" s="343">
        <f t="shared" si="50"/>
        <v>0.61957357094470644</v>
      </c>
      <c r="Q62" s="343">
        <f t="shared" si="50"/>
        <v>0.61957357094470644</v>
      </c>
      <c r="R62" s="343">
        <f t="shared" si="50"/>
        <v>0.61957357094470644</v>
      </c>
      <c r="S62" s="343">
        <f t="shared" si="50"/>
        <v>0.61957357094470644</v>
      </c>
      <c r="T62" s="343">
        <f t="shared" si="50"/>
        <v>0.61957357094470644</v>
      </c>
      <c r="U62" s="343">
        <f t="shared" si="50"/>
        <v>0.61957357094470644</v>
      </c>
      <c r="V62" s="343">
        <f t="shared" si="50"/>
        <v>0.61957357094470644</v>
      </c>
      <c r="W62" s="343">
        <f t="shared" si="50"/>
        <v>0.61957357094470644</v>
      </c>
      <c r="X62" s="343">
        <f t="shared" si="50"/>
        <v>0.61957357094470644</v>
      </c>
      <c r="Y62" s="343">
        <f t="shared" si="50"/>
        <v>0.61957357094470644</v>
      </c>
      <c r="Z62" s="343">
        <f t="shared" si="50"/>
        <v>0.61957357094470644</v>
      </c>
      <c r="AA62" s="343">
        <f t="shared" si="50"/>
        <v>0.61957357094470644</v>
      </c>
      <c r="AB62" s="343">
        <f t="shared" si="50"/>
        <v>0.61957357094470644</v>
      </c>
      <c r="AC62" s="343">
        <f t="shared" si="50"/>
        <v>0.61957357094470644</v>
      </c>
    </row>
    <row r="63" spans="2:30">
      <c r="B63" t="str">
        <f>B47</f>
        <v>Débitos de oper. assist. à saúde não rel. c/plano de saúde da op.</v>
      </c>
      <c r="D63" s="23"/>
      <c r="E63" s="23"/>
      <c r="F63" s="23"/>
      <c r="G63" s="23"/>
      <c r="H63" s="24"/>
      <c r="I63" s="343">
        <f t="shared" ref="I63:I67" si="51">H47</f>
        <v>4.9630227463640404</v>
      </c>
      <c r="J63" s="343">
        <f t="shared" ref="J63:AC63" si="52">I63</f>
        <v>4.9630227463640404</v>
      </c>
      <c r="K63" s="343">
        <f t="shared" si="52"/>
        <v>4.9630227463640404</v>
      </c>
      <c r="L63" s="343">
        <f t="shared" si="52"/>
        <v>4.9630227463640404</v>
      </c>
      <c r="M63" s="343">
        <f t="shared" si="52"/>
        <v>4.9630227463640404</v>
      </c>
      <c r="N63" s="343">
        <f t="shared" si="52"/>
        <v>4.9630227463640404</v>
      </c>
      <c r="O63" s="343">
        <f t="shared" si="52"/>
        <v>4.9630227463640404</v>
      </c>
      <c r="P63" s="343">
        <f t="shared" si="52"/>
        <v>4.9630227463640404</v>
      </c>
      <c r="Q63" s="343">
        <f t="shared" si="52"/>
        <v>4.9630227463640404</v>
      </c>
      <c r="R63" s="343">
        <f t="shared" si="52"/>
        <v>4.9630227463640404</v>
      </c>
      <c r="S63" s="343">
        <f t="shared" si="52"/>
        <v>4.9630227463640404</v>
      </c>
      <c r="T63" s="343">
        <f t="shared" si="52"/>
        <v>4.9630227463640404</v>
      </c>
      <c r="U63" s="343">
        <f t="shared" si="52"/>
        <v>4.9630227463640404</v>
      </c>
      <c r="V63" s="343">
        <f t="shared" si="52"/>
        <v>4.9630227463640404</v>
      </c>
      <c r="W63" s="343">
        <f t="shared" si="52"/>
        <v>4.9630227463640404</v>
      </c>
      <c r="X63" s="343">
        <f t="shared" si="52"/>
        <v>4.9630227463640404</v>
      </c>
      <c r="Y63" s="343">
        <f t="shared" si="52"/>
        <v>4.9630227463640404</v>
      </c>
      <c r="Z63" s="343">
        <f t="shared" si="52"/>
        <v>4.9630227463640404</v>
      </c>
      <c r="AA63" s="343">
        <f t="shared" si="52"/>
        <v>4.9630227463640404</v>
      </c>
      <c r="AB63" s="343">
        <f t="shared" si="52"/>
        <v>4.9630227463640404</v>
      </c>
      <c r="AC63" s="343">
        <f t="shared" si="52"/>
        <v>4.9630227463640404</v>
      </c>
    </row>
    <row r="64" spans="2:30">
      <c r="B64" t="str">
        <f>B48</f>
        <v>Taxes</v>
      </c>
      <c r="D64" s="23"/>
      <c r="E64" s="23"/>
      <c r="F64" s="23"/>
      <c r="G64" s="23"/>
      <c r="H64" s="24"/>
      <c r="I64" s="343">
        <f t="shared" si="51"/>
        <v>4.126201020427116</v>
      </c>
      <c r="J64" s="343">
        <f t="shared" ref="J64:AC64" si="53">I64</f>
        <v>4.126201020427116</v>
      </c>
      <c r="K64" s="343">
        <f t="shared" si="53"/>
        <v>4.126201020427116</v>
      </c>
      <c r="L64" s="343">
        <f t="shared" si="53"/>
        <v>4.126201020427116</v>
      </c>
      <c r="M64" s="343">
        <f t="shared" si="53"/>
        <v>4.126201020427116</v>
      </c>
      <c r="N64" s="343">
        <f t="shared" si="53"/>
        <v>4.126201020427116</v>
      </c>
      <c r="O64" s="343">
        <f t="shared" si="53"/>
        <v>4.126201020427116</v>
      </c>
      <c r="P64" s="343">
        <f t="shared" si="53"/>
        <v>4.126201020427116</v>
      </c>
      <c r="Q64" s="343">
        <f t="shared" si="53"/>
        <v>4.126201020427116</v>
      </c>
      <c r="R64" s="343">
        <f t="shared" si="53"/>
        <v>4.126201020427116</v>
      </c>
      <c r="S64" s="343">
        <f t="shared" si="53"/>
        <v>4.126201020427116</v>
      </c>
      <c r="T64" s="343">
        <f t="shared" si="53"/>
        <v>4.126201020427116</v>
      </c>
      <c r="U64" s="343">
        <f t="shared" si="53"/>
        <v>4.126201020427116</v>
      </c>
      <c r="V64" s="343">
        <f t="shared" si="53"/>
        <v>4.126201020427116</v>
      </c>
      <c r="W64" s="343">
        <f t="shared" si="53"/>
        <v>4.126201020427116</v>
      </c>
      <c r="X64" s="343">
        <f t="shared" si="53"/>
        <v>4.126201020427116</v>
      </c>
      <c r="Y64" s="343">
        <f t="shared" si="53"/>
        <v>4.126201020427116</v>
      </c>
      <c r="Z64" s="343">
        <f t="shared" si="53"/>
        <v>4.126201020427116</v>
      </c>
      <c r="AA64" s="343">
        <f t="shared" si="53"/>
        <v>4.126201020427116</v>
      </c>
      <c r="AB64" s="343">
        <f t="shared" si="53"/>
        <v>4.126201020427116</v>
      </c>
      <c r="AC64" s="343">
        <f t="shared" si="53"/>
        <v>4.126201020427116</v>
      </c>
    </row>
    <row r="65" spans="2:29">
      <c r="B65" t="str">
        <f>B49</f>
        <v>Provisões técnicas de operações de assist. à saúde</v>
      </c>
      <c r="D65" s="23"/>
      <c r="E65" s="23"/>
      <c r="F65" s="23"/>
      <c r="G65" s="23"/>
      <c r="H65" s="24"/>
      <c r="I65" s="343">
        <f t="shared" si="51"/>
        <v>27.487316502371989</v>
      </c>
      <c r="J65" s="343">
        <f t="shared" ref="J65:AC65" si="54">I65</f>
        <v>27.487316502371989</v>
      </c>
      <c r="K65" s="343">
        <f t="shared" si="54"/>
        <v>27.487316502371989</v>
      </c>
      <c r="L65" s="343">
        <f t="shared" si="54"/>
        <v>27.487316502371989</v>
      </c>
      <c r="M65" s="343">
        <f t="shared" si="54"/>
        <v>27.487316502371989</v>
      </c>
      <c r="N65" s="343">
        <f t="shared" si="54"/>
        <v>27.487316502371989</v>
      </c>
      <c r="O65" s="343">
        <f t="shared" si="54"/>
        <v>27.487316502371989</v>
      </c>
      <c r="P65" s="343">
        <f t="shared" si="54"/>
        <v>27.487316502371989</v>
      </c>
      <c r="Q65" s="343">
        <f t="shared" si="54"/>
        <v>27.487316502371989</v>
      </c>
      <c r="R65" s="343">
        <f t="shared" si="54"/>
        <v>27.487316502371989</v>
      </c>
      <c r="S65" s="343">
        <f t="shared" si="54"/>
        <v>27.487316502371989</v>
      </c>
      <c r="T65" s="343">
        <f t="shared" si="54"/>
        <v>27.487316502371989</v>
      </c>
      <c r="U65" s="343">
        <f t="shared" si="54"/>
        <v>27.487316502371989</v>
      </c>
      <c r="V65" s="343">
        <f t="shared" si="54"/>
        <v>27.487316502371989</v>
      </c>
      <c r="W65" s="343">
        <f t="shared" si="54"/>
        <v>27.487316502371989</v>
      </c>
      <c r="X65" s="343">
        <f t="shared" si="54"/>
        <v>27.487316502371989</v>
      </c>
      <c r="Y65" s="343">
        <f t="shared" si="54"/>
        <v>27.487316502371989</v>
      </c>
      <c r="Z65" s="343">
        <f t="shared" si="54"/>
        <v>27.487316502371989</v>
      </c>
      <c r="AA65" s="343">
        <f t="shared" si="54"/>
        <v>27.487316502371989</v>
      </c>
      <c r="AB65" s="343">
        <f t="shared" si="54"/>
        <v>27.487316502371989</v>
      </c>
      <c r="AC65" s="343">
        <f t="shared" si="54"/>
        <v>27.487316502371989</v>
      </c>
    </row>
    <row r="66" spans="2:29">
      <c r="B66" t="str">
        <f>B50</f>
        <v>Débitos diversos</v>
      </c>
      <c r="D66" s="23"/>
      <c r="E66" s="23"/>
      <c r="F66" s="23"/>
      <c r="G66" s="23"/>
      <c r="H66" s="24"/>
      <c r="I66" s="343">
        <f t="shared" si="51"/>
        <v>0</v>
      </c>
      <c r="J66" s="343">
        <f t="shared" ref="J66:AC66" si="55">I66</f>
        <v>0</v>
      </c>
      <c r="K66" s="343">
        <f t="shared" si="55"/>
        <v>0</v>
      </c>
      <c r="L66" s="343">
        <f t="shared" si="55"/>
        <v>0</v>
      </c>
      <c r="M66" s="343">
        <f t="shared" si="55"/>
        <v>0</v>
      </c>
      <c r="N66" s="343">
        <f t="shared" si="55"/>
        <v>0</v>
      </c>
      <c r="O66" s="343">
        <f t="shared" si="55"/>
        <v>0</v>
      </c>
      <c r="P66" s="343">
        <f t="shared" si="55"/>
        <v>0</v>
      </c>
      <c r="Q66" s="343">
        <f t="shared" si="55"/>
        <v>0</v>
      </c>
      <c r="R66" s="343">
        <f t="shared" si="55"/>
        <v>0</v>
      </c>
      <c r="S66" s="343">
        <f t="shared" si="55"/>
        <v>0</v>
      </c>
      <c r="T66" s="343">
        <f t="shared" si="55"/>
        <v>0</v>
      </c>
      <c r="U66" s="343">
        <f t="shared" si="55"/>
        <v>0</v>
      </c>
      <c r="V66" s="343">
        <f t="shared" si="55"/>
        <v>0</v>
      </c>
      <c r="W66" s="343">
        <f t="shared" si="55"/>
        <v>0</v>
      </c>
      <c r="X66" s="343">
        <f t="shared" si="55"/>
        <v>0</v>
      </c>
      <c r="Y66" s="343">
        <f t="shared" si="55"/>
        <v>0</v>
      </c>
      <c r="Z66" s="343">
        <f t="shared" si="55"/>
        <v>0</v>
      </c>
      <c r="AA66" s="343">
        <f t="shared" si="55"/>
        <v>0</v>
      </c>
      <c r="AB66" s="343">
        <f t="shared" si="55"/>
        <v>0</v>
      </c>
      <c r="AC66" s="343">
        <f t="shared" si="55"/>
        <v>0</v>
      </c>
    </row>
    <row r="67" spans="2:29">
      <c r="B67" s="484" t="str">
        <f>+B51</f>
        <v>Empréstimos de coligadas</v>
      </c>
      <c r="D67" s="23"/>
      <c r="E67" s="23"/>
      <c r="F67" s="23"/>
      <c r="G67" s="23"/>
      <c r="H67" s="24"/>
      <c r="I67" s="343">
        <f t="shared" si="51"/>
        <v>0</v>
      </c>
      <c r="J67" s="343">
        <f t="shared" ref="J67:AC67" si="56">I67</f>
        <v>0</v>
      </c>
      <c r="K67" s="343">
        <f t="shared" si="56"/>
        <v>0</v>
      </c>
      <c r="L67" s="343">
        <f t="shared" si="56"/>
        <v>0</v>
      </c>
      <c r="M67" s="343">
        <f t="shared" si="56"/>
        <v>0</v>
      </c>
      <c r="N67" s="343">
        <f t="shared" si="56"/>
        <v>0</v>
      </c>
      <c r="O67" s="343">
        <f t="shared" si="56"/>
        <v>0</v>
      </c>
      <c r="P67" s="343">
        <f t="shared" si="56"/>
        <v>0</v>
      </c>
      <c r="Q67" s="343">
        <f t="shared" si="56"/>
        <v>0</v>
      </c>
      <c r="R67" s="343">
        <f t="shared" si="56"/>
        <v>0</v>
      </c>
      <c r="S67" s="343">
        <f t="shared" si="56"/>
        <v>0</v>
      </c>
      <c r="T67" s="343">
        <f t="shared" si="56"/>
        <v>0</v>
      </c>
      <c r="U67" s="343">
        <f t="shared" si="56"/>
        <v>0</v>
      </c>
      <c r="V67" s="343">
        <f t="shared" si="56"/>
        <v>0</v>
      </c>
      <c r="W67" s="343">
        <f t="shared" si="56"/>
        <v>0</v>
      </c>
      <c r="X67" s="343">
        <f t="shared" si="56"/>
        <v>0</v>
      </c>
      <c r="Y67" s="343">
        <f t="shared" si="56"/>
        <v>0</v>
      </c>
      <c r="Z67" s="343">
        <f t="shared" si="56"/>
        <v>0</v>
      </c>
      <c r="AA67" s="343">
        <f t="shared" si="56"/>
        <v>0</v>
      </c>
      <c r="AB67" s="343">
        <f t="shared" si="56"/>
        <v>0</v>
      </c>
      <c r="AC67" s="343">
        <f t="shared" si="56"/>
        <v>0</v>
      </c>
    </row>
    <row r="68" spans="2:29">
      <c r="B68" s="484" t="str">
        <f>+B27</f>
        <v>Other Non-Op. Cur. Liabilities</v>
      </c>
      <c r="D68" s="23"/>
      <c r="E68" s="23"/>
      <c r="F68" s="23"/>
      <c r="G68" s="23"/>
      <c r="H68" s="24"/>
      <c r="I68" s="343">
        <f>H52</f>
        <v>0</v>
      </c>
      <c r="J68" s="343">
        <f t="shared" ref="J68:AC68" si="57">I68</f>
        <v>0</v>
      </c>
      <c r="K68" s="343">
        <f t="shared" si="57"/>
        <v>0</v>
      </c>
      <c r="L68" s="343">
        <f t="shared" si="57"/>
        <v>0</v>
      </c>
      <c r="M68" s="343">
        <f t="shared" si="57"/>
        <v>0</v>
      </c>
      <c r="N68" s="343">
        <f t="shared" si="57"/>
        <v>0</v>
      </c>
      <c r="O68" s="343">
        <f t="shared" si="57"/>
        <v>0</v>
      </c>
      <c r="P68" s="343">
        <f t="shared" si="57"/>
        <v>0</v>
      </c>
      <c r="Q68" s="343">
        <f t="shared" si="57"/>
        <v>0</v>
      </c>
      <c r="R68" s="343">
        <f t="shared" si="57"/>
        <v>0</v>
      </c>
      <c r="S68" s="343">
        <f t="shared" si="57"/>
        <v>0</v>
      </c>
      <c r="T68" s="343">
        <f t="shared" si="57"/>
        <v>0</v>
      </c>
      <c r="U68" s="343">
        <f t="shared" si="57"/>
        <v>0</v>
      </c>
      <c r="V68" s="343">
        <f t="shared" si="57"/>
        <v>0</v>
      </c>
      <c r="W68" s="343">
        <f t="shared" si="57"/>
        <v>0</v>
      </c>
      <c r="X68" s="343">
        <f t="shared" si="57"/>
        <v>0</v>
      </c>
      <c r="Y68" s="343">
        <f t="shared" si="57"/>
        <v>0</v>
      </c>
      <c r="Z68" s="343">
        <f t="shared" si="57"/>
        <v>0</v>
      </c>
      <c r="AA68" s="343">
        <f t="shared" si="57"/>
        <v>0</v>
      </c>
      <c r="AB68" s="343">
        <f t="shared" si="57"/>
        <v>0</v>
      </c>
      <c r="AC68" s="343">
        <f t="shared" si="57"/>
        <v>0</v>
      </c>
    </row>
    <row r="69" spans="2:29">
      <c r="D69" s="23"/>
      <c r="E69" s="23"/>
      <c r="F69" s="23"/>
      <c r="G69" s="23"/>
      <c r="H69" s="24"/>
      <c r="I69" s="29"/>
      <c r="J69" s="29"/>
      <c r="K69" s="29"/>
      <c r="L69" s="29"/>
      <c r="M69" s="29"/>
      <c r="N69" s="29"/>
    </row>
    <row r="70" spans="2:29">
      <c r="B70" s="2" t="str">
        <f>B3</f>
        <v>Client Case</v>
      </c>
      <c r="D70" s="23"/>
      <c r="E70" s="23"/>
      <c r="F70" s="23"/>
      <c r="G70" s="23"/>
      <c r="H70" s="24"/>
      <c r="I70" s="29"/>
      <c r="J70" s="29"/>
      <c r="K70" s="29"/>
      <c r="L70" s="29"/>
      <c r="M70" s="29"/>
      <c r="N70" s="29"/>
    </row>
    <row r="71" spans="2:29">
      <c r="B71" t="str">
        <f t="shared" ref="B71:B76" si="58">B56</f>
        <v>Aplicações de liquidez imediata e valores em trânsito</v>
      </c>
      <c r="D71" s="23"/>
      <c r="E71" s="23"/>
      <c r="G71" s="23"/>
      <c r="H71" s="24"/>
      <c r="I71" s="343">
        <f>I56</f>
        <v>0</v>
      </c>
      <c r="J71" s="343">
        <f t="shared" ref="J71:AC82" si="59">J56</f>
        <v>0</v>
      </c>
      <c r="K71" s="343">
        <f t="shared" si="59"/>
        <v>0</v>
      </c>
      <c r="L71" s="343">
        <f t="shared" si="59"/>
        <v>0</v>
      </c>
      <c r="M71" s="343">
        <f t="shared" si="59"/>
        <v>0</v>
      </c>
      <c r="N71" s="343">
        <f t="shared" si="59"/>
        <v>0</v>
      </c>
      <c r="O71" s="343">
        <f t="shared" si="59"/>
        <v>0</v>
      </c>
      <c r="P71" s="343">
        <f t="shared" si="59"/>
        <v>0</v>
      </c>
      <c r="Q71" s="343">
        <f t="shared" si="59"/>
        <v>0</v>
      </c>
      <c r="R71" s="343">
        <f t="shared" si="59"/>
        <v>0</v>
      </c>
      <c r="S71" s="343">
        <f t="shared" si="59"/>
        <v>0</v>
      </c>
      <c r="T71" s="343">
        <f t="shared" si="59"/>
        <v>0</v>
      </c>
      <c r="U71" s="343">
        <f t="shared" si="59"/>
        <v>0</v>
      </c>
      <c r="V71" s="343">
        <f t="shared" si="59"/>
        <v>0</v>
      </c>
      <c r="W71" s="343">
        <f t="shared" si="59"/>
        <v>0</v>
      </c>
      <c r="X71" s="343">
        <f t="shared" si="59"/>
        <v>0</v>
      </c>
      <c r="Y71" s="343">
        <f t="shared" si="59"/>
        <v>0</v>
      </c>
      <c r="Z71" s="343">
        <f t="shared" si="59"/>
        <v>0</v>
      </c>
      <c r="AA71" s="343">
        <f t="shared" si="59"/>
        <v>0</v>
      </c>
      <c r="AB71" s="343">
        <f t="shared" si="59"/>
        <v>0</v>
      </c>
      <c r="AC71" s="343">
        <f t="shared" si="59"/>
        <v>0</v>
      </c>
    </row>
    <row r="72" spans="2:29">
      <c r="B72" t="str">
        <f t="shared" si="58"/>
        <v>Reserva Técnica</v>
      </c>
      <c r="D72" s="23"/>
      <c r="E72" s="23"/>
      <c r="G72" s="23"/>
      <c r="H72" s="24"/>
      <c r="I72" s="343">
        <f t="shared" ref="I72:X82" si="60">I57</f>
        <v>21.737810017203365</v>
      </c>
      <c r="J72" s="343">
        <f t="shared" si="60"/>
        <v>21.737810017203365</v>
      </c>
      <c r="K72" s="343">
        <f t="shared" si="60"/>
        <v>21.737810017203365</v>
      </c>
      <c r="L72" s="343">
        <f t="shared" si="60"/>
        <v>21.737810017203365</v>
      </c>
      <c r="M72" s="343">
        <f t="shared" si="60"/>
        <v>21.737810017203365</v>
      </c>
      <c r="N72" s="343">
        <f t="shared" si="60"/>
        <v>21.737810017203365</v>
      </c>
      <c r="O72" s="343">
        <f t="shared" si="60"/>
        <v>21.737810017203365</v>
      </c>
      <c r="P72" s="343">
        <f t="shared" si="60"/>
        <v>21.737810017203365</v>
      </c>
      <c r="Q72" s="343">
        <f t="shared" si="60"/>
        <v>21.737810017203365</v>
      </c>
      <c r="R72" s="343">
        <f t="shared" si="60"/>
        <v>21.737810017203365</v>
      </c>
      <c r="S72" s="343">
        <f t="shared" si="60"/>
        <v>21.737810017203365</v>
      </c>
      <c r="T72" s="343">
        <f t="shared" si="60"/>
        <v>21.737810017203365</v>
      </c>
      <c r="U72" s="343">
        <f t="shared" si="60"/>
        <v>21.737810017203365</v>
      </c>
      <c r="V72" s="343">
        <f t="shared" si="60"/>
        <v>21.737810017203365</v>
      </c>
      <c r="W72" s="343">
        <f t="shared" si="60"/>
        <v>21.737810017203365</v>
      </c>
      <c r="X72" s="343">
        <f t="shared" si="60"/>
        <v>21.737810017203365</v>
      </c>
      <c r="Y72" s="343">
        <f t="shared" si="59"/>
        <v>21.737810017203365</v>
      </c>
      <c r="Z72" s="343">
        <f t="shared" si="59"/>
        <v>21.737810017203365</v>
      </c>
      <c r="AA72" s="343">
        <f t="shared" si="59"/>
        <v>21.737810017203365</v>
      </c>
      <c r="AB72" s="343">
        <f t="shared" si="59"/>
        <v>21.737810017203365</v>
      </c>
      <c r="AC72" s="343">
        <f t="shared" si="59"/>
        <v>21.737810017203365</v>
      </c>
    </row>
    <row r="73" spans="2:29">
      <c r="B73" t="str">
        <f t="shared" si="58"/>
        <v>Créd. operações pl. de assist. à saúde</v>
      </c>
      <c r="D73" s="23"/>
      <c r="E73" s="23"/>
      <c r="F73" s="23"/>
      <c r="G73" s="23"/>
      <c r="H73" s="24"/>
      <c r="I73" s="343">
        <f t="shared" si="60"/>
        <v>13.40277293481609</v>
      </c>
      <c r="J73" s="343">
        <f t="shared" si="59"/>
        <v>13.40277293481609</v>
      </c>
      <c r="K73" s="343">
        <f t="shared" si="59"/>
        <v>13.40277293481609</v>
      </c>
      <c r="L73" s="343">
        <f t="shared" si="59"/>
        <v>13.40277293481609</v>
      </c>
      <c r="M73" s="343">
        <f t="shared" si="59"/>
        <v>13.40277293481609</v>
      </c>
      <c r="N73" s="343">
        <f t="shared" si="59"/>
        <v>13.40277293481609</v>
      </c>
      <c r="O73" s="343">
        <f t="shared" si="59"/>
        <v>13.40277293481609</v>
      </c>
      <c r="P73" s="343">
        <f t="shared" si="59"/>
        <v>13.40277293481609</v>
      </c>
      <c r="Q73" s="343">
        <f t="shared" si="59"/>
        <v>13.40277293481609</v>
      </c>
      <c r="R73" s="343">
        <f t="shared" si="59"/>
        <v>13.40277293481609</v>
      </c>
      <c r="S73" s="343">
        <f t="shared" si="59"/>
        <v>13.40277293481609</v>
      </c>
      <c r="T73" s="343">
        <f t="shared" si="59"/>
        <v>13.40277293481609</v>
      </c>
      <c r="U73" s="343">
        <f t="shared" si="59"/>
        <v>13.40277293481609</v>
      </c>
      <c r="V73" s="343">
        <f t="shared" si="59"/>
        <v>13.40277293481609</v>
      </c>
      <c r="W73" s="343">
        <f t="shared" si="59"/>
        <v>13.40277293481609</v>
      </c>
      <c r="X73" s="343">
        <f t="shared" si="59"/>
        <v>13.40277293481609</v>
      </c>
      <c r="Y73" s="343">
        <f t="shared" si="59"/>
        <v>13.40277293481609</v>
      </c>
      <c r="Z73" s="343">
        <f t="shared" si="59"/>
        <v>13.40277293481609</v>
      </c>
      <c r="AA73" s="343">
        <f t="shared" si="59"/>
        <v>13.40277293481609</v>
      </c>
      <c r="AB73" s="343">
        <f t="shared" si="59"/>
        <v>13.40277293481609</v>
      </c>
      <c r="AC73" s="343">
        <f t="shared" si="59"/>
        <v>13.40277293481609</v>
      </c>
    </row>
    <row r="74" spans="2:29">
      <c r="B74" t="str">
        <f t="shared" si="58"/>
        <v>Despesas de comercialização diferidas</v>
      </c>
      <c r="D74" s="23"/>
      <c r="E74" s="23"/>
      <c r="F74" s="23"/>
      <c r="G74" s="23"/>
      <c r="H74" s="24"/>
      <c r="I74" s="343">
        <f t="shared" si="60"/>
        <v>1.1960002957759757</v>
      </c>
      <c r="J74" s="343">
        <f t="shared" si="59"/>
        <v>1.1960002957759757</v>
      </c>
      <c r="K74" s="343">
        <f t="shared" si="59"/>
        <v>1.1960002957759757</v>
      </c>
      <c r="L74" s="343">
        <f t="shared" si="59"/>
        <v>1.1960002957759757</v>
      </c>
      <c r="M74" s="343">
        <f t="shared" si="59"/>
        <v>1.1960002957759757</v>
      </c>
      <c r="N74" s="343">
        <f t="shared" si="59"/>
        <v>1.1960002957759757</v>
      </c>
      <c r="O74" s="343">
        <f t="shared" si="59"/>
        <v>1.1960002957759757</v>
      </c>
      <c r="P74" s="343">
        <f t="shared" si="59"/>
        <v>1.1960002957759757</v>
      </c>
      <c r="Q74" s="343">
        <f t="shared" si="59"/>
        <v>1.1960002957759757</v>
      </c>
      <c r="R74" s="343">
        <f t="shared" si="59"/>
        <v>1.1960002957759757</v>
      </c>
      <c r="S74" s="343">
        <f t="shared" si="59"/>
        <v>1.1960002957759757</v>
      </c>
      <c r="T74" s="343">
        <f t="shared" si="59"/>
        <v>1.1960002957759757</v>
      </c>
      <c r="U74" s="343">
        <f t="shared" si="59"/>
        <v>1.1960002957759757</v>
      </c>
      <c r="V74" s="343">
        <f t="shared" si="59"/>
        <v>1.1960002957759757</v>
      </c>
      <c r="W74" s="343">
        <f t="shared" si="59"/>
        <v>1.1960002957759757</v>
      </c>
      <c r="X74" s="343">
        <f t="shared" si="59"/>
        <v>1.1960002957759757</v>
      </c>
      <c r="Y74" s="343">
        <f t="shared" si="59"/>
        <v>1.1960002957759757</v>
      </c>
      <c r="Z74" s="343">
        <f t="shared" si="59"/>
        <v>1.1960002957759757</v>
      </c>
      <c r="AA74" s="343">
        <f t="shared" si="59"/>
        <v>1.1960002957759757</v>
      </c>
      <c r="AB74" s="343">
        <f t="shared" si="59"/>
        <v>1.1960002957759757</v>
      </c>
      <c r="AC74" s="343">
        <f t="shared" si="59"/>
        <v>1.1960002957759757</v>
      </c>
    </row>
    <row r="75" spans="2:29">
      <c r="B75" t="str">
        <f t="shared" si="58"/>
        <v>Títulos e créditos a receber</v>
      </c>
      <c r="D75" s="23"/>
      <c r="E75" s="23"/>
      <c r="F75" s="23"/>
      <c r="G75" s="23"/>
      <c r="H75" s="24"/>
      <c r="I75" s="343">
        <f t="shared" si="60"/>
        <v>6.5950332765494855</v>
      </c>
      <c r="J75" s="343">
        <f t="shared" si="59"/>
        <v>6.5950332765494855</v>
      </c>
      <c r="K75" s="343">
        <f t="shared" si="59"/>
        <v>6.5950332765494855</v>
      </c>
      <c r="L75" s="343">
        <f t="shared" si="59"/>
        <v>6.5950332765494855</v>
      </c>
      <c r="M75" s="343">
        <f t="shared" si="59"/>
        <v>6.5950332765494855</v>
      </c>
      <c r="N75" s="343">
        <f t="shared" si="59"/>
        <v>6.5950332765494855</v>
      </c>
      <c r="O75" s="343">
        <f t="shared" si="59"/>
        <v>6.5950332765494855</v>
      </c>
      <c r="P75" s="343">
        <f t="shared" si="59"/>
        <v>6.5950332765494855</v>
      </c>
      <c r="Q75" s="343">
        <f t="shared" si="59"/>
        <v>6.5950332765494855</v>
      </c>
      <c r="R75" s="343">
        <f t="shared" si="59"/>
        <v>6.5950332765494855</v>
      </c>
      <c r="S75" s="343">
        <f t="shared" si="59"/>
        <v>6.5950332765494855</v>
      </c>
      <c r="T75" s="343">
        <f t="shared" si="59"/>
        <v>6.5950332765494855</v>
      </c>
      <c r="U75" s="343">
        <f t="shared" si="59"/>
        <v>6.5950332765494855</v>
      </c>
      <c r="V75" s="343">
        <f t="shared" si="59"/>
        <v>6.5950332765494855</v>
      </c>
      <c r="W75" s="343">
        <f t="shared" si="59"/>
        <v>6.5950332765494855</v>
      </c>
      <c r="X75" s="343">
        <f t="shared" si="59"/>
        <v>6.5950332765494855</v>
      </c>
      <c r="Y75" s="343">
        <f t="shared" si="59"/>
        <v>6.5950332765494855</v>
      </c>
      <c r="Z75" s="343">
        <f t="shared" si="59"/>
        <v>6.5950332765494855</v>
      </c>
      <c r="AA75" s="343">
        <f t="shared" si="59"/>
        <v>6.5950332765494855</v>
      </c>
      <c r="AB75" s="343">
        <f t="shared" si="59"/>
        <v>6.5950332765494855</v>
      </c>
      <c r="AC75" s="343">
        <f t="shared" si="59"/>
        <v>6.5950332765494855</v>
      </c>
    </row>
    <row r="76" spans="2:29">
      <c r="B76" t="str">
        <f t="shared" si="58"/>
        <v>Outros valores e bens</v>
      </c>
      <c r="D76" s="23"/>
      <c r="E76" s="23"/>
      <c r="F76" s="23"/>
      <c r="G76" s="23"/>
      <c r="H76" s="24"/>
      <c r="I76" s="343">
        <f t="shared" si="60"/>
        <v>4.1221638886270284</v>
      </c>
      <c r="J76" s="343">
        <f t="shared" si="59"/>
        <v>4.1221638886270284</v>
      </c>
      <c r="K76" s="343">
        <f t="shared" si="59"/>
        <v>4.1221638886270284</v>
      </c>
      <c r="L76" s="343">
        <f t="shared" si="59"/>
        <v>4.1221638886270284</v>
      </c>
      <c r="M76" s="343">
        <f t="shared" si="59"/>
        <v>4.1221638886270284</v>
      </c>
      <c r="N76" s="343">
        <f t="shared" si="59"/>
        <v>4.1221638886270284</v>
      </c>
      <c r="O76" s="343">
        <f t="shared" si="59"/>
        <v>4.1221638886270284</v>
      </c>
      <c r="P76" s="343">
        <f t="shared" si="59"/>
        <v>4.1221638886270284</v>
      </c>
      <c r="Q76" s="343">
        <f t="shared" si="59"/>
        <v>4.1221638886270284</v>
      </c>
      <c r="R76" s="343">
        <f t="shared" si="59"/>
        <v>4.1221638886270284</v>
      </c>
      <c r="S76" s="343">
        <f t="shared" si="59"/>
        <v>4.1221638886270284</v>
      </c>
      <c r="T76" s="343">
        <f t="shared" si="59"/>
        <v>4.1221638886270284</v>
      </c>
      <c r="U76" s="343">
        <f t="shared" si="59"/>
        <v>4.1221638886270284</v>
      </c>
      <c r="V76" s="343">
        <f t="shared" si="59"/>
        <v>4.1221638886270284</v>
      </c>
      <c r="W76" s="343">
        <f t="shared" si="59"/>
        <v>4.1221638886270284</v>
      </c>
      <c r="X76" s="343">
        <f t="shared" si="59"/>
        <v>4.1221638886270284</v>
      </c>
      <c r="Y76" s="343">
        <f t="shared" si="59"/>
        <v>4.1221638886270284</v>
      </c>
      <c r="Z76" s="343">
        <f t="shared" si="59"/>
        <v>4.1221638886270284</v>
      </c>
      <c r="AA76" s="343">
        <f t="shared" si="59"/>
        <v>4.1221638886270284</v>
      </c>
      <c r="AB76" s="343">
        <f t="shared" si="59"/>
        <v>4.1221638886270284</v>
      </c>
      <c r="AC76" s="343">
        <f t="shared" si="59"/>
        <v>4.1221638886270284</v>
      </c>
    </row>
    <row r="77" spans="2:29">
      <c r="B77" t="str">
        <f t="shared" ref="B77:B81" si="61">B62</f>
        <v>Débitos de operações de assit. à saúde</v>
      </c>
      <c r="D77" s="23"/>
      <c r="E77" s="23"/>
      <c r="F77" s="23"/>
      <c r="G77" s="23"/>
      <c r="H77" s="24"/>
      <c r="I77" s="343">
        <f t="shared" si="60"/>
        <v>0.61957357094470644</v>
      </c>
      <c r="J77" s="343">
        <f t="shared" si="59"/>
        <v>0.61957357094470644</v>
      </c>
      <c r="K77" s="343">
        <f t="shared" si="59"/>
        <v>0.61957357094470644</v>
      </c>
      <c r="L77" s="343">
        <f t="shared" si="59"/>
        <v>0.61957357094470644</v>
      </c>
      <c r="M77" s="343">
        <f t="shared" si="59"/>
        <v>0.61957357094470644</v>
      </c>
      <c r="N77" s="343">
        <f t="shared" si="59"/>
        <v>0.61957357094470644</v>
      </c>
      <c r="O77" s="343">
        <f t="shared" si="59"/>
        <v>0.61957357094470644</v>
      </c>
      <c r="P77" s="343">
        <f t="shared" si="59"/>
        <v>0.61957357094470644</v>
      </c>
      <c r="Q77" s="343">
        <f t="shared" si="59"/>
        <v>0.61957357094470644</v>
      </c>
      <c r="R77" s="343">
        <f t="shared" si="59"/>
        <v>0.61957357094470644</v>
      </c>
      <c r="S77" s="343">
        <f t="shared" si="59"/>
        <v>0.61957357094470644</v>
      </c>
      <c r="T77" s="343">
        <f t="shared" si="59"/>
        <v>0.61957357094470644</v>
      </c>
      <c r="U77" s="343">
        <f t="shared" si="59"/>
        <v>0.61957357094470644</v>
      </c>
      <c r="V77" s="343">
        <f t="shared" si="59"/>
        <v>0.61957357094470644</v>
      </c>
      <c r="W77" s="343">
        <f t="shared" si="59"/>
        <v>0.61957357094470644</v>
      </c>
      <c r="X77" s="343">
        <f t="shared" si="59"/>
        <v>0.61957357094470644</v>
      </c>
      <c r="Y77" s="343">
        <f t="shared" si="59"/>
        <v>0.61957357094470644</v>
      </c>
      <c r="Z77" s="343">
        <f t="shared" si="59"/>
        <v>0.61957357094470644</v>
      </c>
      <c r="AA77" s="343">
        <f t="shared" si="59"/>
        <v>0.61957357094470644</v>
      </c>
      <c r="AB77" s="343">
        <f t="shared" si="59"/>
        <v>0.61957357094470644</v>
      </c>
      <c r="AC77" s="343">
        <f t="shared" si="59"/>
        <v>0.61957357094470644</v>
      </c>
    </row>
    <row r="78" spans="2:29">
      <c r="B78" t="str">
        <f t="shared" si="61"/>
        <v>Débitos de oper. assist. à saúde não rel. c/plano de saúde da op.</v>
      </c>
      <c r="D78" s="23"/>
      <c r="E78" s="23"/>
      <c r="F78" s="23"/>
      <c r="G78" s="23"/>
      <c r="H78" s="24"/>
      <c r="I78" s="343">
        <f t="shared" si="60"/>
        <v>4.9630227463640404</v>
      </c>
      <c r="J78" s="343">
        <f t="shared" si="59"/>
        <v>4.9630227463640404</v>
      </c>
      <c r="K78" s="343">
        <f t="shared" si="59"/>
        <v>4.9630227463640404</v>
      </c>
      <c r="L78" s="343">
        <f t="shared" si="59"/>
        <v>4.9630227463640404</v>
      </c>
      <c r="M78" s="343">
        <f t="shared" si="59"/>
        <v>4.9630227463640404</v>
      </c>
      <c r="N78" s="343">
        <f t="shared" si="59"/>
        <v>4.9630227463640404</v>
      </c>
      <c r="O78" s="343">
        <f t="shared" si="59"/>
        <v>4.9630227463640404</v>
      </c>
      <c r="P78" s="343">
        <f t="shared" si="59"/>
        <v>4.9630227463640404</v>
      </c>
      <c r="Q78" s="343">
        <f t="shared" si="59"/>
        <v>4.9630227463640404</v>
      </c>
      <c r="R78" s="343">
        <f t="shared" si="59"/>
        <v>4.9630227463640404</v>
      </c>
      <c r="S78" s="343">
        <f t="shared" si="59"/>
        <v>4.9630227463640404</v>
      </c>
      <c r="T78" s="343">
        <f t="shared" si="59"/>
        <v>4.9630227463640404</v>
      </c>
      <c r="U78" s="343">
        <f t="shared" si="59"/>
        <v>4.9630227463640404</v>
      </c>
      <c r="V78" s="343">
        <f t="shared" si="59"/>
        <v>4.9630227463640404</v>
      </c>
      <c r="W78" s="343">
        <f t="shared" si="59"/>
        <v>4.9630227463640404</v>
      </c>
      <c r="X78" s="343">
        <f t="shared" si="59"/>
        <v>4.9630227463640404</v>
      </c>
      <c r="Y78" s="343">
        <f t="shared" si="59"/>
        <v>4.9630227463640404</v>
      </c>
      <c r="Z78" s="343">
        <f t="shared" si="59"/>
        <v>4.9630227463640404</v>
      </c>
      <c r="AA78" s="343">
        <f t="shared" si="59"/>
        <v>4.9630227463640404</v>
      </c>
      <c r="AB78" s="343">
        <f t="shared" si="59"/>
        <v>4.9630227463640404</v>
      </c>
      <c r="AC78" s="343">
        <f t="shared" si="59"/>
        <v>4.9630227463640404</v>
      </c>
    </row>
    <row r="79" spans="2:29">
      <c r="B79" t="str">
        <f t="shared" si="61"/>
        <v>Taxes</v>
      </c>
      <c r="D79" s="23"/>
      <c r="E79" s="23"/>
      <c r="F79" s="23"/>
      <c r="G79" s="23"/>
      <c r="H79" s="24"/>
      <c r="I79" s="343">
        <f t="shared" si="60"/>
        <v>4.126201020427116</v>
      </c>
      <c r="J79" s="343">
        <f t="shared" si="59"/>
        <v>4.126201020427116</v>
      </c>
      <c r="K79" s="343">
        <f t="shared" si="59"/>
        <v>4.126201020427116</v>
      </c>
      <c r="L79" s="343">
        <f t="shared" si="59"/>
        <v>4.126201020427116</v>
      </c>
      <c r="M79" s="343">
        <f t="shared" si="59"/>
        <v>4.126201020427116</v>
      </c>
      <c r="N79" s="343">
        <f t="shared" si="59"/>
        <v>4.126201020427116</v>
      </c>
      <c r="O79" s="343">
        <f t="shared" si="59"/>
        <v>4.126201020427116</v>
      </c>
      <c r="P79" s="343">
        <f t="shared" si="59"/>
        <v>4.126201020427116</v>
      </c>
      <c r="Q79" s="343">
        <f t="shared" si="59"/>
        <v>4.126201020427116</v>
      </c>
      <c r="R79" s="343">
        <f t="shared" si="59"/>
        <v>4.126201020427116</v>
      </c>
      <c r="S79" s="343">
        <f t="shared" si="59"/>
        <v>4.126201020427116</v>
      </c>
      <c r="T79" s="343">
        <f t="shared" si="59"/>
        <v>4.126201020427116</v>
      </c>
      <c r="U79" s="343">
        <f t="shared" si="59"/>
        <v>4.126201020427116</v>
      </c>
      <c r="V79" s="343">
        <f t="shared" si="59"/>
        <v>4.126201020427116</v>
      </c>
      <c r="W79" s="343">
        <f t="shared" si="59"/>
        <v>4.126201020427116</v>
      </c>
      <c r="X79" s="343">
        <f t="shared" si="59"/>
        <v>4.126201020427116</v>
      </c>
      <c r="Y79" s="343">
        <f t="shared" si="59"/>
        <v>4.126201020427116</v>
      </c>
      <c r="Z79" s="343">
        <f t="shared" si="59"/>
        <v>4.126201020427116</v>
      </c>
      <c r="AA79" s="343">
        <f t="shared" si="59"/>
        <v>4.126201020427116</v>
      </c>
      <c r="AB79" s="343">
        <f t="shared" si="59"/>
        <v>4.126201020427116</v>
      </c>
      <c r="AC79" s="343">
        <f t="shared" si="59"/>
        <v>4.126201020427116</v>
      </c>
    </row>
    <row r="80" spans="2:29">
      <c r="B80" t="str">
        <f t="shared" si="61"/>
        <v>Provisões técnicas de operações de assist. à saúde</v>
      </c>
      <c r="D80" s="23"/>
      <c r="E80" s="23"/>
      <c r="F80" s="23"/>
      <c r="G80" s="23"/>
      <c r="H80" s="24"/>
      <c r="I80" s="343">
        <f t="shared" si="60"/>
        <v>27.487316502371989</v>
      </c>
      <c r="J80" s="343">
        <f t="shared" si="59"/>
        <v>27.487316502371989</v>
      </c>
      <c r="K80" s="343">
        <f t="shared" si="59"/>
        <v>27.487316502371989</v>
      </c>
      <c r="L80" s="343">
        <f t="shared" si="59"/>
        <v>27.487316502371989</v>
      </c>
      <c r="M80" s="343">
        <f t="shared" si="59"/>
        <v>27.487316502371989</v>
      </c>
      <c r="N80" s="343">
        <f t="shared" si="59"/>
        <v>27.487316502371989</v>
      </c>
      <c r="O80" s="343">
        <f t="shared" si="59"/>
        <v>27.487316502371989</v>
      </c>
      <c r="P80" s="343">
        <f t="shared" si="59"/>
        <v>27.487316502371989</v>
      </c>
      <c r="Q80" s="343">
        <f t="shared" si="59"/>
        <v>27.487316502371989</v>
      </c>
      <c r="R80" s="343">
        <f t="shared" si="59"/>
        <v>27.487316502371989</v>
      </c>
      <c r="S80" s="343">
        <f t="shared" si="59"/>
        <v>27.487316502371989</v>
      </c>
      <c r="T80" s="343">
        <f t="shared" si="59"/>
        <v>27.487316502371989</v>
      </c>
      <c r="U80" s="343">
        <f t="shared" si="59"/>
        <v>27.487316502371989</v>
      </c>
      <c r="V80" s="343">
        <f t="shared" si="59"/>
        <v>27.487316502371989</v>
      </c>
      <c r="W80" s="343">
        <f t="shared" si="59"/>
        <v>27.487316502371989</v>
      </c>
      <c r="X80" s="343">
        <f t="shared" si="59"/>
        <v>27.487316502371989</v>
      </c>
      <c r="Y80" s="343">
        <f t="shared" si="59"/>
        <v>27.487316502371989</v>
      </c>
      <c r="Z80" s="343">
        <f t="shared" si="59"/>
        <v>27.487316502371989</v>
      </c>
      <c r="AA80" s="343">
        <f t="shared" si="59"/>
        <v>27.487316502371989</v>
      </c>
      <c r="AB80" s="343">
        <f t="shared" si="59"/>
        <v>27.487316502371989</v>
      </c>
      <c r="AC80" s="343">
        <f t="shared" si="59"/>
        <v>27.487316502371989</v>
      </c>
    </row>
    <row r="81" spans="2:29">
      <c r="B81" t="str">
        <f t="shared" si="61"/>
        <v>Débitos diversos</v>
      </c>
      <c r="D81" s="23"/>
      <c r="E81" s="23"/>
      <c r="F81" s="23"/>
      <c r="G81" s="23"/>
      <c r="H81" s="24"/>
      <c r="I81" s="343">
        <f t="shared" si="60"/>
        <v>0</v>
      </c>
      <c r="J81" s="343">
        <f t="shared" si="59"/>
        <v>0</v>
      </c>
      <c r="K81" s="343">
        <f t="shared" si="59"/>
        <v>0</v>
      </c>
      <c r="L81" s="343">
        <f t="shared" si="59"/>
        <v>0</v>
      </c>
      <c r="M81" s="343">
        <f t="shared" si="59"/>
        <v>0</v>
      </c>
      <c r="N81" s="343">
        <f t="shared" si="59"/>
        <v>0</v>
      </c>
      <c r="O81" s="343">
        <f t="shared" si="59"/>
        <v>0</v>
      </c>
      <c r="P81" s="343">
        <f t="shared" si="59"/>
        <v>0</v>
      </c>
      <c r="Q81" s="343">
        <f t="shared" si="59"/>
        <v>0</v>
      </c>
      <c r="R81" s="343">
        <f t="shared" si="59"/>
        <v>0</v>
      </c>
      <c r="S81" s="343">
        <f t="shared" si="59"/>
        <v>0</v>
      </c>
      <c r="T81" s="343">
        <f t="shared" si="59"/>
        <v>0</v>
      </c>
      <c r="U81" s="343">
        <f t="shared" si="59"/>
        <v>0</v>
      </c>
      <c r="V81" s="343">
        <f t="shared" si="59"/>
        <v>0</v>
      </c>
      <c r="W81" s="343">
        <f t="shared" si="59"/>
        <v>0</v>
      </c>
      <c r="X81" s="343">
        <f t="shared" si="59"/>
        <v>0</v>
      </c>
      <c r="Y81" s="343">
        <f t="shared" si="59"/>
        <v>0</v>
      </c>
      <c r="Z81" s="343">
        <f t="shared" si="59"/>
        <v>0</v>
      </c>
      <c r="AA81" s="343">
        <f t="shared" si="59"/>
        <v>0</v>
      </c>
      <c r="AB81" s="343">
        <f t="shared" si="59"/>
        <v>0</v>
      </c>
      <c r="AC81" s="343">
        <f t="shared" si="59"/>
        <v>0</v>
      </c>
    </row>
    <row r="82" spans="2:29">
      <c r="B82" s="482" t="str">
        <f>+B67</f>
        <v>Empréstimos de coligadas</v>
      </c>
      <c r="D82" s="23"/>
      <c r="E82" s="23"/>
      <c r="F82" s="23"/>
      <c r="G82" s="23"/>
      <c r="H82" s="24"/>
      <c r="I82" s="343">
        <f t="shared" si="60"/>
        <v>0</v>
      </c>
      <c r="J82" s="343">
        <f t="shared" si="59"/>
        <v>0</v>
      </c>
      <c r="K82" s="343">
        <f t="shared" si="59"/>
        <v>0</v>
      </c>
      <c r="L82" s="343">
        <f t="shared" si="59"/>
        <v>0</v>
      </c>
      <c r="M82" s="343">
        <f t="shared" si="59"/>
        <v>0</v>
      </c>
      <c r="N82" s="343">
        <f t="shared" si="59"/>
        <v>0</v>
      </c>
      <c r="O82" s="343">
        <f t="shared" si="59"/>
        <v>0</v>
      </c>
      <c r="P82" s="343">
        <f t="shared" si="59"/>
        <v>0</v>
      </c>
      <c r="Q82" s="343">
        <f t="shared" si="59"/>
        <v>0</v>
      </c>
      <c r="R82" s="343">
        <f t="shared" si="59"/>
        <v>0</v>
      </c>
      <c r="S82" s="343">
        <f t="shared" si="59"/>
        <v>0</v>
      </c>
      <c r="T82" s="343">
        <f t="shared" si="59"/>
        <v>0</v>
      </c>
      <c r="U82" s="343">
        <f t="shared" si="59"/>
        <v>0</v>
      </c>
      <c r="V82" s="343">
        <f t="shared" si="59"/>
        <v>0</v>
      </c>
      <c r="W82" s="343">
        <f t="shared" si="59"/>
        <v>0</v>
      </c>
      <c r="X82" s="343">
        <f t="shared" si="59"/>
        <v>0</v>
      </c>
      <c r="Y82" s="343">
        <f t="shared" si="59"/>
        <v>0</v>
      </c>
      <c r="Z82" s="343">
        <f t="shared" si="59"/>
        <v>0</v>
      </c>
      <c r="AA82" s="343">
        <f t="shared" si="59"/>
        <v>0</v>
      </c>
      <c r="AB82" s="343">
        <f t="shared" si="59"/>
        <v>0</v>
      </c>
      <c r="AC82" s="343">
        <f t="shared" si="59"/>
        <v>0</v>
      </c>
    </row>
    <row r="83" spans="2:29">
      <c r="B83" s="482" t="str">
        <f>+B27</f>
        <v>Other Non-Op. Cur. Liabilities</v>
      </c>
      <c r="D83" s="23"/>
      <c r="E83" s="23"/>
      <c r="F83" s="23"/>
      <c r="G83" s="23"/>
      <c r="H83" s="24"/>
      <c r="I83" s="343">
        <f>I68</f>
        <v>0</v>
      </c>
      <c r="J83" s="343">
        <f t="shared" ref="J83:AC83" si="62">J68</f>
        <v>0</v>
      </c>
      <c r="K83" s="343">
        <f t="shared" si="62"/>
        <v>0</v>
      </c>
      <c r="L83" s="343">
        <f t="shared" si="62"/>
        <v>0</v>
      </c>
      <c r="M83" s="343">
        <f t="shared" si="62"/>
        <v>0</v>
      </c>
      <c r="N83" s="343">
        <f t="shared" si="62"/>
        <v>0</v>
      </c>
      <c r="O83" s="343">
        <f t="shared" si="62"/>
        <v>0</v>
      </c>
      <c r="P83" s="343">
        <f t="shared" si="62"/>
        <v>0</v>
      </c>
      <c r="Q83" s="343">
        <f t="shared" si="62"/>
        <v>0</v>
      </c>
      <c r="R83" s="343">
        <f t="shared" si="62"/>
        <v>0</v>
      </c>
      <c r="S83" s="343">
        <f t="shared" si="62"/>
        <v>0</v>
      </c>
      <c r="T83" s="343">
        <f t="shared" si="62"/>
        <v>0</v>
      </c>
      <c r="U83" s="343">
        <f t="shared" si="62"/>
        <v>0</v>
      </c>
      <c r="V83" s="343">
        <f t="shared" si="62"/>
        <v>0</v>
      </c>
      <c r="W83" s="343">
        <f t="shared" si="62"/>
        <v>0</v>
      </c>
      <c r="X83" s="343">
        <f t="shared" si="62"/>
        <v>0</v>
      </c>
      <c r="Y83" s="343">
        <f t="shared" si="62"/>
        <v>0</v>
      </c>
      <c r="Z83" s="343">
        <f t="shared" si="62"/>
        <v>0</v>
      </c>
      <c r="AA83" s="343">
        <f t="shared" si="62"/>
        <v>0</v>
      </c>
      <c r="AB83" s="343">
        <f t="shared" si="62"/>
        <v>0</v>
      </c>
      <c r="AC83" s="343">
        <f t="shared" si="62"/>
        <v>0</v>
      </c>
    </row>
    <row r="84" spans="2:29">
      <c r="D84" s="23"/>
      <c r="E84" s="23"/>
      <c r="F84" s="23"/>
      <c r="G84" s="23"/>
      <c r="H84" s="24"/>
    </row>
    <row r="85" spans="2:29">
      <c r="B85" s="2" t="str">
        <f>B4</f>
        <v>Stress Case</v>
      </c>
      <c r="D85" s="23"/>
      <c r="E85" s="23"/>
      <c r="F85" s="23"/>
      <c r="G85" s="23"/>
      <c r="H85" s="24"/>
    </row>
    <row r="86" spans="2:29">
      <c r="B86" t="str">
        <f t="shared" ref="B86:B91" si="63">B71</f>
        <v>Aplicações de liquidez imediata e valores em trânsito</v>
      </c>
      <c r="D86" s="23"/>
      <c r="E86" s="23"/>
      <c r="G86" s="23"/>
      <c r="H86" s="24"/>
      <c r="I86" s="343">
        <f>I71</f>
        <v>0</v>
      </c>
      <c r="J86" s="343">
        <f t="shared" ref="J86:AC98" si="64">J71</f>
        <v>0</v>
      </c>
      <c r="K86" s="343">
        <f t="shared" si="64"/>
        <v>0</v>
      </c>
      <c r="L86" s="343">
        <f t="shared" si="64"/>
        <v>0</v>
      </c>
      <c r="M86" s="343">
        <f t="shared" si="64"/>
        <v>0</v>
      </c>
      <c r="N86" s="343">
        <f t="shared" si="64"/>
        <v>0</v>
      </c>
      <c r="O86" s="343">
        <f t="shared" si="64"/>
        <v>0</v>
      </c>
      <c r="P86" s="343">
        <f t="shared" si="64"/>
        <v>0</v>
      </c>
      <c r="Q86" s="343">
        <f t="shared" si="64"/>
        <v>0</v>
      </c>
      <c r="R86" s="343">
        <f t="shared" si="64"/>
        <v>0</v>
      </c>
      <c r="S86" s="343">
        <f t="shared" si="64"/>
        <v>0</v>
      </c>
      <c r="T86" s="343">
        <f t="shared" si="64"/>
        <v>0</v>
      </c>
      <c r="U86" s="343">
        <f t="shared" si="64"/>
        <v>0</v>
      </c>
      <c r="V86" s="343">
        <f t="shared" si="64"/>
        <v>0</v>
      </c>
      <c r="W86" s="343">
        <f t="shared" si="64"/>
        <v>0</v>
      </c>
      <c r="X86" s="343">
        <f t="shared" si="64"/>
        <v>0</v>
      </c>
      <c r="Y86" s="343">
        <f t="shared" si="64"/>
        <v>0</v>
      </c>
      <c r="Z86" s="343">
        <f t="shared" si="64"/>
        <v>0</v>
      </c>
      <c r="AA86" s="343">
        <f t="shared" si="64"/>
        <v>0</v>
      </c>
      <c r="AB86" s="343">
        <f t="shared" si="64"/>
        <v>0</v>
      </c>
      <c r="AC86" s="343">
        <f t="shared" si="64"/>
        <v>0</v>
      </c>
    </row>
    <row r="87" spans="2:29">
      <c r="B87" t="str">
        <f t="shared" si="63"/>
        <v>Reserva Técnica</v>
      </c>
      <c r="D87" s="23"/>
      <c r="E87" s="23"/>
      <c r="G87" s="23"/>
      <c r="H87" s="24"/>
      <c r="I87" s="343">
        <f t="shared" ref="I87:X98" si="65">I72</f>
        <v>21.737810017203365</v>
      </c>
      <c r="J87" s="343">
        <f t="shared" si="65"/>
        <v>21.737810017203365</v>
      </c>
      <c r="K87" s="343">
        <f t="shared" si="65"/>
        <v>21.737810017203365</v>
      </c>
      <c r="L87" s="343">
        <f t="shared" si="65"/>
        <v>21.737810017203365</v>
      </c>
      <c r="M87" s="343">
        <f t="shared" si="65"/>
        <v>21.737810017203365</v>
      </c>
      <c r="N87" s="343">
        <f t="shared" si="65"/>
        <v>21.737810017203365</v>
      </c>
      <c r="O87" s="343">
        <f t="shared" si="65"/>
        <v>21.737810017203365</v>
      </c>
      <c r="P87" s="343">
        <f t="shared" si="65"/>
        <v>21.737810017203365</v>
      </c>
      <c r="Q87" s="343">
        <f t="shared" si="65"/>
        <v>21.737810017203365</v>
      </c>
      <c r="R87" s="343">
        <f t="shared" si="65"/>
        <v>21.737810017203365</v>
      </c>
      <c r="S87" s="343">
        <f t="shared" si="65"/>
        <v>21.737810017203365</v>
      </c>
      <c r="T87" s="343">
        <f t="shared" si="65"/>
        <v>21.737810017203365</v>
      </c>
      <c r="U87" s="343">
        <f t="shared" si="65"/>
        <v>21.737810017203365</v>
      </c>
      <c r="V87" s="343">
        <f t="shared" si="65"/>
        <v>21.737810017203365</v>
      </c>
      <c r="W87" s="343">
        <f t="shared" si="65"/>
        <v>21.737810017203365</v>
      </c>
      <c r="X87" s="343">
        <f t="shared" si="65"/>
        <v>21.737810017203365</v>
      </c>
      <c r="Y87" s="343">
        <f t="shared" si="64"/>
        <v>21.737810017203365</v>
      </c>
      <c r="Z87" s="343">
        <f t="shared" si="64"/>
        <v>21.737810017203365</v>
      </c>
      <c r="AA87" s="343">
        <f t="shared" si="64"/>
        <v>21.737810017203365</v>
      </c>
      <c r="AB87" s="343">
        <f t="shared" si="64"/>
        <v>21.737810017203365</v>
      </c>
      <c r="AC87" s="343">
        <f t="shared" si="64"/>
        <v>21.737810017203365</v>
      </c>
    </row>
    <row r="88" spans="2:29">
      <c r="B88" t="str">
        <f t="shared" si="63"/>
        <v>Créd. operações pl. de assist. à saúde</v>
      </c>
      <c r="D88" s="23"/>
      <c r="E88" s="23"/>
      <c r="F88" s="23"/>
      <c r="G88" s="23"/>
      <c r="H88" s="24"/>
      <c r="I88" s="343">
        <f t="shared" si="65"/>
        <v>13.40277293481609</v>
      </c>
      <c r="J88" s="343">
        <f t="shared" si="64"/>
        <v>13.40277293481609</v>
      </c>
      <c r="K88" s="343">
        <f t="shared" si="64"/>
        <v>13.40277293481609</v>
      </c>
      <c r="L88" s="343">
        <f t="shared" si="64"/>
        <v>13.40277293481609</v>
      </c>
      <c r="M88" s="343">
        <f t="shared" si="64"/>
        <v>13.40277293481609</v>
      </c>
      <c r="N88" s="343">
        <f t="shared" si="64"/>
        <v>13.40277293481609</v>
      </c>
      <c r="O88" s="343">
        <f t="shared" si="64"/>
        <v>13.40277293481609</v>
      </c>
      <c r="P88" s="343">
        <f t="shared" si="64"/>
        <v>13.40277293481609</v>
      </c>
      <c r="Q88" s="343">
        <f t="shared" si="64"/>
        <v>13.40277293481609</v>
      </c>
      <c r="R88" s="343">
        <f t="shared" si="64"/>
        <v>13.40277293481609</v>
      </c>
      <c r="S88" s="343">
        <f t="shared" si="64"/>
        <v>13.40277293481609</v>
      </c>
      <c r="T88" s="343">
        <f t="shared" si="64"/>
        <v>13.40277293481609</v>
      </c>
      <c r="U88" s="343">
        <f t="shared" si="64"/>
        <v>13.40277293481609</v>
      </c>
      <c r="V88" s="343">
        <f t="shared" si="64"/>
        <v>13.40277293481609</v>
      </c>
      <c r="W88" s="343">
        <f t="shared" si="64"/>
        <v>13.40277293481609</v>
      </c>
      <c r="X88" s="343">
        <f t="shared" si="64"/>
        <v>13.40277293481609</v>
      </c>
      <c r="Y88" s="343">
        <f t="shared" si="64"/>
        <v>13.40277293481609</v>
      </c>
      <c r="Z88" s="343">
        <f t="shared" si="64"/>
        <v>13.40277293481609</v>
      </c>
      <c r="AA88" s="343">
        <f t="shared" si="64"/>
        <v>13.40277293481609</v>
      </c>
      <c r="AB88" s="343">
        <f t="shared" si="64"/>
        <v>13.40277293481609</v>
      </c>
      <c r="AC88" s="343">
        <f t="shared" si="64"/>
        <v>13.40277293481609</v>
      </c>
    </row>
    <row r="89" spans="2:29">
      <c r="B89" t="str">
        <f t="shared" si="63"/>
        <v>Despesas de comercialização diferidas</v>
      </c>
      <c r="D89" s="23"/>
      <c r="E89" s="23"/>
      <c r="F89" s="23"/>
      <c r="G89" s="23"/>
      <c r="H89" s="24"/>
      <c r="I89" s="343">
        <f t="shared" si="65"/>
        <v>1.1960002957759757</v>
      </c>
      <c r="J89" s="343">
        <f t="shared" si="64"/>
        <v>1.1960002957759757</v>
      </c>
      <c r="K89" s="343">
        <f t="shared" si="64"/>
        <v>1.1960002957759757</v>
      </c>
      <c r="L89" s="343">
        <f t="shared" si="64"/>
        <v>1.1960002957759757</v>
      </c>
      <c r="M89" s="343">
        <f t="shared" si="64"/>
        <v>1.1960002957759757</v>
      </c>
      <c r="N89" s="343">
        <f t="shared" si="64"/>
        <v>1.1960002957759757</v>
      </c>
      <c r="O89" s="343">
        <f t="shared" si="64"/>
        <v>1.1960002957759757</v>
      </c>
      <c r="P89" s="343">
        <f t="shared" si="64"/>
        <v>1.1960002957759757</v>
      </c>
      <c r="Q89" s="343">
        <f t="shared" si="64"/>
        <v>1.1960002957759757</v>
      </c>
      <c r="R89" s="343">
        <f t="shared" si="64"/>
        <v>1.1960002957759757</v>
      </c>
      <c r="S89" s="343">
        <f t="shared" si="64"/>
        <v>1.1960002957759757</v>
      </c>
      <c r="T89" s="343">
        <f t="shared" si="64"/>
        <v>1.1960002957759757</v>
      </c>
      <c r="U89" s="343">
        <f t="shared" si="64"/>
        <v>1.1960002957759757</v>
      </c>
      <c r="V89" s="343">
        <f t="shared" si="64"/>
        <v>1.1960002957759757</v>
      </c>
      <c r="W89" s="343">
        <f t="shared" si="64"/>
        <v>1.1960002957759757</v>
      </c>
      <c r="X89" s="343">
        <f t="shared" si="64"/>
        <v>1.1960002957759757</v>
      </c>
      <c r="Y89" s="343">
        <f t="shared" si="64"/>
        <v>1.1960002957759757</v>
      </c>
      <c r="Z89" s="343">
        <f t="shared" si="64"/>
        <v>1.1960002957759757</v>
      </c>
      <c r="AA89" s="343">
        <f t="shared" si="64"/>
        <v>1.1960002957759757</v>
      </c>
      <c r="AB89" s="343">
        <f t="shared" si="64"/>
        <v>1.1960002957759757</v>
      </c>
      <c r="AC89" s="343">
        <f t="shared" si="64"/>
        <v>1.1960002957759757</v>
      </c>
    </row>
    <row r="90" spans="2:29">
      <c r="B90" t="str">
        <f t="shared" si="63"/>
        <v>Títulos e créditos a receber</v>
      </c>
      <c r="D90" s="23"/>
      <c r="E90" s="23"/>
      <c r="F90" s="23"/>
      <c r="G90" s="23"/>
      <c r="H90" s="24"/>
      <c r="I90" s="343">
        <f t="shared" si="65"/>
        <v>6.5950332765494855</v>
      </c>
      <c r="J90" s="343">
        <f t="shared" si="64"/>
        <v>6.5950332765494855</v>
      </c>
      <c r="K90" s="343">
        <f t="shared" si="64"/>
        <v>6.5950332765494855</v>
      </c>
      <c r="L90" s="343">
        <f t="shared" si="64"/>
        <v>6.5950332765494855</v>
      </c>
      <c r="M90" s="343">
        <f t="shared" si="64"/>
        <v>6.5950332765494855</v>
      </c>
      <c r="N90" s="343">
        <f t="shared" si="64"/>
        <v>6.5950332765494855</v>
      </c>
      <c r="O90" s="343">
        <f t="shared" si="64"/>
        <v>6.5950332765494855</v>
      </c>
      <c r="P90" s="343">
        <f t="shared" si="64"/>
        <v>6.5950332765494855</v>
      </c>
      <c r="Q90" s="343">
        <f t="shared" si="64"/>
        <v>6.5950332765494855</v>
      </c>
      <c r="R90" s="343">
        <f t="shared" si="64"/>
        <v>6.5950332765494855</v>
      </c>
      <c r="S90" s="343">
        <f t="shared" si="64"/>
        <v>6.5950332765494855</v>
      </c>
      <c r="T90" s="343">
        <f t="shared" si="64"/>
        <v>6.5950332765494855</v>
      </c>
      <c r="U90" s="343">
        <f t="shared" si="64"/>
        <v>6.5950332765494855</v>
      </c>
      <c r="V90" s="343">
        <f t="shared" si="64"/>
        <v>6.5950332765494855</v>
      </c>
      <c r="W90" s="343">
        <f t="shared" si="64"/>
        <v>6.5950332765494855</v>
      </c>
      <c r="X90" s="343">
        <f t="shared" si="64"/>
        <v>6.5950332765494855</v>
      </c>
      <c r="Y90" s="343">
        <f t="shared" si="64"/>
        <v>6.5950332765494855</v>
      </c>
      <c r="Z90" s="343">
        <f t="shared" si="64"/>
        <v>6.5950332765494855</v>
      </c>
      <c r="AA90" s="343">
        <f t="shared" si="64"/>
        <v>6.5950332765494855</v>
      </c>
      <c r="AB90" s="343">
        <f t="shared" si="64"/>
        <v>6.5950332765494855</v>
      </c>
      <c r="AC90" s="343">
        <f t="shared" si="64"/>
        <v>6.5950332765494855</v>
      </c>
    </row>
    <row r="91" spans="2:29">
      <c r="B91" t="str">
        <f t="shared" si="63"/>
        <v>Outros valores e bens</v>
      </c>
      <c r="D91" s="23"/>
      <c r="E91" s="23"/>
      <c r="F91" s="23"/>
      <c r="G91" s="23"/>
      <c r="H91" s="24"/>
      <c r="I91" s="343">
        <f t="shared" si="65"/>
        <v>4.1221638886270284</v>
      </c>
      <c r="J91" s="343">
        <f t="shared" si="64"/>
        <v>4.1221638886270284</v>
      </c>
      <c r="K91" s="343">
        <f t="shared" si="64"/>
        <v>4.1221638886270284</v>
      </c>
      <c r="L91" s="343">
        <f t="shared" si="64"/>
        <v>4.1221638886270284</v>
      </c>
      <c r="M91" s="343">
        <f t="shared" si="64"/>
        <v>4.1221638886270284</v>
      </c>
      <c r="N91" s="343">
        <f t="shared" si="64"/>
        <v>4.1221638886270284</v>
      </c>
      <c r="O91" s="343">
        <f t="shared" si="64"/>
        <v>4.1221638886270284</v>
      </c>
      <c r="P91" s="343">
        <f t="shared" si="64"/>
        <v>4.1221638886270284</v>
      </c>
      <c r="Q91" s="343">
        <f t="shared" si="64"/>
        <v>4.1221638886270284</v>
      </c>
      <c r="R91" s="343">
        <f t="shared" si="64"/>
        <v>4.1221638886270284</v>
      </c>
      <c r="S91" s="343">
        <f t="shared" si="64"/>
        <v>4.1221638886270284</v>
      </c>
      <c r="T91" s="343">
        <f t="shared" si="64"/>
        <v>4.1221638886270284</v>
      </c>
      <c r="U91" s="343">
        <f t="shared" si="64"/>
        <v>4.1221638886270284</v>
      </c>
      <c r="V91" s="343">
        <f t="shared" si="64"/>
        <v>4.1221638886270284</v>
      </c>
      <c r="W91" s="343">
        <f t="shared" si="64"/>
        <v>4.1221638886270284</v>
      </c>
      <c r="X91" s="343">
        <f t="shared" si="64"/>
        <v>4.1221638886270284</v>
      </c>
      <c r="Y91" s="343">
        <f t="shared" si="64"/>
        <v>4.1221638886270284</v>
      </c>
      <c r="Z91" s="343">
        <f t="shared" si="64"/>
        <v>4.1221638886270284</v>
      </c>
      <c r="AA91" s="343">
        <f t="shared" si="64"/>
        <v>4.1221638886270284</v>
      </c>
      <c r="AB91" s="343">
        <f t="shared" si="64"/>
        <v>4.1221638886270284</v>
      </c>
      <c r="AC91" s="343">
        <f t="shared" si="64"/>
        <v>4.1221638886270284</v>
      </c>
    </row>
    <row r="92" spans="2:29">
      <c r="B92" t="str">
        <f t="shared" ref="B92:B96" si="66">B77</f>
        <v>Débitos de operações de assit. à saúde</v>
      </c>
      <c r="D92" s="23"/>
      <c r="E92" s="23"/>
      <c r="F92" s="23"/>
      <c r="G92" s="23"/>
      <c r="H92" s="24"/>
      <c r="I92" s="343">
        <f t="shared" si="65"/>
        <v>0.61957357094470644</v>
      </c>
      <c r="J92" s="343">
        <f t="shared" si="64"/>
        <v>0.61957357094470644</v>
      </c>
      <c r="K92" s="343">
        <f t="shared" si="64"/>
        <v>0.61957357094470644</v>
      </c>
      <c r="L92" s="343">
        <f t="shared" si="64"/>
        <v>0.61957357094470644</v>
      </c>
      <c r="M92" s="343">
        <f t="shared" si="64"/>
        <v>0.61957357094470644</v>
      </c>
      <c r="N92" s="343">
        <f t="shared" si="64"/>
        <v>0.61957357094470644</v>
      </c>
      <c r="O92" s="343">
        <f t="shared" si="64"/>
        <v>0.61957357094470644</v>
      </c>
      <c r="P92" s="343">
        <f t="shared" si="64"/>
        <v>0.61957357094470644</v>
      </c>
      <c r="Q92" s="343">
        <f t="shared" si="64"/>
        <v>0.61957357094470644</v>
      </c>
      <c r="R92" s="343">
        <f t="shared" si="64"/>
        <v>0.61957357094470644</v>
      </c>
      <c r="S92" s="343">
        <f t="shared" si="64"/>
        <v>0.61957357094470644</v>
      </c>
      <c r="T92" s="343">
        <f t="shared" si="64"/>
        <v>0.61957357094470644</v>
      </c>
      <c r="U92" s="343">
        <f t="shared" si="64"/>
        <v>0.61957357094470644</v>
      </c>
      <c r="V92" s="343">
        <f t="shared" si="64"/>
        <v>0.61957357094470644</v>
      </c>
      <c r="W92" s="343">
        <f t="shared" si="64"/>
        <v>0.61957357094470644</v>
      </c>
      <c r="X92" s="343">
        <f t="shared" si="64"/>
        <v>0.61957357094470644</v>
      </c>
      <c r="Y92" s="343">
        <f t="shared" si="64"/>
        <v>0.61957357094470644</v>
      </c>
      <c r="Z92" s="343">
        <f t="shared" si="64"/>
        <v>0.61957357094470644</v>
      </c>
      <c r="AA92" s="343">
        <f t="shared" si="64"/>
        <v>0.61957357094470644</v>
      </c>
      <c r="AB92" s="343">
        <f t="shared" si="64"/>
        <v>0.61957357094470644</v>
      </c>
      <c r="AC92" s="343">
        <f t="shared" si="64"/>
        <v>0.61957357094470644</v>
      </c>
    </row>
    <row r="93" spans="2:29">
      <c r="B93" t="str">
        <f t="shared" si="66"/>
        <v>Débitos de oper. assist. à saúde não rel. c/plano de saúde da op.</v>
      </c>
      <c r="D93" s="23"/>
      <c r="E93" s="23"/>
      <c r="F93" s="23"/>
      <c r="G93" s="23"/>
      <c r="H93" s="24"/>
      <c r="I93" s="343">
        <f t="shared" si="65"/>
        <v>4.9630227463640404</v>
      </c>
      <c r="J93" s="343">
        <f t="shared" si="64"/>
        <v>4.9630227463640404</v>
      </c>
      <c r="K93" s="343">
        <f t="shared" si="64"/>
        <v>4.9630227463640404</v>
      </c>
      <c r="L93" s="343">
        <f t="shared" si="64"/>
        <v>4.9630227463640404</v>
      </c>
      <c r="M93" s="343">
        <f t="shared" si="64"/>
        <v>4.9630227463640404</v>
      </c>
      <c r="N93" s="343">
        <f t="shared" si="64"/>
        <v>4.9630227463640404</v>
      </c>
      <c r="O93" s="343">
        <f t="shared" si="64"/>
        <v>4.9630227463640404</v>
      </c>
      <c r="P93" s="343">
        <f t="shared" si="64"/>
        <v>4.9630227463640404</v>
      </c>
      <c r="Q93" s="343">
        <f t="shared" si="64"/>
        <v>4.9630227463640404</v>
      </c>
      <c r="R93" s="343">
        <f t="shared" si="64"/>
        <v>4.9630227463640404</v>
      </c>
      <c r="S93" s="343">
        <f t="shared" si="64"/>
        <v>4.9630227463640404</v>
      </c>
      <c r="T93" s="343">
        <f t="shared" si="64"/>
        <v>4.9630227463640404</v>
      </c>
      <c r="U93" s="343">
        <f t="shared" si="64"/>
        <v>4.9630227463640404</v>
      </c>
      <c r="V93" s="343">
        <f t="shared" si="64"/>
        <v>4.9630227463640404</v>
      </c>
      <c r="W93" s="343">
        <f t="shared" si="64"/>
        <v>4.9630227463640404</v>
      </c>
      <c r="X93" s="343">
        <f t="shared" si="64"/>
        <v>4.9630227463640404</v>
      </c>
      <c r="Y93" s="343">
        <f t="shared" si="64"/>
        <v>4.9630227463640404</v>
      </c>
      <c r="Z93" s="343">
        <f t="shared" si="64"/>
        <v>4.9630227463640404</v>
      </c>
      <c r="AA93" s="343">
        <f t="shared" si="64"/>
        <v>4.9630227463640404</v>
      </c>
      <c r="AB93" s="343">
        <f t="shared" si="64"/>
        <v>4.9630227463640404</v>
      </c>
      <c r="AC93" s="343">
        <f t="shared" si="64"/>
        <v>4.9630227463640404</v>
      </c>
    </row>
    <row r="94" spans="2:29">
      <c r="B94" t="str">
        <f t="shared" si="66"/>
        <v>Taxes</v>
      </c>
      <c r="D94" s="23"/>
      <c r="E94" s="23"/>
      <c r="F94" s="23"/>
      <c r="G94" s="23"/>
      <c r="H94" s="24"/>
      <c r="I94" s="343">
        <f t="shared" si="65"/>
        <v>4.126201020427116</v>
      </c>
      <c r="J94" s="343">
        <f t="shared" si="64"/>
        <v>4.126201020427116</v>
      </c>
      <c r="K94" s="343">
        <f t="shared" si="64"/>
        <v>4.126201020427116</v>
      </c>
      <c r="L94" s="343">
        <f t="shared" si="64"/>
        <v>4.126201020427116</v>
      </c>
      <c r="M94" s="343">
        <f t="shared" si="64"/>
        <v>4.126201020427116</v>
      </c>
      <c r="N94" s="343">
        <f t="shared" si="64"/>
        <v>4.126201020427116</v>
      </c>
      <c r="O94" s="343">
        <f t="shared" si="64"/>
        <v>4.126201020427116</v>
      </c>
      <c r="P94" s="343">
        <f t="shared" si="64"/>
        <v>4.126201020427116</v>
      </c>
      <c r="Q94" s="343">
        <f t="shared" si="64"/>
        <v>4.126201020427116</v>
      </c>
      <c r="R94" s="343">
        <f t="shared" si="64"/>
        <v>4.126201020427116</v>
      </c>
      <c r="S94" s="343">
        <f t="shared" si="64"/>
        <v>4.126201020427116</v>
      </c>
      <c r="T94" s="343">
        <f t="shared" si="64"/>
        <v>4.126201020427116</v>
      </c>
      <c r="U94" s="343">
        <f t="shared" si="64"/>
        <v>4.126201020427116</v>
      </c>
      <c r="V94" s="343">
        <f t="shared" si="64"/>
        <v>4.126201020427116</v>
      </c>
      <c r="W94" s="343">
        <f t="shared" si="64"/>
        <v>4.126201020427116</v>
      </c>
      <c r="X94" s="343">
        <f t="shared" si="64"/>
        <v>4.126201020427116</v>
      </c>
      <c r="Y94" s="343">
        <f t="shared" si="64"/>
        <v>4.126201020427116</v>
      </c>
      <c r="Z94" s="343">
        <f t="shared" si="64"/>
        <v>4.126201020427116</v>
      </c>
      <c r="AA94" s="343">
        <f t="shared" si="64"/>
        <v>4.126201020427116</v>
      </c>
      <c r="AB94" s="343">
        <f t="shared" si="64"/>
        <v>4.126201020427116</v>
      </c>
      <c r="AC94" s="343">
        <f t="shared" si="64"/>
        <v>4.126201020427116</v>
      </c>
    </row>
    <row r="95" spans="2:29">
      <c r="B95" t="str">
        <f t="shared" si="66"/>
        <v>Provisões técnicas de operações de assist. à saúde</v>
      </c>
      <c r="D95" s="23"/>
      <c r="E95" s="23"/>
      <c r="F95" s="23"/>
      <c r="G95" s="23"/>
      <c r="H95" s="24"/>
      <c r="I95" s="343">
        <f t="shared" si="65"/>
        <v>27.487316502371989</v>
      </c>
      <c r="J95" s="343">
        <f t="shared" si="64"/>
        <v>27.487316502371989</v>
      </c>
      <c r="K95" s="343">
        <f t="shared" si="64"/>
        <v>27.487316502371989</v>
      </c>
      <c r="L95" s="343">
        <f t="shared" si="64"/>
        <v>27.487316502371989</v>
      </c>
      <c r="M95" s="343">
        <f t="shared" si="64"/>
        <v>27.487316502371989</v>
      </c>
      <c r="N95" s="343">
        <f t="shared" si="64"/>
        <v>27.487316502371989</v>
      </c>
      <c r="O95" s="343">
        <f t="shared" si="64"/>
        <v>27.487316502371989</v>
      </c>
      <c r="P95" s="343">
        <f t="shared" si="64"/>
        <v>27.487316502371989</v>
      </c>
      <c r="Q95" s="343">
        <f t="shared" si="64"/>
        <v>27.487316502371989</v>
      </c>
      <c r="R95" s="343">
        <f t="shared" si="64"/>
        <v>27.487316502371989</v>
      </c>
      <c r="S95" s="343">
        <f t="shared" si="64"/>
        <v>27.487316502371989</v>
      </c>
      <c r="T95" s="343">
        <f t="shared" si="64"/>
        <v>27.487316502371989</v>
      </c>
      <c r="U95" s="343">
        <f t="shared" si="64"/>
        <v>27.487316502371989</v>
      </c>
      <c r="V95" s="343">
        <f t="shared" si="64"/>
        <v>27.487316502371989</v>
      </c>
      <c r="W95" s="343">
        <f t="shared" si="64"/>
        <v>27.487316502371989</v>
      </c>
      <c r="X95" s="343">
        <f t="shared" si="64"/>
        <v>27.487316502371989</v>
      </c>
      <c r="Y95" s="343">
        <f t="shared" si="64"/>
        <v>27.487316502371989</v>
      </c>
      <c r="Z95" s="343">
        <f t="shared" si="64"/>
        <v>27.487316502371989</v>
      </c>
      <c r="AA95" s="343">
        <f t="shared" si="64"/>
        <v>27.487316502371989</v>
      </c>
      <c r="AB95" s="343">
        <f t="shared" si="64"/>
        <v>27.487316502371989</v>
      </c>
      <c r="AC95" s="343">
        <f t="shared" si="64"/>
        <v>27.487316502371989</v>
      </c>
    </row>
    <row r="96" spans="2:29">
      <c r="B96" t="str">
        <f t="shared" si="66"/>
        <v>Débitos diversos</v>
      </c>
      <c r="D96" s="23"/>
      <c r="E96" s="23"/>
      <c r="F96" s="23"/>
      <c r="G96" s="23"/>
      <c r="H96" s="24"/>
      <c r="I96" s="343">
        <f t="shared" si="65"/>
        <v>0</v>
      </c>
      <c r="J96" s="343">
        <f t="shared" si="64"/>
        <v>0</v>
      </c>
      <c r="K96" s="343">
        <f t="shared" si="64"/>
        <v>0</v>
      </c>
      <c r="L96" s="343">
        <f t="shared" si="64"/>
        <v>0</v>
      </c>
      <c r="M96" s="343">
        <f t="shared" si="64"/>
        <v>0</v>
      </c>
      <c r="N96" s="343">
        <f t="shared" si="64"/>
        <v>0</v>
      </c>
      <c r="O96" s="343">
        <f t="shared" si="64"/>
        <v>0</v>
      </c>
      <c r="P96" s="343">
        <f t="shared" si="64"/>
        <v>0</v>
      </c>
      <c r="Q96" s="343">
        <f t="shared" si="64"/>
        <v>0</v>
      </c>
      <c r="R96" s="343">
        <f t="shared" si="64"/>
        <v>0</v>
      </c>
      <c r="S96" s="343">
        <f t="shared" si="64"/>
        <v>0</v>
      </c>
      <c r="T96" s="343">
        <f t="shared" si="64"/>
        <v>0</v>
      </c>
      <c r="U96" s="343">
        <f t="shared" si="64"/>
        <v>0</v>
      </c>
      <c r="V96" s="343">
        <f t="shared" si="64"/>
        <v>0</v>
      </c>
      <c r="W96" s="343">
        <f t="shared" si="64"/>
        <v>0</v>
      </c>
      <c r="X96" s="343">
        <f t="shared" si="64"/>
        <v>0</v>
      </c>
      <c r="Y96" s="343">
        <f t="shared" si="64"/>
        <v>0</v>
      </c>
      <c r="Z96" s="343">
        <f t="shared" si="64"/>
        <v>0</v>
      </c>
      <c r="AA96" s="343">
        <f t="shared" si="64"/>
        <v>0</v>
      </c>
      <c r="AB96" s="343">
        <f t="shared" si="64"/>
        <v>0</v>
      </c>
      <c r="AC96" s="343">
        <f t="shared" si="64"/>
        <v>0</v>
      </c>
    </row>
    <row r="97" spans="2:29">
      <c r="B97" s="482" t="str">
        <f>+B82</f>
        <v>Empréstimos de coligadas</v>
      </c>
      <c r="D97" s="23"/>
      <c r="E97" s="23"/>
      <c r="F97" s="23"/>
      <c r="G97" s="23"/>
      <c r="H97" s="6"/>
      <c r="I97" s="343">
        <f t="shared" si="65"/>
        <v>0</v>
      </c>
      <c r="J97" s="343">
        <f t="shared" si="64"/>
        <v>0</v>
      </c>
      <c r="K97" s="343">
        <f t="shared" si="64"/>
        <v>0</v>
      </c>
      <c r="L97" s="343">
        <f t="shared" si="64"/>
        <v>0</v>
      </c>
      <c r="M97" s="343">
        <f t="shared" si="64"/>
        <v>0</v>
      </c>
      <c r="N97" s="343">
        <f t="shared" si="64"/>
        <v>0</v>
      </c>
      <c r="O97" s="343">
        <f t="shared" si="64"/>
        <v>0</v>
      </c>
      <c r="P97" s="343">
        <f t="shared" si="64"/>
        <v>0</v>
      </c>
      <c r="Q97" s="343">
        <f t="shared" si="64"/>
        <v>0</v>
      </c>
      <c r="R97" s="343">
        <f t="shared" si="64"/>
        <v>0</v>
      </c>
      <c r="S97" s="343">
        <f t="shared" si="64"/>
        <v>0</v>
      </c>
      <c r="T97" s="343">
        <f t="shared" si="64"/>
        <v>0</v>
      </c>
      <c r="U97" s="343">
        <f t="shared" si="64"/>
        <v>0</v>
      </c>
      <c r="V97" s="343">
        <f t="shared" si="64"/>
        <v>0</v>
      </c>
      <c r="W97" s="343">
        <f t="shared" si="64"/>
        <v>0</v>
      </c>
      <c r="X97" s="343">
        <f t="shared" si="64"/>
        <v>0</v>
      </c>
      <c r="Y97" s="343">
        <f t="shared" si="64"/>
        <v>0</v>
      </c>
      <c r="Z97" s="343">
        <f t="shared" si="64"/>
        <v>0</v>
      </c>
      <c r="AA97" s="343">
        <f t="shared" si="64"/>
        <v>0</v>
      </c>
      <c r="AB97" s="343">
        <f t="shared" si="64"/>
        <v>0</v>
      </c>
      <c r="AC97" s="343">
        <f t="shared" si="64"/>
        <v>0</v>
      </c>
    </row>
    <row r="98" spans="2:29">
      <c r="B98" s="482" t="str">
        <f>+B27</f>
        <v>Other Non-Op. Cur. Liabilities</v>
      </c>
      <c r="D98" s="23"/>
      <c r="E98" s="23"/>
      <c r="F98" s="23"/>
      <c r="G98" s="23"/>
      <c r="H98" s="6"/>
      <c r="I98" s="343">
        <f t="shared" si="65"/>
        <v>0</v>
      </c>
      <c r="J98" s="343">
        <f t="shared" si="64"/>
        <v>0</v>
      </c>
      <c r="K98" s="343">
        <f t="shared" si="64"/>
        <v>0</v>
      </c>
      <c r="L98" s="343">
        <f t="shared" si="64"/>
        <v>0</v>
      </c>
      <c r="M98" s="343">
        <f t="shared" si="64"/>
        <v>0</v>
      </c>
      <c r="N98" s="343">
        <f t="shared" si="64"/>
        <v>0</v>
      </c>
      <c r="O98" s="343">
        <f t="shared" si="64"/>
        <v>0</v>
      </c>
      <c r="P98" s="343">
        <f t="shared" si="64"/>
        <v>0</v>
      </c>
      <c r="Q98" s="343">
        <f t="shared" si="64"/>
        <v>0</v>
      </c>
      <c r="R98" s="343">
        <f t="shared" si="64"/>
        <v>0</v>
      </c>
      <c r="S98" s="343">
        <f t="shared" si="64"/>
        <v>0</v>
      </c>
      <c r="T98" s="343">
        <f t="shared" si="64"/>
        <v>0</v>
      </c>
      <c r="U98" s="343">
        <f t="shared" si="64"/>
        <v>0</v>
      </c>
      <c r="V98" s="343">
        <f t="shared" si="64"/>
        <v>0</v>
      </c>
      <c r="W98" s="343">
        <f t="shared" si="64"/>
        <v>0</v>
      </c>
      <c r="X98" s="343">
        <f t="shared" si="64"/>
        <v>0</v>
      </c>
      <c r="Y98" s="343">
        <f t="shared" si="64"/>
        <v>0</v>
      </c>
      <c r="Z98" s="343">
        <f t="shared" si="64"/>
        <v>0</v>
      </c>
      <c r="AA98" s="343">
        <f t="shared" si="64"/>
        <v>0</v>
      </c>
      <c r="AB98" s="343">
        <f t="shared" si="64"/>
        <v>0</v>
      </c>
      <c r="AC98" s="343">
        <f t="shared" si="64"/>
        <v>0</v>
      </c>
    </row>
    <row r="100" spans="2:29">
      <c r="I100" s="405">
        <v>1</v>
      </c>
      <c r="J100" s="405">
        <v>0.99773092275694708</v>
      </c>
      <c r="K100" s="405">
        <v>0.99773092275694708</v>
      </c>
      <c r="L100" s="405">
        <v>0.99773092275694708</v>
      </c>
      <c r="M100" s="405">
        <v>0.99773092275694708</v>
      </c>
      <c r="N100" s="405">
        <v>0.99773092275694708</v>
      </c>
      <c r="O100" s="405">
        <v>1</v>
      </c>
      <c r="P100" s="405">
        <v>1</v>
      </c>
      <c r="Q100" s="405">
        <v>1</v>
      </c>
      <c r="R100" s="405">
        <v>1</v>
      </c>
      <c r="S100" s="405">
        <v>1</v>
      </c>
      <c r="T100" s="405">
        <v>1</v>
      </c>
      <c r="U100" s="405">
        <v>1</v>
      </c>
      <c r="V100" s="405">
        <v>1</v>
      </c>
      <c r="W100" s="405">
        <v>1</v>
      </c>
      <c r="X100" s="405">
        <v>1</v>
      </c>
      <c r="Y100" s="405">
        <v>1</v>
      </c>
      <c r="Z100" s="405">
        <v>1</v>
      </c>
    </row>
    <row r="101" spans="2:29">
      <c r="I101" s="29"/>
    </row>
  </sheetData>
  <phoneticPr fontId="7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K350"/>
  <sheetViews>
    <sheetView showGridLines="0" zoomScale="85" zoomScaleNormal="85" workbookViewId="0">
      <pane xSplit="7" ySplit="7" topLeftCell="H8" activePane="bottomRight" state="frozen"/>
      <selection activeCell="H55" sqref="H55"/>
      <selection pane="topRight" activeCell="H55" sqref="H55"/>
      <selection pane="bottomLeft" activeCell="H55" sqref="H55"/>
      <selection pane="bottomRight" activeCell="G135" sqref="G135"/>
    </sheetView>
  </sheetViews>
  <sheetFormatPr defaultRowHeight="13.2" outlineLevelRow="1" outlineLevelCol="1"/>
  <cols>
    <col min="1" max="1" width="4.5546875" customWidth="1"/>
    <col min="2" max="2" width="34.44140625" bestFit="1" customWidth="1"/>
    <col min="3" max="3" width="12.6640625" hidden="1" customWidth="1"/>
    <col min="4" max="6" width="10.6640625" customWidth="1" outlineLevel="1"/>
    <col min="7" max="7" width="12.44140625" bestFit="1" customWidth="1"/>
    <col min="8" max="8" width="11.33203125" customWidth="1"/>
    <col min="9" max="13" width="10.6640625" customWidth="1"/>
    <col min="14" max="28" width="10.6640625" customWidth="1" outlineLevel="1"/>
  </cols>
  <sheetData>
    <row r="2" spans="1:28">
      <c r="H2" s="102"/>
      <c r="I2" s="102"/>
      <c r="J2" s="102"/>
      <c r="K2" s="102"/>
      <c r="L2" s="102"/>
      <c r="M2" s="102"/>
      <c r="N2" s="102"/>
      <c r="O2" s="91"/>
      <c r="P2" s="91"/>
      <c r="Q2" s="91"/>
      <c r="R2" s="91"/>
      <c r="S2" s="103"/>
      <c r="T2" s="103"/>
      <c r="U2" s="103"/>
      <c r="V2" s="103"/>
      <c r="W2" s="103"/>
    </row>
    <row r="3" spans="1:28"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</row>
    <row r="4" spans="1:28">
      <c r="H4" s="29">
        <f ca="1">'Balance Sheet'!J83</f>
        <v>0</v>
      </c>
      <c r="I4" s="29">
        <f ca="1">'Balance Sheet'!K83</f>
        <v>0</v>
      </c>
      <c r="J4" s="29">
        <f ca="1">'Balance Sheet'!L83</f>
        <v>0</v>
      </c>
      <c r="K4" s="29">
        <f ca="1">'Balance Sheet'!M83</f>
        <v>0</v>
      </c>
      <c r="L4" s="29">
        <f ca="1">'Balance Sheet'!N83</f>
        <v>0</v>
      </c>
      <c r="M4" s="29">
        <f ca="1">'Balance Sheet'!O83</f>
        <v>0</v>
      </c>
      <c r="N4" s="29">
        <f ca="1">'Balance Sheet'!P83</f>
        <v>0</v>
      </c>
      <c r="O4" s="29">
        <f ca="1">'Balance Sheet'!Q83</f>
        <v>0</v>
      </c>
      <c r="P4" s="29">
        <f ca="1">'Balance Sheet'!R83</f>
        <v>0</v>
      </c>
      <c r="Q4" s="29">
        <f ca="1">'Balance Sheet'!S83</f>
        <v>16987</v>
      </c>
      <c r="R4" s="29">
        <f ca="1">'Balance Sheet'!T83</f>
        <v>33974.000000000931</v>
      </c>
    </row>
    <row r="5" spans="1:28">
      <c r="I5">
        <v>0.5</v>
      </c>
      <c r="J5">
        <v>1.5</v>
      </c>
      <c r="K5">
        <v>2.5</v>
      </c>
      <c r="L5">
        <v>3.5</v>
      </c>
      <c r="M5">
        <v>4.5</v>
      </c>
      <c r="N5">
        <v>5.5</v>
      </c>
      <c r="O5">
        <v>6.5</v>
      </c>
    </row>
    <row r="7" spans="1:28" ht="16.2" thickBot="1">
      <c r="A7" s="95">
        <f t="shared" ref="A7:A70" si="0">1+A6</f>
        <v>1</v>
      </c>
      <c r="B7" s="17" t="s">
        <v>100</v>
      </c>
      <c r="C7" s="12"/>
      <c r="D7" s="1">
        <f>'Fixed Assets &amp; CAPEX'!D7</f>
        <v>39813</v>
      </c>
      <c r="E7" s="1">
        <f>'Fixed Assets &amp; CAPEX'!E7</f>
        <v>40178</v>
      </c>
      <c r="F7" s="1">
        <f>'Fixed Assets &amp; CAPEX'!F7</f>
        <v>40543</v>
      </c>
      <c r="G7" s="1">
        <f>'Fixed Assets &amp; CAPEX'!G7</f>
        <v>40908</v>
      </c>
      <c r="H7" s="1">
        <f>'Fixed Assets &amp; CAPEX'!H7</f>
        <v>41274</v>
      </c>
      <c r="I7" s="1">
        <f>'Fixed Assets &amp; CAPEX'!I7</f>
        <v>41639</v>
      </c>
      <c r="J7" s="1">
        <f>'Fixed Assets &amp; CAPEX'!J7</f>
        <v>42004</v>
      </c>
      <c r="K7" s="1">
        <f>'Fixed Assets &amp; CAPEX'!K7</f>
        <v>42369</v>
      </c>
      <c r="L7" s="1">
        <f>'Fixed Assets &amp; CAPEX'!L7</f>
        <v>42735</v>
      </c>
      <c r="M7" s="1">
        <f>'Fixed Assets &amp; CAPEX'!M7</f>
        <v>43100</v>
      </c>
      <c r="N7" s="1">
        <f>'Fixed Assets &amp; CAPEX'!N7</f>
        <v>43465</v>
      </c>
      <c r="O7" s="1">
        <f>'Fixed Assets &amp; CAPEX'!O7</f>
        <v>43830</v>
      </c>
      <c r="P7" s="1">
        <f>'Fixed Assets &amp; CAPEX'!P7</f>
        <v>44196</v>
      </c>
      <c r="Q7" s="1">
        <f>'Fixed Assets &amp; CAPEX'!Q7</f>
        <v>44561</v>
      </c>
      <c r="R7" s="1">
        <f>'Fixed Assets &amp; CAPEX'!R7</f>
        <v>44926</v>
      </c>
      <c r="S7" s="1">
        <f>'Fixed Assets &amp; CAPEX'!S7</f>
        <v>45291</v>
      </c>
      <c r="T7" s="1">
        <f>'Fixed Assets &amp; CAPEX'!T7</f>
        <v>45657</v>
      </c>
      <c r="U7" s="1">
        <f>'Fixed Assets &amp; CAPEX'!U7</f>
        <v>46022</v>
      </c>
      <c r="V7" s="1">
        <f>'Fixed Assets &amp; CAPEX'!V7</f>
        <v>46387</v>
      </c>
      <c r="W7" s="1">
        <f>'Fixed Assets &amp; CAPEX'!W7</f>
        <v>46752</v>
      </c>
      <c r="X7" s="1">
        <f>'Fixed Assets &amp; CAPEX'!X7</f>
        <v>47118</v>
      </c>
      <c r="Y7" s="1">
        <f>'Fixed Assets &amp; CAPEX'!Y7</f>
        <v>47483</v>
      </c>
      <c r="Z7" s="1">
        <f>'Fixed Assets &amp; CAPEX'!Z7</f>
        <v>47848</v>
      </c>
      <c r="AA7" s="1">
        <f>'Fixed Assets &amp; CAPEX'!AA7</f>
        <v>48213</v>
      </c>
      <c r="AB7" s="1">
        <f>'Fixed Assets &amp; CAPEX'!AB7</f>
        <v>48579</v>
      </c>
    </row>
    <row r="8" spans="1:28" ht="13.8" thickTop="1">
      <c r="A8" s="95">
        <f t="shared" si="0"/>
        <v>2</v>
      </c>
      <c r="B8" s="41" t="s">
        <v>70</v>
      </c>
    </row>
    <row r="9" spans="1:28">
      <c r="A9" s="95">
        <f t="shared" si="0"/>
        <v>3</v>
      </c>
      <c r="B9" s="41"/>
    </row>
    <row r="10" spans="1:28" outlineLevel="1">
      <c r="A10" s="95">
        <f t="shared" si="0"/>
        <v>4</v>
      </c>
      <c r="B10" s="28" t="s">
        <v>172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outlineLevel="1">
      <c r="A11" s="95">
        <f t="shared" si="0"/>
        <v>5</v>
      </c>
      <c r="B11" s="2"/>
    </row>
    <row r="12" spans="1:28" outlineLevel="1">
      <c r="A12" s="95">
        <f t="shared" si="0"/>
        <v>6</v>
      </c>
      <c r="B12" s="345" t="s">
        <v>111</v>
      </c>
      <c r="H12" s="52">
        <f ca="1">H41</f>
        <v>149443.50967980342</v>
      </c>
      <c r="I12" s="52">
        <f t="shared" ref="I12:M12" ca="1" si="1">I41</f>
        <v>165864.85863469099</v>
      </c>
      <c r="J12" s="52">
        <f t="shared" ca="1" si="1"/>
        <v>120594.36809195251</v>
      </c>
      <c r="K12" s="52">
        <f t="shared" ca="1" si="1"/>
        <v>70000</v>
      </c>
      <c r="L12" s="52">
        <f t="shared" ca="1" si="1"/>
        <v>70000</v>
      </c>
      <c r="M12" s="52">
        <f t="shared" ca="1" si="1"/>
        <v>70000</v>
      </c>
      <c r="N12" s="52">
        <f t="shared" ref="N12:AB12" ca="1" si="2">N41</f>
        <v>70000</v>
      </c>
      <c r="O12" s="52">
        <f t="shared" ca="1" si="2"/>
        <v>70000</v>
      </c>
      <c r="P12" s="52">
        <f t="shared" ca="1" si="2"/>
        <v>70000</v>
      </c>
      <c r="Q12" s="52">
        <f t="shared" ca="1" si="2"/>
        <v>70000</v>
      </c>
      <c r="R12" s="52">
        <f t="shared" ca="1" si="2"/>
        <v>70000</v>
      </c>
      <c r="S12" s="52" t="e">
        <f t="shared" ca="1" si="2"/>
        <v>#VALUE!</v>
      </c>
      <c r="T12" s="52" t="e">
        <f t="shared" ca="1" si="2"/>
        <v>#VALUE!</v>
      </c>
      <c r="U12" s="52" t="e">
        <f t="shared" ca="1" si="2"/>
        <v>#VALUE!</v>
      </c>
      <c r="V12" s="52" t="e">
        <f t="shared" ca="1" si="2"/>
        <v>#VALUE!</v>
      </c>
      <c r="W12" s="52" t="e">
        <f t="shared" ca="1" si="2"/>
        <v>#VALUE!</v>
      </c>
      <c r="X12" s="52" t="e">
        <f t="shared" ca="1" si="2"/>
        <v>#VALUE!</v>
      </c>
      <c r="Y12" s="52" t="e">
        <f t="shared" ca="1" si="2"/>
        <v>#VALUE!</v>
      </c>
      <c r="Z12" s="52" t="e">
        <f t="shared" ca="1" si="2"/>
        <v>#VALUE!</v>
      </c>
      <c r="AA12" s="52" t="e">
        <f t="shared" ca="1" si="2"/>
        <v>#VALUE!</v>
      </c>
      <c r="AB12" s="52" t="e">
        <f t="shared" ca="1" si="2"/>
        <v>#DIV/0!</v>
      </c>
    </row>
    <row r="13" spans="1:28" outlineLevel="1">
      <c r="A13" s="95">
        <f t="shared" si="0"/>
        <v>7</v>
      </c>
      <c r="B13" s="345" t="s">
        <v>110</v>
      </c>
      <c r="H13" s="52">
        <f ca="1">H51</f>
        <v>0</v>
      </c>
      <c r="I13" s="52">
        <f t="shared" ref="I13:M13" ca="1" si="3">I51</f>
        <v>0</v>
      </c>
      <c r="J13" s="52">
        <f t="shared" ca="1" si="3"/>
        <v>0</v>
      </c>
      <c r="K13" s="52">
        <f t="shared" ca="1" si="3"/>
        <v>51880.55333131412</v>
      </c>
      <c r="L13" s="52">
        <f t="shared" ca="1" si="3"/>
        <v>154768.36630831781</v>
      </c>
      <c r="M13" s="52">
        <f t="shared" ca="1" si="3"/>
        <v>262913.99171779654</v>
      </c>
      <c r="N13" s="52">
        <f t="shared" ref="N13:AB13" ca="1" si="4">N51</f>
        <v>372358.17939326738</v>
      </c>
      <c r="O13" s="52">
        <f t="shared" ca="1" si="4"/>
        <v>325981.37606938335</v>
      </c>
      <c r="P13" s="52">
        <f t="shared" ca="1" si="4"/>
        <v>309686.21948148694</v>
      </c>
      <c r="Q13" s="52">
        <f t="shared" ca="1" si="4"/>
        <v>272558.32477486163</v>
      </c>
      <c r="R13" s="52">
        <f t="shared" ca="1" si="4"/>
        <v>218464.44092936045</v>
      </c>
      <c r="S13" s="52" t="e">
        <f t="shared" ca="1" si="4"/>
        <v>#VALUE!</v>
      </c>
      <c r="T13" s="52" t="e">
        <f t="shared" ca="1" si="4"/>
        <v>#VALUE!</v>
      </c>
      <c r="U13" s="52" t="e">
        <f t="shared" ca="1" si="4"/>
        <v>#VALUE!</v>
      </c>
      <c r="V13" s="52" t="e">
        <f t="shared" ca="1" si="4"/>
        <v>#VALUE!</v>
      </c>
      <c r="W13" s="52" t="e">
        <f t="shared" ca="1" si="4"/>
        <v>#VALUE!</v>
      </c>
      <c r="X13" s="52" t="e">
        <f t="shared" ca="1" si="4"/>
        <v>#VALUE!</v>
      </c>
      <c r="Y13" s="52" t="e">
        <f t="shared" ca="1" si="4"/>
        <v>#VALUE!</v>
      </c>
      <c r="Z13" s="52" t="e">
        <f t="shared" ca="1" si="4"/>
        <v>#VALUE!</v>
      </c>
      <c r="AA13" s="52" t="e">
        <f t="shared" ca="1" si="4"/>
        <v>#VALUE!</v>
      </c>
      <c r="AB13" s="52" t="e">
        <f t="shared" ca="1" si="4"/>
        <v>#DIV/0!</v>
      </c>
    </row>
    <row r="14" spans="1:28" outlineLevel="1">
      <c r="A14" s="95">
        <f t="shared" si="0"/>
        <v>8</v>
      </c>
      <c r="B14" s="345" t="s">
        <v>112</v>
      </c>
      <c r="F14" s="346"/>
      <c r="H14" s="52">
        <f>SUM(I110:I110)+$F$125*SUM(I126:I126)+$F$143*SUM(I144:I144)+$F$159*SUM(I160:I160)+F175*SUM(I176:I176)+$F$191*H33*SUM(I192:I192)+$F$209*H33*SUM(I210:I210)+$F$227*H33*SUM(I228:I228)+$F$245*H33*SUM(I246:I246)+$F$263*H34*SUM(I264:I264)+SUM(H327)</f>
        <v>44928</v>
      </c>
      <c r="I14" s="52">
        <f t="shared" ref="I14:AB14" ca="1" si="5">SUM(J110:J110)+$F$125*SUM(J126:J126)+$F$143*SUM(J144:J144)+$F$159*SUM(J160:J160)+G175*SUM(J176:J176)+$F$191*I33*SUM(J192:J192)+$F$209*I33*SUM(J210:J210)+$F$227*I33*SUM(J228:J228)+$F$245*I33*SUM(J246:J246)+$F$263*I34*SUM(J264:J264)+SUM(I327)</f>
        <v>84248.824571428573</v>
      </c>
      <c r="J14" s="52">
        <f t="shared" ca="1" si="5"/>
        <v>137426.10946938774</v>
      </c>
      <c r="K14" s="52">
        <f t="shared" ca="1" si="5"/>
        <v>120481.62554324587</v>
      </c>
      <c r="L14" s="52">
        <f t="shared" ca="1" si="5"/>
        <v>124575.8343895599</v>
      </c>
      <c r="M14" s="52">
        <f t="shared" ca="1" si="5"/>
        <v>126614.7322139188</v>
      </c>
      <c r="N14" s="52">
        <f t="shared" ca="1" si="5"/>
        <v>38897.912843118087</v>
      </c>
      <c r="O14" s="52">
        <f t="shared" ca="1" si="5"/>
        <v>44454.757534992103</v>
      </c>
      <c r="P14" s="52">
        <f t="shared" ca="1" si="5"/>
        <v>48819.722897133826</v>
      </c>
      <c r="Q14" s="52">
        <f t="shared" ca="1" si="5"/>
        <v>52267.344127336626</v>
      </c>
      <c r="R14" s="52">
        <f t="shared" ca="1" si="5"/>
        <v>55303.584833574227</v>
      </c>
      <c r="S14" s="52">
        <f t="shared" ca="1" si="5"/>
        <v>57740.548106342205</v>
      </c>
      <c r="T14" s="52">
        <f t="shared" ca="1" si="5"/>
        <v>57537.244868603637</v>
      </c>
      <c r="U14" s="52">
        <f t="shared" ca="1" si="5"/>
        <v>57718.952173014382</v>
      </c>
      <c r="V14" s="52">
        <f t="shared" ca="1" si="5"/>
        <v>57607.012077285275</v>
      </c>
      <c r="W14" s="52">
        <f t="shared" ca="1" si="5"/>
        <v>56685.245583327167</v>
      </c>
      <c r="X14" s="52">
        <f t="shared" ca="1" si="5"/>
        <v>56408.561681354789</v>
      </c>
      <c r="Y14" s="52">
        <f t="shared" ca="1" si="5"/>
        <v>57000.164189071656</v>
      </c>
      <c r="Z14" s="52">
        <f t="shared" ca="1" si="5"/>
        <v>57242.532668428437</v>
      </c>
      <c r="AA14" s="52">
        <f t="shared" ca="1" si="5"/>
        <v>57171.387605869342</v>
      </c>
      <c r="AB14" s="52">
        <f t="shared" si="5"/>
        <v>0</v>
      </c>
    </row>
    <row r="15" spans="1:28" outlineLevel="1">
      <c r="A15" s="95">
        <f t="shared" si="0"/>
        <v>9</v>
      </c>
      <c r="B15" s="345" t="s">
        <v>113</v>
      </c>
      <c r="H15" s="52">
        <f>H128+I146+I162+I178+H33*(I194+I212+I230+I248+I266)+I111+H328</f>
        <v>391248</v>
      </c>
      <c r="I15" s="52">
        <f t="shared" ref="I15:AB15" ca="1" si="6">J128+J146+J162+J178+I33*(J194+J212+J230+J248+J266)+J111+I328</f>
        <v>436122.386</v>
      </c>
      <c r="J15" s="52">
        <f t="shared" ca="1" si="6"/>
        <v>327169.05857142853</v>
      </c>
      <c r="K15" s="52">
        <f t="shared" ca="1" si="6"/>
        <v>239227.75536054422</v>
      </c>
      <c r="L15" s="52">
        <f t="shared" ca="1" si="6"/>
        <v>151840.86077939748</v>
      </c>
      <c r="M15" s="52">
        <f t="shared" ca="1" si="6"/>
        <v>67727.774060807991</v>
      </c>
      <c r="N15" s="52">
        <f t="shared" ca="1" si="6"/>
        <v>77403.170355209135</v>
      </c>
      <c r="O15" s="52">
        <f t="shared" ca="1" si="6"/>
        <v>88460.766120239001</v>
      </c>
      <c r="P15" s="52">
        <f t="shared" ca="1" si="6"/>
        <v>94148.018423130299</v>
      </c>
      <c r="Q15" s="52">
        <f t="shared" ca="1" si="6"/>
        <v>97240.262483577506</v>
      </c>
      <c r="R15" s="52">
        <f t="shared" ca="1" si="6"/>
        <v>101137.23814449673</v>
      </c>
      <c r="S15" s="52">
        <f t="shared" ca="1" si="6"/>
        <v>106405.85598438108</v>
      </c>
      <c r="T15" s="52">
        <f t="shared" ca="1" si="6"/>
        <v>102963.41079597737</v>
      </c>
      <c r="U15" s="52">
        <f t="shared" ca="1" si="6"/>
        <v>100995.42318671584</v>
      </c>
      <c r="V15" s="52">
        <f t="shared" ca="1" si="6"/>
        <v>100164.75501978824</v>
      </c>
      <c r="W15" s="52">
        <f t="shared" ca="1" si="6"/>
        <v>94107.877434281967</v>
      </c>
      <c r="X15" s="52">
        <f t="shared" ca="1" si="6"/>
        <v>75903.919255818881</v>
      </c>
      <c r="Y15" s="52">
        <f t="shared" ca="1" si="6"/>
        <v>44497.129914170488</v>
      </c>
      <c r="Z15" s="52">
        <f t="shared" ca="1" si="6"/>
        <v>44605.504011994431</v>
      </c>
      <c r="AA15" s="52">
        <f t="shared" ca="1" si="6"/>
        <v>41700</v>
      </c>
      <c r="AB15" s="52">
        <f t="shared" ca="1" si="6"/>
        <v>41700</v>
      </c>
    </row>
    <row r="16" spans="1:28" outlineLevel="1">
      <c r="A16" s="95">
        <f t="shared" si="0"/>
        <v>10</v>
      </c>
      <c r="B16" s="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 spans="1:28" outlineLevel="1">
      <c r="A17" s="95">
        <f t="shared" si="0"/>
        <v>11</v>
      </c>
      <c r="B17" s="28" t="s">
        <v>173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outlineLevel="1">
      <c r="A18" s="95">
        <f t="shared" si="0"/>
        <v>12</v>
      </c>
      <c r="B18" s="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 spans="1:28" outlineLevel="1">
      <c r="A19" s="95">
        <f t="shared" si="0"/>
        <v>13</v>
      </c>
      <c r="B19" s="345" t="s">
        <v>109</v>
      </c>
      <c r="C19" s="345"/>
      <c r="D19" s="10"/>
      <c r="E19" s="10"/>
      <c r="F19" s="347"/>
      <c r="G19" s="10"/>
      <c r="H19" s="52">
        <f ca="1">H47</f>
        <v>9627.4445665643016</v>
      </c>
      <c r="I19" s="52">
        <f t="shared" ref="I19:AB19" ca="1" si="7">I47</f>
        <v>5616.1585812064877</v>
      </c>
      <c r="J19" s="52">
        <f t="shared" ca="1" si="7"/>
        <v>5106.2911068992953</v>
      </c>
      <c r="K19" s="52">
        <f t="shared" ca="1" si="7"/>
        <v>2048.8105431516365</v>
      </c>
      <c r="L19" s="52">
        <f t="shared" ca="1" si="7"/>
        <v>0</v>
      </c>
      <c r="M19" s="52">
        <f t="shared" ca="1" si="7"/>
        <v>0</v>
      </c>
      <c r="N19" s="52">
        <f t="shared" ca="1" si="7"/>
        <v>0</v>
      </c>
      <c r="O19" s="52">
        <f t="shared" ca="1" si="7"/>
        <v>0</v>
      </c>
      <c r="P19" s="52">
        <f t="shared" ca="1" si="7"/>
        <v>0</v>
      </c>
      <c r="Q19" s="52">
        <f t="shared" ca="1" si="7"/>
        <v>0</v>
      </c>
      <c r="R19" s="52">
        <f t="shared" ca="1" si="7"/>
        <v>0</v>
      </c>
      <c r="S19" s="52" t="e">
        <f t="shared" ca="1" si="7"/>
        <v>#VALUE!</v>
      </c>
      <c r="T19" s="52" t="e">
        <f t="shared" ca="1" si="7"/>
        <v>#VALUE!</v>
      </c>
      <c r="U19" s="52" t="e">
        <f t="shared" ca="1" si="7"/>
        <v>#VALUE!</v>
      </c>
      <c r="V19" s="52" t="e">
        <f t="shared" ca="1" si="7"/>
        <v>#VALUE!</v>
      </c>
      <c r="W19" s="52" t="e">
        <f t="shared" ca="1" si="7"/>
        <v>#VALUE!</v>
      </c>
      <c r="X19" s="52" t="e">
        <f t="shared" ca="1" si="7"/>
        <v>#VALUE!</v>
      </c>
      <c r="Y19" s="52" t="e">
        <f t="shared" ca="1" si="7"/>
        <v>#VALUE!</v>
      </c>
      <c r="Z19" s="52" t="e">
        <f t="shared" ca="1" si="7"/>
        <v>#VALUE!</v>
      </c>
      <c r="AA19" s="52" t="e">
        <f t="shared" ca="1" si="7"/>
        <v>#VALUE!</v>
      </c>
      <c r="AB19" s="52" t="e">
        <f t="shared" ca="1" si="7"/>
        <v>#DIV/0!</v>
      </c>
    </row>
    <row r="20" spans="1:28" outlineLevel="1">
      <c r="A20" s="95">
        <f t="shared" si="0"/>
        <v>14</v>
      </c>
      <c r="B20" s="345" t="s">
        <v>168</v>
      </c>
      <c r="C20" s="345"/>
      <c r="D20" s="10"/>
      <c r="E20" s="10"/>
      <c r="F20" s="347"/>
      <c r="G20" s="10"/>
      <c r="H20" s="52">
        <f>-SUM(H60,H120,H138,H154,H170,H186,H202,H220,H238,H256,H274,H338)</f>
        <v>-52413.041772111283</v>
      </c>
      <c r="I20" s="52">
        <f t="shared" ref="I20:AB20" ca="1" si="8">-SUM(I60,I120,I138,I154,I170,I186,I202,I220,I238,I256,I274,I338)</f>
        <v>-44494.359112556078</v>
      </c>
      <c r="J20" s="52">
        <f t="shared" ca="1" si="8"/>
        <v>-47368.431556893251</v>
      </c>
      <c r="K20" s="52">
        <f t="shared" ca="1" si="8"/>
        <v>-44815.328254360786</v>
      </c>
      <c r="L20" s="52">
        <f t="shared" ca="1" si="8"/>
        <v>-40575.355556921662</v>
      </c>
      <c r="M20" s="52">
        <f t="shared" ca="1" si="8"/>
        <v>-44102.340221149869</v>
      </c>
      <c r="N20" s="52">
        <f t="shared" ca="1" si="8"/>
        <v>-47823.728200449717</v>
      </c>
      <c r="O20" s="52">
        <f t="shared" ca="1" si="8"/>
        <v>-53718.068232881029</v>
      </c>
      <c r="P20" s="52">
        <f t="shared" ca="1" si="8"/>
        <v>-47260.60410109767</v>
      </c>
      <c r="Q20" s="52">
        <f t="shared" ca="1" si="8"/>
        <v>-45039.245997466474</v>
      </c>
      <c r="R20" s="52">
        <f t="shared" ca="1" si="8"/>
        <v>-39698.518612942156</v>
      </c>
      <c r="S20" s="52" t="e">
        <f t="shared" ca="1" si="8"/>
        <v>#VALUE!</v>
      </c>
      <c r="T20" s="52" t="e">
        <f t="shared" ca="1" si="8"/>
        <v>#VALUE!</v>
      </c>
      <c r="U20" s="52" t="e">
        <f t="shared" ca="1" si="8"/>
        <v>#VALUE!</v>
      </c>
      <c r="V20" s="52" t="e">
        <f t="shared" ca="1" si="8"/>
        <v>#VALUE!</v>
      </c>
      <c r="W20" s="52" t="e">
        <f t="shared" ca="1" si="8"/>
        <v>#VALUE!</v>
      </c>
      <c r="X20" s="52" t="e">
        <f t="shared" ca="1" si="8"/>
        <v>#VALUE!</v>
      </c>
      <c r="Y20" s="52" t="e">
        <f t="shared" ca="1" si="8"/>
        <v>#VALUE!</v>
      </c>
      <c r="Z20" s="52" t="e">
        <f t="shared" ca="1" si="8"/>
        <v>#VALUE!</v>
      </c>
      <c r="AA20" s="52" t="e">
        <f t="shared" ca="1" si="8"/>
        <v>#VALUE!</v>
      </c>
      <c r="AB20" s="52" t="e">
        <f t="shared" ca="1" si="8"/>
        <v>#DIV/0!</v>
      </c>
    </row>
    <row r="21" spans="1:28" outlineLevel="1">
      <c r="A21" s="95">
        <f t="shared" si="0"/>
        <v>15</v>
      </c>
      <c r="B21" s="345" t="s">
        <v>171</v>
      </c>
      <c r="C21" s="345"/>
      <c r="D21" s="10"/>
      <c r="E21" s="10"/>
      <c r="F21" s="347"/>
      <c r="G21" s="10"/>
      <c r="H21" s="52">
        <f t="shared" ref="H21:AB21" si="9">SUM(H22:H23)</f>
        <v>0</v>
      </c>
      <c r="I21" s="52">
        <f t="shared" si="9"/>
        <v>0</v>
      </c>
      <c r="J21" s="52">
        <f t="shared" si="9"/>
        <v>0</v>
      </c>
      <c r="K21" s="52">
        <f t="shared" si="9"/>
        <v>0</v>
      </c>
      <c r="L21" s="52">
        <f t="shared" si="9"/>
        <v>0</v>
      </c>
      <c r="M21" s="52">
        <f t="shared" si="9"/>
        <v>0</v>
      </c>
      <c r="N21" s="52">
        <f t="shared" si="9"/>
        <v>0</v>
      </c>
      <c r="O21" s="52">
        <f t="shared" si="9"/>
        <v>0</v>
      </c>
      <c r="P21" s="52">
        <f t="shared" si="9"/>
        <v>0</v>
      </c>
      <c r="Q21" s="52">
        <f t="shared" si="9"/>
        <v>0</v>
      </c>
      <c r="R21" s="52">
        <f t="shared" si="9"/>
        <v>0</v>
      </c>
      <c r="S21" s="52">
        <f t="shared" si="9"/>
        <v>0</v>
      </c>
      <c r="T21" s="52">
        <f t="shared" si="9"/>
        <v>0</v>
      </c>
      <c r="U21" s="52">
        <f t="shared" si="9"/>
        <v>0</v>
      </c>
      <c r="V21" s="52">
        <f t="shared" si="9"/>
        <v>0</v>
      </c>
      <c r="W21" s="52">
        <f t="shared" si="9"/>
        <v>0</v>
      </c>
      <c r="X21" s="52">
        <f t="shared" si="9"/>
        <v>0</v>
      </c>
      <c r="Y21" s="52">
        <f t="shared" si="9"/>
        <v>0</v>
      </c>
      <c r="Z21" s="52">
        <f t="shared" si="9"/>
        <v>0</v>
      </c>
      <c r="AA21" s="52">
        <f t="shared" si="9"/>
        <v>0</v>
      </c>
      <c r="AB21" s="52">
        <f t="shared" si="9"/>
        <v>0</v>
      </c>
    </row>
    <row r="22" spans="1:28" outlineLevel="1">
      <c r="A22" s="95">
        <f t="shared" si="0"/>
        <v>16</v>
      </c>
      <c r="B22" s="25" t="s">
        <v>169</v>
      </c>
      <c r="C22" s="345"/>
      <c r="D22" s="10"/>
      <c r="E22" s="10"/>
      <c r="F22" s="347"/>
      <c r="G22" s="10"/>
      <c r="H22" s="5">
        <f t="shared" ref="H22:AB22" si="10">-SUM(H203,H221,H239,H257,H275)</f>
        <v>0</v>
      </c>
      <c r="I22" s="5">
        <f t="shared" si="10"/>
        <v>0</v>
      </c>
      <c r="J22" s="5">
        <f t="shared" si="10"/>
        <v>0</v>
      </c>
      <c r="K22" s="5">
        <f t="shared" si="10"/>
        <v>0</v>
      </c>
      <c r="L22" s="5">
        <f t="shared" si="10"/>
        <v>0</v>
      </c>
      <c r="M22" s="5">
        <f t="shared" si="10"/>
        <v>0</v>
      </c>
      <c r="N22" s="5">
        <f t="shared" si="10"/>
        <v>0</v>
      </c>
      <c r="O22" s="5">
        <f t="shared" si="10"/>
        <v>0</v>
      </c>
      <c r="P22" s="5">
        <f t="shared" si="10"/>
        <v>0</v>
      </c>
      <c r="Q22" s="5">
        <f t="shared" si="10"/>
        <v>0</v>
      </c>
      <c r="R22" s="5">
        <f t="shared" si="10"/>
        <v>0</v>
      </c>
      <c r="S22" s="5">
        <f t="shared" si="10"/>
        <v>0</v>
      </c>
      <c r="T22" s="5">
        <f t="shared" si="10"/>
        <v>0</v>
      </c>
      <c r="U22" s="5">
        <f t="shared" si="10"/>
        <v>0</v>
      </c>
      <c r="V22" s="5">
        <f t="shared" si="10"/>
        <v>0</v>
      </c>
      <c r="W22" s="5">
        <f t="shared" si="10"/>
        <v>0</v>
      </c>
      <c r="X22" s="5">
        <f t="shared" si="10"/>
        <v>0</v>
      </c>
      <c r="Y22" s="5">
        <f t="shared" si="10"/>
        <v>0</v>
      </c>
      <c r="Z22" s="5">
        <f t="shared" si="10"/>
        <v>0</v>
      </c>
      <c r="AA22" s="5">
        <f t="shared" si="10"/>
        <v>0</v>
      </c>
      <c r="AB22" s="5">
        <f t="shared" si="10"/>
        <v>0</v>
      </c>
    </row>
    <row r="23" spans="1:28" outlineLevel="1">
      <c r="A23" s="95">
        <f t="shared" si="0"/>
        <v>17</v>
      </c>
      <c r="B23" s="25" t="s">
        <v>170</v>
      </c>
      <c r="C23" s="345"/>
      <c r="D23" s="10"/>
      <c r="E23" s="10"/>
      <c r="F23" s="347"/>
      <c r="G23" s="10"/>
      <c r="H23" s="5">
        <f t="shared" ref="H23:AB23" si="11">-SUM(H204,H222,H240,H258,H276)</f>
        <v>0</v>
      </c>
      <c r="I23" s="5">
        <f t="shared" si="11"/>
        <v>0</v>
      </c>
      <c r="J23" s="5">
        <f t="shared" si="11"/>
        <v>0</v>
      </c>
      <c r="K23" s="5">
        <f t="shared" si="11"/>
        <v>0</v>
      </c>
      <c r="L23" s="5">
        <f t="shared" si="11"/>
        <v>0</v>
      </c>
      <c r="M23" s="5">
        <f t="shared" si="11"/>
        <v>0</v>
      </c>
      <c r="N23" s="5">
        <f t="shared" si="11"/>
        <v>0</v>
      </c>
      <c r="O23" s="5">
        <f t="shared" si="11"/>
        <v>0</v>
      </c>
      <c r="P23" s="5">
        <f t="shared" si="11"/>
        <v>0</v>
      </c>
      <c r="Q23" s="5">
        <f t="shared" si="11"/>
        <v>0</v>
      </c>
      <c r="R23" s="5">
        <f t="shared" si="11"/>
        <v>0</v>
      </c>
      <c r="S23" s="5">
        <f t="shared" si="11"/>
        <v>0</v>
      </c>
      <c r="T23" s="5">
        <f t="shared" si="11"/>
        <v>0</v>
      </c>
      <c r="U23" s="5">
        <f t="shared" si="11"/>
        <v>0</v>
      </c>
      <c r="V23" s="5">
        <f t="shared" si="11"/>
        <v>0</v>
      </c>
      <c r="W23" s="5">
        <f t="shared" si="11"/>
        <v>0</v>
      </c>
      <c r="X23" s="5">
        <f t="shared" si="11"/>
        <v>0</v>
      </c>
      <c r="Y23" s="5">
        <f t="shared" si="11"/>
        <v>0</v>
      </c>
      <c r="Z23" s="5">
        <f t="shared" si="11"/>
        <v>0</v>
      </c>
      <c r="AA23" s="5">
        <f t="shared" si="11"/>
        <v>0</v>
      </c>
      <c r="AB23" s="5">
        <f t="shared" si="11"/>
        <v>0</v>
      </c>
    </row>
    <row r="24" spans="1:28" outlineLevel="1">
      <c r="A24" s="95">
        <f t="shared" si="0"/>
        <v>18</v>
      </c>
      <c r="B24" s="25"/>
      <c r="C24" s="345"/>
      <c r="D24" s="10"/>
      <c r="E24" s="10"/>
      <c r="F24" s="347"/>
      <c r="G24" s="10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outlineLevel="1">
      <c r="A25" s="95">
        <f t="shared" si="0"/>
        <v>19</v>
      </c>
      <c r="B25" s="28" t="s">
        <v>174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outlineLevel="1">
      <c r="A26" s="95">
        <f t="shared" si="0"/>
        <v>20</v>
      </c>
      <c r="B26" s="41"/>
    </row>
    <row r="27" spans="1:28" outlineLevel="1">
      <c r="A27" s="95">
        <f t="shared" si="0"/>
        <v>21</v>
      </c>
      <c r="B27" s="345" t="s">
        <v>170</v>
      </c>
      <c r="H27" s="52">
        <f t="shared" ref="H27:AB27" si="12">SUM(H204,H222,H240,H258,H276)</f>
        <v>0</v>
      </c>
      <c r="I27" s="52">
        <f t="shared" si="12"/>
        <v>0</v>
      </c>
      <c r="J27" s="52">
        <f t="shared" si="12"/>
        <v>0</v>
      </c>
      <c r="K27" s="52">
        <f t="shared" si="12"/>
        <v>0</v>
      </c>
      <c r="L27" s="52">
        <f t="shared" si="12"/>
        <v>0</v>
      </c>
      <c r="M27" s="52">
        <f t="shared" si="12"/>
        <v>0</v>
      </c>
      <c r="N27" s="52">
        <f t="shared" si="12"/>
        <v>0</v>
      </c>
      <c r="O27" s="52">
        <f t="shared" si="12"/>
        <v>0</v>
      </c>
      <c r="P27" s="52">
        <f t="shared" si="12"/>
        <v>0</v>
      </c>
      <c r="Q27" s="52">
        <f t="shared" si="12"/>
        <v>0</v>
      </c>
      <c r="R27" s="52">
        <f t="shared" si="12"/>
        <v>0</v>
      </c>
      <c r="S27" s="52">
        <f t="shared" si="12"/>
        <v>0</v>
      </c>
      <c r="T27" s="52">
        <f t="shared" si="12"/>
        <v>0</v>
      </c>
      <c r="U27" s="52">
        <f t="shared" si="12"/>
        <v>0</v>
      </c>
      <c r="V27" s="52">
        <f t="shared" si="12"/>
        <v>0</v>
      </c>
      <c r="W27" s="52">
        <f t="shared" si="12"/>
        <v>0</v>
      </c>
      <c r="X27" s="52">
        <f t="shared" si="12"/>
        <v>0</v>
      </c>
      <c r="Y27" s="52">
        <f t="shared" si="12"/>
        <v>0</v>
      </c>
      <c r="Z27" s="52">
        <f t="shared" si="12"/>
        <v>0</v>
      </c>
      <c r="AA27" s="52">
        <f t="shared" si="12"/>
        <v>0</v>
      </c>
      <c r="AB27" s="52">
        <f t="shared" si="12"/>
        <v>0</v>
      </c>
    </row>
    <row r="28" spans="1:28" outlineLevel="1">
      <c r="A28" s="95">
        <f t="shared" si="0"/>
        <v>22</v>
      </c>
      <c r="B28" s="345" t="s">
        <v>69</v>
      </c>
      <c r="H28" s="52">
        <f>H65+H282+H125+H143</f>
        <v>95360</v>
      </c>
      <c r="I28" s="52">
        <f ca="1">I65+I282+I125</f>
        <v>132359.12285714285</v>
      </c>
      <c r="J28" s="52">
        <f t="shared" ref="J28:AB28" ca="1" si="13">J65+J282</f>
        <v>31636.424489795914</v>
      </c>
      <c r="K28" s="52">
        <f t="shared" ca="1" si="13"/>
        <v>36155.913702623904</v>
      </c>
      <c r="L28" s="52">
        <f t="shared" ca="1" si="13"/>
        <v>41321.04423157018</v>
      </c>
      <c r="M28" s="52">
        <f t="shared" ca="1" si="13"/>
        <v>47224.050550365922</v>
      </c>
      <c r="N28" s="52">
        <f t="shared" ca="1" si="13"/>
        <v>53970.343486132479</v>
      </c>
      <c r="O28" s="52">
        <f t="shared" ca="1" si="13"/>
        <v>61680.39255557998</v>
      </c>
      <c r="P28" s="52">
        <f t="shared" ca="1" si="13"/>
        <v>60563.305777805697</v>
      </c>
      <c r="Q28" s="52">
        <f t="shared" ca="1" si="13"/>
        <v>61510.653541982014</v>
      </c>
      <c r="R28" s="52">
        <f t="shared" ca="1" si="13"/>
        <v>65778.400549437167</v>
      </c>
      <c r="S28" s="52">
        <f t="shared" ca="1" si="13"/>
        <v>70010.1843846962</v>
      </c>
      <c r="T28" s="52">
        <f t="shared" ca="1" si="13"/>
        <v>60105.332977999911</v>
      </c>
      <c r="U28" s="52">
        <f t="shared" ca="1" si="13"/>
        <v>61945.516181947627</v>
      </c>
      <c r="V28" s="52">
        <f t="shared" ca="1" si="13"/>
        <v>63084.826567064076</v>
      </c>
      <c r="W28" s="52">
        <f t="shared" ca="1" si="13"/>
        <v>63285.459997276099</v>
      </c>
      <c r="X28" s="52">
        <f t="shared" ca="1" si="13"/>
        <v>63674.339171486157</v>
      </c>
      <c r="Y28" s="52">
        <f t="shared" ca="1" si="13"/>
        <v>63983.437118558169</v>
      </c>
      <c r="Z28" s="52">
        <f t="shared" ca="1" si="13"/>
        <v>63727.013771289741</v>
      </c>
      <c r="AA28" s="52">
        <f t="shared" ca="1" si="13"/>
        <v>62829.417969374532</v>
      </c>
      <c r="AB28" s="52">
        <f t="shared" ca="1" si="13"/>
        <v>63218.57296814234</v>
      </c>
    </row>
    <row r="29" spans="1:28" outlineLevel="1">
      <c r="A29" s="95">
        <f t="shared" si="0"/>
        <v>23</v>
      </c>
      <c r="B29" s="345" t="s">
        <v>230</v>
      </c>
      <c r="H29" s="52">
        <f t="shared" ref="H29:AB29" si="14">-SUM(H110,H127,H145,H161,H177,$F191*G$33*H192,$F209*G$33*H210,$F227*G$33*H228,$F245*G$33*H246,$F263*G$34*H264,H326)-G51</f>
        <v>-53291</v>
      </c>
      <c r="I29" s="52">
        <f ca="1">-SUM(I110,I127,I145,I161,I177,$F191*H$33*I192,$F209*H$33*I210,$F227*H$33*I228,$F245*H$33*I246,$F263*H$34*I264,I326)-H51</f>
        <v>-48163.912285714287</v>
      </c>
      <c r="J29" s="52">
        <f t="shared" ca="1" si="14"/>
        <v>-87412.467020408163</v>
      </c>
      <c r="K29" s="52">
        <f t="shared" ca="1" si="14"/>
        <v>-141041.70083965015</v>
      </c>
      <c r="L29" s="52">
        <f t="shared" ca="1" si="14"/>
        <v>-176494.28329771699</v>
      </c>
      <c r="M29" s="52">
        <f t="shared" ca="1" si="14"/>
        <v>-284066.60575291433</v>
      </c>
      <c r="N29" s="52">
        <f t="shared" ca="1" si="14"/>
        <v>-394925.75828032859</v>
      </c>
      <c r="O29" s="52">
        <f t="shared" ca="1" si="14"/>
        <v>-417424.13149194344</v>
      </c>
      <c r="P29" s="52">
        <f t="shared" ca="1" si="14"/>
        <v>-376492.46418215602</v>
      </c>
      <c r="Q29" s="52">
        <f t="shared" ca="1" si="14"/>
        <v>-364657.00773281895</v>
      </c>
      <c r="R29" s="52">
        <f t="shared" ca="1" si="14"/>
        <v>-331403.50895714195</v>
      </c>
      <c r="S29" s="52">
        <f t="shared" ca="1" si="14"/>
        <v>-280769.04420140432</v>
      </c>
      <c r="T29" s="52" t="e">
        <f t="shared" ca="1" si="14"/>
        <v>#VALUE!</v>
      </c>
      <c r="U29" s="52" t="e">
        <f t="shared" ca="1" si="14"/>
        <v>#VALUE!</v>
      </c>
      <c r="V29" s="52" t="e">
        <f t="shared" ca="1" si="14"/>
        <v>#VALUE!</v>
      </c>
      <c r="W29" s="52" t="e">
        <f t="shared" ca="1" si="14"/>
        <v>#VALUE!</v>
      </c>
      <c r="X29" s="52" t="e">
        <f t="shared" ca="1" si="14"/>
        <v>#VALUE!</v>
      </c>
      <c r="Y29" s="52" t="e">
        <f t="shared" ca="1" si="14"/>
        <v>#VALUE!</v>
      </c>
      <c r="Z29" s="52" t="e">
        <f t="shared" ca="1" si="14"/>
        <v>#VALUE!</v>
      </c>
      <c r="AA29" s="52" t="e">
        <f t="shared" ca="1" si="14"/>
        <v>#VALUE!</v>
      </c>
      <c r="AB29" s="52" t="e">
        <f t="shared" ca="1" si="14"/>
        <v>#VALUE!</v>
      </c>
    </row>
    <row r="30" spans="1:28" outlineLevel="1">
      <c r="A30" s="95">
        <f t="shared" si="0"/>
        <v>24</v>
      </c>
      <c r="B30" s="345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 spans="1:28">
      <c r="A31" s="95">
        <f t="shared" si="0"/>
        <v>25</v>
      </c>
      <c r="B31" s="28" t="s">
        <v>178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>
      <c r="A32" s="95">
        <f t="shared" si="0"/>
        <v>26</v>
      </c>
      <c r="B32" s="345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 spans="1:28">
      <c r="A33" s="95">
        <f t="shared" si="0"/>
        <v>27</v>
      </c>
      <c r="B33" s="345" t="s">
        <v>176</v>
      </c>
      <c r="H33" s="131">
        <f>Anual!S45</f>
        <v>1.8757999999999999</v>
      </c>
      <c r="I33" s="131">
        <f>Anual!T45</f>
        <v>2</v>
      </c>
      <c r="J33" s="131">
        <f>Anual!U45</f>
        <v>2.1</v>
      </c>
      <c r="K33" s="131">
        <f>Anual!V45</f>
        <v>2.1926470588235292</v>
      </c>
      <c r="L33" s="131">
        <f>Anual!W45</f>
        <v>2.3001297577854669</v>
      </c>
      <c r="M33" s="131">
        <f>Anual!X45</f>
        <v>2.4128812165004407</v>
      </c>
      <c r="N33" s="131">
        <f>Anual!Y45</f>
        <v>2.5075040093043799</v>
      </c>
      <c r="O33" s="131">
        <f>Anual!Z45</f>
        <v>2.5812541272250971</v>
      </c>
      <c r="P33" s="131">
        <f>Anual!AA45</f>
        <v>2.6571733662611297</v>
      </c>
      <c r="Q33" s="131">
        <f>Anual!AB45</f>
        <v>2.7353255240923393</v>
      </c>
      <c r="R33" s="131">
        <f>Anual!AC45</f>
        <v>2.8157762748009376</v>
      </c>
      <c r="S33" s="131">
        <f>Anual!AD45</f>
        <v>2.8985932240597889</v>
      </c>
      <c r="T33" s="131">
        <f>Anual!AE45</f>
        <v>2.9838459659439005</v>
      </c>
      <c r="U33" s="131">
        <f>Anual!AF45</f>
        <v>3.0716061414128388</v>
      </c>
      <c r="V33" s="131">
        <f>Anual!AG45</f>
        <v>3.1619474985132165</v>
      </c>
      <c r="W33" s="131">
        <f>Anual!AH45</f>
        <v>3.2549459543518404</v>
      </c>
      <c r="X33" s="131">
        <f>Anual!AI45</f>
        <v>3.3506796588916008</v>
      </c>
      <c r="Y33" s="131">
        <f>Anual!AJ45</f>
        <v>3.4492290606237068</v>
      </c>
      <c r="Z33" s="131">
        <f>Anual!AK45</f>
        <v>3.5506769741714632</v>
      </c>
      <c r="AA33" s="131">
        <f>Anual!AL45</f>
        <v>3.6551086498823886</v>
      </c>
      <c r="AB33" s="131">
        <f>Anual!AM45</f>
        <v>0</v>
      </c>
    </row>
    <row r="34" spans="1:28">
      <c r="A34" s="95">
        <f t="shared" si="0"/>
        <v>28</v>
      </c>
      <c r="B34" s="345" t="s">
        <v>177</v>
      </c>
      <c r="H34" s="131">
        <f>Anual!S48</f>
        <v>2.4306616399999998</v>
      </c>
      <c r="I34" s="131">
        <f>Anual!T48</f>
        <v>2.56</v>
      </c>
      <c r="J34" s="131">
        <f>Anual!U48</f>
        <v>2.8140000000000005</v>
      </c>
      <c r="K34" s="131">
        <f>Anual!V48</f>
        <v>2.9381470588235294</v>
      </c>
      <c r="L34" s="131">
        <f>Anual!W48</f>
        <v>3.0821738754325256</v>
      </c>
      <c r="M34" s="131">
        <f>Anual!X48</f>
        <v>3.233260830110591</v>
      </c>
      <c r="N34" s="131">
        <f>Anual!Y48</f>
        <v>3.3600553724678695</v>
      </c>
      <c r="O34" s="131">
        <f>Anual!Z48</f>
        <v>3.4588805304816304</v>
      </c>
      <c r="P34" s="131">
        <f>Anual!AA48</f>
        <v>3.5606123107899141</v>
      </c>
      <c r="Q34" s="131">
        <f>Anual!AB48</f>
        <v>3.665336202283735</v>
      </c>
      <c r="R34" s="131">
        <f>Anual!AC48</f>
        <v>3.7731402082332566</v>
      </c>
      <c r="S34" s="131">
        <f>Anual!AD48</f>
        <v>3.8841149202401173</v>
      </c>
      <c r="T34" s="131">
        <f>Anual!AE48</f>
        <v>3.998353594364827</v>
      </c>
      <c r="U34" s="131">
        <f>Anual!AF48</f>
        <v>4.1159522294932041</v>
      </c>
      <c r="V34" s="131">
        <f>Anual!AG48</f>
        <v>4.2370096480077102</v>
      </c>
      <c r="W34" s="131">
        <f>Anual!AH48</f>
        <v>4.3616275788314667</v>
      </c>
      <c r="X34" s="131">
        <f>Anual!AI48</f>
        <v>4.4899107429147449</v>
      </c>
      <c r="Y34" s="131">
        <f>Anual!AJ48</f>
        <v>4.6219669412357671</v>
      </c>
      <c r="Z34" s="131">
        <f>Anual!AK48</f>
        <v>4.757907145389761</v>
      </c>
      <c r="AA34" s="131">
        <f>Anual!AL48</f>
        <v>4.897845590842401</v>
      </c>
      <c r="AB34" s="131">
        <f>Anual!AM48</f>
        <v>0</v>
      </c>
    </row>
    <row r="35" spans="1:28">
      <c r="A35" s="95">
        <f t="shared" si="0"/>
        <v>29</v>
      </c>
      <c r="B35" s="345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 spans="1:28">
      <c r="A36" s="95">
        <f t="shared" si="0"/>
        <v>30</v>
      </c>
    </row>
    <row r="37" spans="1:28">
      <c r="A37" s="95">
        <f t="shared" si="0"/>
        <v>31</v>
      </c>
      <c r="B37" s="28" t="s">
        <v>156</v>
      </c>
      <c r="C37" s="26"/>
      <c r="D37" s="134">
        <f>$G$7</f>
        <v>40908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>
      <c r="A38" s="95">
        <f t="shared" si="0"/>
        <v>32</v>
      </c>
      <c r="B38" s="4"/>
    </row>
    <row r="39" spans="1:28">
      <c r="A39" s="95">
        <f t="shared" si="0"/>
        <v>33</v>
      </c>
      <c r="B39" s="2" t="s">
        <v>78</v>
      </c>
      <c r="G39" s="348">
        <f>'Balance Sheet'!H13</f>
        <v>119958</v>
      </c>
      <c r="H39" s="348">
        <f>'Balance Sheet'!I13</f>
        <v>228486</v>
      </c>
      <c r="I39" s="348">
        <f ca="1">'Balance Sheet'!J13</f>
        <v>149443.50967980342</v>
      </c>
      <c r="J39" s="348">
        <f ca="1">'Balance Sheet'!K13</f>
        <v>165864.85863469099</v>
      </c>
      <c r="K39" s="348">
        <f ca="1">'Balance Sheet'!L13</f>
        <v>120594.36809195251</v>
      </c>
      <c r="L39" s="348">
        <f ca="1">'Balance Sheet'!M13</f>
        <v>70000</v>
      </c>
      <c r="M39" s="348">
        <f ca="1">'Balance Sheet'!N13</f>
        <v>70000</v>
      </c>
      <c r="N39" s="348">
        <f ca="1">'Balance Sheet'!O13</f>
        <v>70000</v>
      </c>
      <c r="O39" s="348">
        <f ca="1">'Balance Sheet'!P13</f>
        <v>70000</v>
      </c>
      <c r="P39" s="348">
        <f ca="1">'Balance Sheet'!Q13</f>
        <v>70000</v>
      </c>
      <c r="Q39" s="348">
        <f ca="1">'Balance Sheet'!R13</f>
        <v>70000</v>
      </c>
      <c r="R39" s="348">
        <f ca="1">'Balance Sheet'!S13</f>
        <v>70000</v>
      </c>
      <c r="S39" s="348">
        <f ca="1">'Balance Sheet'!T13</f>
        <v>70000</v>
      </c>
      <c r="T39" s="348" t="e">
        <f ca="1">'Balance Sheet'!U13</f>
        <v>#VALUE!</v>
      </c>
      <c r="U39" s="348" t="e">
        <f ca="1">'Balance Sheet'!V13</f>
        <v>#VALUE!</v>
      </c>
      <c r="V39" s="348" t="e">
        <f ca="1">'Balance Sheet'!W13</f>
        <v>#VALUE!</v>
      </c>
      <c r="W39" s="348" t="e">
        <f ca="1">'Balance Sheet'!X13</f>
        <v>#VALUE!</v>
      </c>
      <c r="X39" s="348" t="e">
        <f ca="1">'Balance Sheet'!Y13</f>
        <v>#VALUE!</v>
      </c>
      <c r="Y39" s="348" t="e">
        <f ca="1">'Balance Sheet'!Z13</f>
        <v>#VALUE!</v>
      </c>
      <c r="Z39" s="348" t="e">
        <f ca="1">'Balance Sheet'!AA13</f>
        <v>#VALUE!</v>
      </c>
      <c r="AA39" s="348" t="e">
        <f ca="1">'Balance Sheet'!AB13</f>
        <v>#VALUE!</v>
      </c>
      <c r="AB39" s="348" t="e">
        <f ca="1">'Balance Sheet'!AC13</f>
        <v>#VALUE!</v>
      </c>
    </row>
    <row r="40" spans="1:28">
      <c r="A40" s="95">
        <f t="shared" si="0"/>
        <v>34</v>
      </c>
      <c r="B40" s="345" t="s">
        <v>94</v>
      </c>
      <c r="H40" s="29">
        <f ca="1">H41-H39</f>
        <v>-79042.490320196579</v>
      </c>
      <c r="I40" s="29">
        <f t="shared" ref="I40:AB40" ca="1" si="15">I41-I39</f>
        <v>16421.348954887566</v>
      </c>
      <c r="J40" s="29">
        <f t="shared" ca="1" si="15"/>
        <v>-45270.49054273848</v>
      </c>
      <c r="K40" s="29">
        <f t="shared" ca="1" si="15"/>
        <v>-50594.368091952507</v>
      </c>
      <c r="L40" s="29">
        <f t="shared" ca="1" si="15"/>
        <v>0</v>
      </c>
      <c r="M40" s="29">
        <f t="shared" ca="1" si="15"/>
        <v>0</v>
      </c>
      <c r="N40" s="29">
        <f t="shared" ca="1" si="15"/>
        <v>0</v>
      </c>
      <c r="O40" s="29">
        <f t="shared" ca="1" si="15"/>
        <v>0</v>
      </c>
      <c r="P40" s="29">
        <f t="shared" ca="1" si="15"/>
        <v>0</v>
      </c>
      <c r="Q40" s="29">
        <f t="shared" ca="1" si="15"/>
        <v>0</v>
      </c>
      <c r="R40" s="29">
        <f t="shared" ca="1" si="15"/>
        <v>0</v>
      </c>
      <c r="S40" s="29" t="e">
        <f t="shared" ca="1" si="15"/>
        <v>#VALUE!</v>
      </c>
      <c r="T40" s="29" t="e">
        <f t="shared" ca="1" si="15"/>
        <v>#VALUE!</v>
      </c>
      <c r="U40" s="29" t="e">
        <f t="shared" ca="1" si="15"/>
        <v>#VALUE!</v>
      </c>
      <c r="V40" s="29" t="e">
        <f t="shared" ca="1" si="15"/>
        <v>#VALUE!</v>
      </c>
      <c r="W40" s="29" t="e">
        <f t="shared" ca="1" si="15"/>
        <v>#VALUE!</v>
      </c>
      <c r="X40" s="29" t="e">
        <f t="shared" ca="1" si="15"/>
        <v>#VALUE!</v>
      </c>
      <c r="Y40" s="29" t="e">
        <f t="shared" ca="1" si="15"/>
        <v>#VALUE!</v>
      </c>
      <c r="Z40" s="29" t="e">
        <f t="shared" ca="1" si="15"/>
        <v>#VALUE!</v>
      </c>
      <c r="AA40" s="29" t="e">
        <f t="shared" ca="1" si="15"/>
        <v>#VALUE!</v>
      </c>
      <c r="AB40" s="29" t="e">
        <f t="shared" ca="1" si="15"/>
        <v>#DIV/0!</v>
      </c>
    </row>
    <row r="41" spans="1:28">
      <c r="A41" s="95">
        <f t="shared" si="0"/>
        <v>35</v>
      </c>
      <c r="B41" s="2" t="s">
        <v>80</v>
      </c>
      <c r="G41" s="29">
        <f>'Balance Sheet'!I13</f>
        <v>228486</v>
      </c>
      <c r="H41" s="29">
        <f ca="1">'Balance Sheet'!J13</f>
        <v>149443.50967980342</v>
      </c>
      <c r="I41" s="29">
        <f ca="1">'Balance Sheet'!K13</f>
        <v>165864.85863469099</v>
      </c>
      <c r="J41" s="29">
        <f ca="1">'Balance Sheet'!L13</f>
        <v>120594.36809195251</v>
      </c>
      <c r="K41" s="29">
        <f ca="1">'Balance Sheet'!M13</f>
        <v>70000</v>
      </c>
      <c r="L41" s="29">
        <f ca="1">'Balance Sheet'!N13</f>
        <v>70000</v>
      </c>
      <c r="M41" s="29">
        <f ca="1">'Balance Sheet'!O13</f>
        <v>70000</v>
      </c>
      <c r="N41" s="29">
        <f ca="1">'Balance Sheet'!P13</f>
        <v>70000</v>
      </c>
      <c r="O41" s="29">
        <f ca="1">'Balance Sheet'!Q13</f>
        <v>70000</v>
      </c>
      <c r="P41" s="29">
        <f ca="1">'Balance Sheet'!R13</f>
        <v>70000</v>
      </c>
      <c r="Q41" s="29">
        <f ca="1">'Balance Sheet'!S13</f>
        <v>70000</v>
      </c>
      <c r="R41" s="29">
        <f ca="1">'Balance Sheet'!T13</f>
        <v>70000</v>
      </c>
      <c r="S41" s="29" t="e">
        <f ca="1">'Balance Sheet'!U13</f>
        <v>#VALUE!</v>
      </c>
      <c r="T41" s="29" t="e">
        <f ca="1">'Balance Sheet'!V13</f>
        <v>#VALUE!</v>
      </c>
      <c r="U41" s="29" t="e">
        <f ca="1">'Balance Sheet'!W13</f>
        <v>#VALUE!</v>
      </c>
      <c r="V41" s="29" t="e">
        <f ca="1">'Balance Sheet'!X13</f>
        <v>#VALUE!</v>
      </c>
      <c r="W41" s="29" t="e">
        <f ca="1">'Balance Sheet'!Y13</f>
        <v>#VALUE!</v>
      </c>
      <c r="X41" s="29" t="e">
        <f ca="1">'Balance Sheet'!Z13</f>
        <v>#VALUE!</v>
      </c>
      <c r="Y41" s="29" t="e">
        <f ca="1">'Balance Sheet'!AA13</f>
        <v>#VALUE!</v>
      </c>
      <c r="Z41" s="29" t="e">
        <f ca="1">'Balance Sheet'!AB13</f>
        <v>#VALUE!</v>
      </c>
      <c r="AA41" s="29" t="e">
        <f ca="1">'Balance Sheet'!AC13</f>
        <v>#VALUE!</v>
      </c>
      <c r="AB41" s="29" t="e">
        <f ca="1">'Balance Sheet'!AD13</f>
        <v>#DIV/0!</v>
      </c>
    </row>
    <row r="42" spans="1:28">
      <c r="A42" s="95">
        <f t="shared" si="0"/>
        <v>36</v>
      </c>
      <c r="B42" s="2"/>
    </row>
    <row r="43" spans="1:28">
      <c r="A43" s="95">
        <f t="shared" si="0"/>
        <v>37</v>
      </c>
      <c r="B43" s="345" t="s">
        <v>95</v>
      </c>
      <c r="F43" s="74" t="s">
        <v>367</v>
      </c>
      <c r="G43" s="79">
        <f>AVERAGE(Anual!R54,Anual!Q54)/100</f>
        <v>9.6263694164916522E-2</v>
      </c>
      <c r="H43" s="79">
        <f>AVERAGE(Anual!S54:T54)/100</f>
        <v>8.9918738065839138E-2</v>
      </c>
      <c r="I43" s="79">
        <f>AVERAGE(Anual!T54:U54)/100</f>
        <v>7.1190853709230575E-2</v>
      </c>
      <c r="J43" s="79">
        <f>AVERAGE(Anual!U54:V54)/100</f>
        <v>7.747762858304813E-2</v>
      </c>
      <c r="K43" s="79">
        <f>AVERAGE(Anual!V54:W54)/100</f>
        <v>8.9988520260596519E-2</v>
      </c>
      <c r="L43" s="79">
        <f>AVERAGE(Anual!W54:X54)/100</f>
        <v>9.6667088515195121E-2</v>
      </c>
      <c r="M43" s="79">
        <f>AVERAGE(Anual!X54:Y54)/100</f>
        <v>9.7100000000000006E-2</v>
      </c>
      <c r="N43" s="79">
        <f>AVERAGE(Anual!Y54:Z54)/100</f>
        <v>9.5850000000000005E-2</v>
      </c>
      <c r="O43" s="79">
        <f>AVERAGE(Anual!Z54:AA54)/100</f>
        <v>9.4600000000000004E-2</v>
      </c>
      <c r="P43" s="79">
        <f>AVERAGE(Anual!AA54:AB54)/100</f>
        <v>9.4600000000000004E-2</v>
      </c>
      <c r="Q43" s="79">
        <f>AVERAGE(Anual!AB54:AC54)/100</f>
        <v>9.4600000000000004E-2</v>
      </c>
      <c r="R43" s="79">
        <f>AVERAGE(Anual!AC54:AD54)/100</f>
        <v>9.3350000000000002E-2</v>
      </c>
      <c r="S43" s="79">
        <f>AVERAGE(Anual!AD54:AE54)/100</f>
        <v>9.2100000000000015E-2</v>
      </c>
      <c r="T43" s="79">
        <f>AVERAGE(Anual!AE54:AF54)/100</f>
        <v>9.2100000000000015E-2</v>
      </c>
      <c r="U43" s="79">
        <f>AVERAGE(Anual!AF54:AG54)/100</f>
        <v>9.2100000000000015E-2</v>
      </c>
      <c r="V43" s="79">
        <f>AVERAGE(Anual!AG54:AH54)/100</f>
        <v>9.2100000000000015E-2</v>
      </c>
      <c r="W43" s="79">
        <f>AVERAGE(Anual!AH54:AI54)/100</f>
        <v>9.0850000000000014E-2</v>
      </c>
      <c r="X43" s="79">
        <f>AVERAGE(Anual!AI54:AJ54)/100</f>
        <v>8.9600000000000013E-2</v>
      </c>
      <c r="Y43" s="79">
        <f>Anual!AK54/100</f>
        <v>8.9600000000000013E-2</v>
      </c>
      <c r="Z43" s="79">
        <f>Anual!AL54/100</f>
        <v>8.9600000000000013E-2</v>
      </c>
      <c r="AA43" s="79">
        <f>Anual!AM54/100</f>
        <v>0</v>
      </c>
      <c r="AB43" s="79">
        <f>Anual!AN54/100</f>
        <v>0</v>
      </c>
    </row>
    <row r="44" spans="1:28">
      <c r="A44" s="95">
        <f t="shared" si="0"/>
        <v>38</v>
      </c>
      <c r="B44" s="345" t="s">
        <v>75</v>
      </c>
      <c r="H44" s="349">
        <f>$F45*H43</f>
        <v>8.092686425925523E-2</v>
      </c>
      <c r="I44" s="349">
        <f t="shared" ref="I44:AB44" si="16">$F45*I43</f>
        <v>6.4071768338307522E-2</v>
      </c>
      <c r="J44" s="349">
        <f t="shared" si="16"/>
        <v>6.9729865724743323E-2</v>
      </c>
      <c r="K44" s="349">
        <f t="shared" si="16"/>
        <v>8.0989668234536863E-2</v>
      </c>
      <c r="L44" s="349">
        <f t="shared" si="16"/>
        <v>8.7000379663675617E-2</v>
      </c>
      <c r="M44" s="349">
        <f t="shared" si="16"/>
        <v>8.7390000000000009E-2</v>
      </c>
      <c r="N44" s="349">
        <f t="shared" si="16"/>
        <v>8.6265000000000008E-2</v>
      </c>
      <c r="O44" s="349">
        <f t="shared" si="16"/>
        <v>8.5140000000000007E-2</v>
      </c>
      <c r="P44" s="349">
        <f t="shared" si="16"/>
        <v>8.5140000000000007E-2</v>
      </c>
      <c r="Q44" s="349">
        <f t="shared" si="16"/>
        <v>8.5140000000000007E-2</v>
      </c>
      <c r="R44" s="349">
        <f t="shared" si="16"/>
        <v>8.4015000000000006E-2</v>
      </c>
      <c r="S44" s="349">
        <f t="shared" si="16"/>
        <v>8.2890000000000019E-2</v>
      </c>
      <c r="T44" s="349">
        <f t="shared" si="16"/>
        <v>8.2890000000000019E-2</v>
      </c>
      <c r="U44" s="349">
        <f t="shared" si="16"/>
        <v>8.2890000000000019E-2</v>
      </c>
      <c r="V44" s="349">
        <f t="shared" si="16"/>
        <v>8.2890000000000019E-2</v>
      </c>
      <c r="W44" s="349">
        <f t="shared" si="16"/>
        <v>8.1765000000000018E-2</v>
      </c>
      <c r="X44" s="349">
        <f t="shared" si="16"/>
        <v>8.0640000000000017E-2</v>
      </c>
      <c r="Y44" s="349">
        <f t="shared" si="16"/>
        <v>8.0640000000000017E-2</v>
      </c>
      <c r="Z44" s="349">
        <f t="shared" si="16"/>
        <v>8.0640000000000017E-2</v>
      </c>
      <c r="AA44" s="349">
        <f t="shared" si="16"/>
        <v>0</v>
      </c>
      <c r="AB44" s="349">
        <f t="shared" si="16"/>
        <v>0</v>
      </c>
    </row>
    <row r="45" spans="1:28">
      <c r="A45" s="95">
        <f t="shared" si="0"/>
        <v>39</v>
      </c>
      <c r="B45" s="345" t="s">
        <v>76</v>
      </c>
      <c r="F45" s="350">
        <v>0.9</v>
      </c>
      <c r="G45" s="349">
        <f>$F45*G43</f>
        <v>8.6637324748424865E-2</v>
      </c>
      <c r="H45" s="349">
        <f>$F45*H43</f>
        <v>8.092686425925523E-2</v>
      </c>
      <c r="I45" s="349">
        <f t="shared" ref="I45:AB45" si="17">$F45*I43</f>
        <v>6.4071768338307522E-2</v>
      </c>
      <c r="J45" s="349">
        <f t="shared" si="17"/>
        <v>6.9729865724743323E-2</v>
      </c>
      <c r="K45" s="349">
        <f t="shared" si="17"/>
        <v>8.0989668234536863E-2</v>
      </c>
      <c r="L45" s="349">
        <f t="shared" si="17"/>
        <v>8.7000379663675617E-2</v>
      </c>
      <c r="M45" s="349">
        <f t="shared" si="17"/>
        <v>8.7390000000000009E-2</v>
      </c>
      <c r="N45" s="349">
        <f t="shared" si="17"/>
        <v>8.6265000000000008E-2</v>
      </c>
      <c r="O45" s="349">
        <f t="shared" si="17"/>
        <v>8.5140000000000007E-2</v>
      </c>
      <c r="P45" s="349">
        <f t="shared" si="17"/>
        <v>8.5140000000000007E-2</v>
      </c>
      <c r="Q45" s="349">
        <f t="shared" si="17"/>
        <v>8.5140000000000007E-2</v>
      </c>
      <c r="R45" s="349">
        <f t="shared" si="17"/>
        <v>8.4015000000000006E-2</v>
      </c>
      <c r="S45" s="349">
        <f t="shared" si="17"/>
        <v>8.2890000000000019E-2</v>
      </c>
      <c r="T45" s="349">
        <f t="shared" si="17"/>
        <v>8.2890000000000019E-2</v>
      </c>
      <c r="U45" s="349">
        <f t="shared" si="17"/>
        <v>8.2890000000000019E-2</v>
      </c>
      <c r="V45" s="349">
        <f t="shared" si="17"/>
        <v>8.2890000000000019E-2</v>
      </c>
      <c r="W45" s="349">
        <f t="shared" si="17"/>
        <v>8.1765000000000018E-2</v>
      </c>
      <c r="X45" s="349">
        <f t="shared" si="17"/>
        <v>8.0640000000000017E-2</v>
      </c>
      <c r="Y45" s="349">
        <f t="shared" si="17"/>
        <v>8.0640000000000017E-2</v>
      </c>
      <c r="Z45" s="349">
        <f t="shared" si="17"/>
        <v>8.0640000000000017E-2</v>
      </c>
      <c r="AA45" s="349">
        <f t="shared" si="17"/>
        <v>0</v>
      </c>
      <c r="AB45" s="349">
        <f t="shared" si="17"/>
        <v>0</v>
      </c>
    </row>
    <row r="46" spans="1:28">
      <c r="A46" s="95">
        <f t="shared" si="0"/>
        <v>40</v>
      </c>
      <c r="B46" s="4"/>
    </row>
    <row r="47" spans="1:28">
      <c r="A47" s="95">
        <f t="shared" si="0"/>
        <v>41</v>
      </c>
      <c r="B47" s="2" t="s">
        <v>26</v>
      </c>
      <c r="G47" s="29">
        <f>IF(G41&gt;0,AVERAGE(G41,G39)*G45,0)</f>
        <v>15094.127992320076</v>
      </c>
      <c r="H47" s="434">
        <f ca="1">IF((AVERAGE(H41,H39)-$F54)&gt;0,(AVERAGE(H41,H39)-$F54)*H45,0)</f>
        <v>9627.4445665643016</v>
      </c>
      <c r="I47" s="434">
        <f t="shared" ref="I47:AB47" ca="1" si="18">IF((AVERAGE(I41,I39)-$F54)&gt;0,(AVERAGE(I41,I39)-$F54)*I45,0)</f>
        <v>5616.1585812064877</v>
      </c>
      <c r="J47" s="434">
        <f t="shared" ca="1" si="18"/>
        <v>5106.2911068992953</v>
      </c>
      <c r="K47" s="434">
        <f t="shared" ca="1" si="18"/>
        <v>2048.8105431516365</v>
      </c>
      <c r="L47" s="434">
        <f t="shared" ca="1" si="18"/>
        <v>0</v>
      </c>
      <c r="M47" s="434">
        <f t="shared" ca="1" si="18"/>
        <v>0</v>
      </c>
      <c r="N47" s="434">
        <f t="shared" ca="1" si="18"/>
        <v>0</v>
      </c>
      <c r="O47" s="434">
        <f t="shared" ca="1" si="18"/>
        <v>0</v>
      </c>
      <c r="P47" s="434">
        <f t="shared" ca="1" si="18"/>
        <v>0</v>
      </c>
      <c r="Q47" s="434">
        <f t="shared" ca="1" si="18"/>
        <v>0</v>
      </c>
      <c r="R47" s="434">
        <f t="shared" ca="1" si="18"/>
        <v>0</v>
      </c>
      <c r="S47" s="434" t="e">
        <f t="shared" ca="1" si="18"/>
        <v>#VALUE!</v>
      </c>
      <c r="T47" s="434" t="e">
        <f t="shared" ca="1" si="18"/>
        <v>#VALUE!</v>
      </c>
      <c r="U47" s="434" t="e">
        <f t="shared" ca="1" si="18"/>
        <v>#VALUE!</v>
      </c>
      <c r="V47" s="434" t="e">
        <f t="shared" ca="1" si="18"/>
        <v>#VALUE!</v>
      </c>
      <c r="W47" s="434" t="e">
        <f t="shared" ca="1" si="18"/>
        <v>#VALUE!</v>
      </c>
      <c r="X47" s="434" t="e">
        <f t="shared" ca="1" si="18"/>
        <v>#VALUE!</v>
      </c>
      <c r="Y47" s="434" t="e">
        <f t="shared" ca="1" si="18"/>
        <v>#VALUE!</v>
      </c>
      <c r="Z47" s="434" t="e">
        <f t="shared" ca="1" si="18"/>
        <v>#VALUE!</v>
      </c>
      <c r="AA47" s="434" t="e">
        <f t="shared" ca="1" si="18"/>
        <v>#VALUE!</v>
      </c>
      <c r="AB47" s="434" t="e">
        <f t="shared" ca="1" si="18"/>
        <v>#DIV/0!</v>
      </c>
    </row>
    <row r="48" spans="1:28">
      <c r="A48" s="95">
        <f t="shared" si="0"/>
        <v>42</v>
      </c>
    </row>
    <row r="49" spans="1:28">
      <c r="A49" s="95">
        <f t="shared" si="0"/>
        <v>43</v>
      </c>
      <c r="B49" s="4"/>
      <c r="D49" s="54"/>
      <c r="E49" s="54"/>
      <c r="F49" s="54"/>
      <c r="G49" s="5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>
      <c r="A50" s="95">
        <f t="shared" si="0"/>
        <v>44</v>
      </c>
      <c r="B50" s="28" t="s">
        <v>157</v>
      </c>
      <c r="C50" s="26"/>
      <c r="D50" s="134">
        <f>$G$7</f>
        <v>40908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>
      <c r="A51" s="95">
        <f t="shared" si="0"/>
        <v>45</v>
      </c>
      <c r="B51" s="2" t="s">
        <v>379</v>
      </c>
      <c r="C51" s="15"/>
      <c r="D51" s="416" t="s">
        <v>405</v>
      </c>
      <c r="E51" s="54"/>
      <c r="F51" s="54"/>
      <c r="G51" s="55"/>
      <c r="H51" s="5">
        <f ca="1">IF('Cash Flow'!H56+'Cash Flow'!H58&lt;'ST Inv. &amp; Debt'!$F$54,'ST Inv. &amp; Debt'!$F$54-('Cash Flow'!H56+'Cash Flow'!H58),0)</f>
        <v>0</v>
      </c>
      <c r="I51" s="5">
        <f ca="1">IF('Cash Flow'!I56+'Cash Flow'!I58&lt;'ST Inv. &amp; Debt'!$F$54,'ST Inv. &amp; Debt'!$F$54-('Cash Flow'!I56+'Cash Flow'!I58),0)</f>
        <v>0</v>
      </c>
      <c r="J51" s="5">
        <f ca="1">IF('Cash Flow'!J56+'Cash Flow'!J58&lt;'ST Inv. &amp; Debt'!$F$54,'ST Inv. &amp; Debt'!$F$54-('Cash Flow'!J56+'Cash Flow'!J58),0)</f>
        <v>0</v>
      </c>
      <c r="K51" s="5">
        <f ca="1">IF('Cash Flow'!K56+'Cash Flow'!K58&lt;'ST Inv. &amp; Debt'!$F$54,'ST Inv. &amp; Debt'!$F$54-('Cash Flow'!K56+'Cash Flow'!K58),0)</f>
        <v>51880.55333131412</v>
      </c>
      <c r="L51" s="5">
        <f ca="1">IF('Cash Flow'!L56+'Cash Flow'!L58&lt;'ST Inv. &amp; Debt'!$F$54,'ST Inv. &amp; Debt'!$F$54-('Cash Flow'!L56+'Cash Flow'!L58),0)</f>
        <v>154768.36630831781</v>
      </c>
      <c r="M51" s="5">
        <f ca="1">IF('Cash Flow'!M56+'Cash Flow'!M58&lt;'ST Inv. &amp; Debt'!$F$54,'ST Inv. &amp; Debt'!$F$54-('Cash Flow'!M56+'Cash Flow'!M58),0)</f>
        <v>262913.99171779654</v>
      </c>
      <c r="N51" s="5">
        <f ca="1">IF('Cash Flow'!N56+'Cash Flow'!N58&lt;'ST Inv. &amp; Debt'!$F$54,'ST Inv. &amp; Debt'!$F$54-('Cash Flow'!N56+'Cash Flow'!N58),0)</f>
        <v>372358.17939326738</v>
      </c>
      <c r="O51" s="5">
        <f ca="1">IF('Cash Flow'!O56+'Cash Flow'!O58&lt;'ST Inv. &amp; Debt'!$F$54,'ST Inv. &amp; Debt'!$F$54-('Cash Flow'!O56+'Cash Flow'!O58),0)</f>
        <v>325981.37606938335</v>
      </c>
      <c r="P51" s="5">
        <f ca="1">IF('Cash Flow'!P56+'Cash Flow'!P58&lt;'ST Inv. &amp; Debt'!$F$54,'ST Inv. &amp; Debt'!$F$54-('Cash Flow'!P56+'Cash Flow'!P58),0)</f>
        <v>309686.21948148694</v>
      </c>
      <c r="Q51" s="5">
        <f ca="1">IF('Cash Flow'!Q56+'Cash Flow'!Q58&lt;'ST Inv. &amp; Debt'!$F$54,'ST Inv. &amp; Debt'!$F$54-('Cash Flow'!Q56+'Cash Flow'!Q58),0)</f>
        <v>272558.32477486163</v>
      </c>
      <c r="R51" s="5">
        <f ca="1">IF('Cash Flow'!R56+'Cash Flow'!R58&lt;'ST Inv. &amp; Debt'!$F$54,'ST Inv. &amp; Debt'!$F$54-('Cash Flow'!R56+'Cash Flow'!R58),0)</f>
        <v>218464.44092936045</v>
      </c>
      <c r="S51" s="5" t="e">
        <f ca="1">IF('Cash Flow'!S56+'Cash Flow'!S58&lt;'ST Inv. &amp; Debt'!$F$54,'ST Inv. &amp; Debt'!$F$54-('Cash Flow'!S56+'Cash Flow'!S58),0)</f>
        <v>#VALUE!</v>
      </c>
      <c r="T51" s="5" t="e">
        <f ca="1">IF('Cash Flow'!T56+'Cash Flow'!T58&lt;'ST Inv. &amp; Debt'!$F$54,'ST Inv. &amp; Debt'!$F$54-('Cash Flow'!T56+'Cash Flow'!T58),0)</f>
        <v>#VALUE!</v>
      </c>
      <c r="U51" s="5" t="e">
        <f ca="1">IF('Cash Flow'!U56+'Cash Flow'!U58&lt;'ST Inv. &amp; Debt'!$F$54,'ST Inv. &amp; Debt'!$F$54-('Cash Flow'!U56+'Cash Flow'!U58),0)</f>
        <v>#VALUE!</v>
      </c>
      <c r="V51" s="5" t="e">
        <f ca="1">IF('Cash Flow'!V56+'Cash Flow'!V58&lt;'ST Inv. &amp; Debt'!$F$54,'ST Inv. &amp; Debt'!$F$54-('Cash Flow'!V56+'Cash Flow'!V58),0)</f>
        <v>#VALUE!</v>
      </c>
      <c r="W51" s="5" t="e">
        <f ca="1">IF('Cash Flow'!W56+'Cash Flow'!W58&lt;'ST Inv. &amp; Debt'!$F$54,'ST Inv. &amp; Debt'!$F$54-('Cash Flow'!W56+'Cash Flow'!W58),0)</f>
        <v>#VALUE!</v>
      </c>
      <c r="X51" s="5" t="e">
        <f ca="1">IF('Cash Flow'!X56+'Cash Flow'!X58&lt;'ST Inv. &amp; Debt'!$F$54,'ST Inv. &amp; Debt'!$F$54-('Cash Flow'!X56+'Cash Flow'!X58),0)</f>
        <v>#VALUE!</v>
      </c>
      <c r="Y51" s="5" t="e">
        <f ca="1">IF('Cash Flow'!Y56+'Cash Flow'!Y58&lt;'ST Inv. &amp; Debt'!$F$54,'ST Inv. &amp; Debt'!$F$54-('Cash Flow'!Y56+'Cash Flow'!Y58),0)</f>
        <v>#VALUE!</v>
      </c>
      <c r="Z51" s="5" t="e">
        <f ca="1">IF('Cash Flow'!Z56+'Cash Flow'!Z58&lt;'ST Inv. &amp; Debt'!$F$54,'ST Inv. &amp; Debt'!$F$54-('Cash Flow'!Z56+'Cash Flow'!Z58),0)</f>
        <v>#VALUE!</v>
      </c>
      <c r="AA51" s="5" t="e">
        <f ca="1">IF('Cash Flow'!AA56+'Cash Flow'!AA58&lt;'ST Inv. &amp; Debt'!$F$54,'ST Inv. &amp; Debt'!$F$54-('Cash Flow'!AA56+'Cash Flow'!AA58),0)</f>
        <v>#VALUE!</v>
      </c>
      <c r="AB51" s="5" t="e">
        <f ca="1">IF('Cash Flow'!AB56+'Cash Flow'!AB58&lt;'ST Inv. &amp; Debt'!$F$54,'ST Inv. &amp; Debt'!$F$54-('Cash Flow'!AB56+'Cash Flow'!AB58),0)</f>
        <v>#DIV/0!</v>
      </c>
    </row>
    <row r="52" spans="1:28">
      <c r="A52" s="95">
        <f t="shared" si="0"/>
        <v>46</v>
      </c>
      <c r="B52" s="2"/>
      <c r="D52" s="54"/>
      <c r="E52" s="54"/>
      <c r="F52" s="54"/>
      <c r="G52" s="54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spans="1:28">
      <c r="A53" s="95">
        <f t="shared" si="0"/>
        <v>47</v>
      </c>
      <c r="D53" s="54"/>
      <c r="E53" s="54"/>
      <c r="G53" s="55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 spans="1:28">
      <c r="A54" s="95">
        <f t="shared" si="0"/>
        <v>48</v>
      </c>
      <c r="B54" s="2"/>
      <c r="D54" s="345" t="s">
        <v>372</v>
      </c>
      <c r="F54" s="387">
        <v>70000</v>
      </c>
      <c r="G54" s="55"/>
      <c r="H54" s="3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</row>
    <row r="55" spans="1:28">
      <c r="A55" s="95">
        <f t="shared" si="0"/>
        <v>49</v>
      </c>
      <c r="B55" s="2"/>
      <c r="D55" s="54"/>
      <c r="E55" s="54"/>
      <c r="F55" s="54"/>
      <c r="G55" s="5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>
      <c r="A56" s="95">
        <f t="shared" si="0"/>
        <v>50</v>
      </c>
      <c r="B56" s="345" t="s">
        <v>95</v>
      </c>
      <c r="E56" s="351"/>
      <c r="F56" s="74" t="s">
        <v>368</v>
      </c>
      <c r="G56" s="352"/>
      <c r="H56" s="79">
        <f>AVERAGE(Anual!S54:T54)/100</f>
        <v>8.9918738065839138E-2</v>
      </c>
      <c r="I56" s="79">
        <f>AVERAGE(Anual!T54:U54)/100</f>
        <v>7.1190853709230575E-2</v>
      </c>
      <c r="J56" s="79">
        <f>AVERAGE(Anual!U54:V54)/100</f>
        <v>7.747762858304813E-2</v>
      </c>
      <c r="K56" s="79">
        <f>AVERAGE(Anual!V54:W54)/100</f>
        <v>8.9988520260596519E-2</v>
      </c>
      <c r="L56" s="79">
        <f>AVERAGE(Anual!W54:X54)/100</f>
        <v>9.6667088515195121E-2</v>
      </c>
      <c r="M56" s="79">
        <f>AVERAGE(Anual!X54:Y54)/100</f>
        <v>9.7100000000000006E-2</v>
      </c>
      <c r="N56" s="79">
        <f>AVERAGE(Anual!Y54:Z54)/100</f>
        <v>9.5850000000000005E-2</v>
      </c>
      <c r="O56" s="79">
        <f>AVERAGE(Anual!Z54:AA54)/100</f>
        <v>9.4600000000000004E-2</v>
      </c>
      <c r="P56" s="79">
        <f>AVERAGE(Anual!AA54:AB54)/100</f>
        <v>9.4600000000000004E-2</v>
      </c>
      <c r="Q56" s="79">
        <f>AVERAGE(Anual!AB54:AC54)/100</f>
        <v>9.4600000000000004E-2</v>
      </c>
      <c r="R56" s="79">
        <f>AVERAGE(Anual!AC54:AD54)/100</f>
        <v>9.3350000000000002E-2</v>
      </c>
      <c r="S56" s="79">
        <f>AVERAGE(Anual!AD54:AE54)/100</f>
        <v>9.2100000000000015E-2</v>
      </c>
      <c r="T56" s="79">
        <f>AVERAGE(Anual!AE54:AF54)/100</f>
        <v>9.2100000000000015E-2</v>
      </c>
      <c r="U56" s="79">
        <f>AVERAGE(Anual!AF54:AG54)/100</f>
        <v>9.2100000000000015E-2</v>
      </c>
      <c r="V56" s="79">
        <f>AVERAGE(Anual!AG54:AH54)/100</f>
        <v>9.2100000000000015E-2</v>
      </c>
      <c r="W56" s="79">
        <f>AVERAGE(Anual!AH54:AI54)/100</f>
        <v>9.0850000000000014E-2</v>
      </c>
      <c r="X56" s="79">
        <f>AVERAGE(Anual!AI54:AJ54)/100</f>
        <v>8.9600000000000013E-2</v>
      </c>
      <c r="Y56" s="79">
        <f>AVERAGE(Anual!AJ54:AK54)/100</f>
        <v>8.9600000000000013E-2</v>
      </c>
      <c r="Z56" s="79">
        <f>AVERAGE(Anual!AK54:AL54)/100</f>
        <v>8.9600000000000013E-2</v>
      </c>
      <c r="AA56" s="79">
        <f>AVERAGE(Anual!AL54:AM54)/100</f>
        <v>8.9600000000000013E-2</v>
      </c>
      <c r="AB56" s="79" t="e">
        <f>AVERAGE(Anual!AM54:AN54)/100</f>
        <v>#DIV/0!</v>
      </c>
    </row>
    <row r="57" spans="1:28">
      <c r="A57" s="95">
        <f t="shared" si="0"/>
        <v>51</v>
      </c>
      <c r="B57" s="345" t="s">
        <v>75</v>
      </c>
      <c r="E57" s="351"/>
      <c r="F57" s="351"/>
      <c r="G57" s="352"/>
      <c r="H57" s="349">
        <v>9.6015680732510766E-2</v>
      </c>
      <c r="I57" s="349">
        <v>0.12356687221910145</v>
      </c>
      <c r="J57" s="349">
        <v>0.12290961768073827</v>
      </c>
      <c r="K57" s="349">
        <v>9.029668460419904E-2</v>
      </c>
      <c r="L57" s="349">
        <v>7.178964713973035E-2</v>
      </c>
      <c r="M57" s="349">
        <v>8.5106119086168608E-2</v>
      </c>
      <c r="N57" s="349">
        <v>8.931969810964846E-2</v>
      </c>
      <c r="O57" s="349">
        <v>9.5997229437133846E-2</v>
      </c>
      <c r="P57" s="349">
        <v>8.5146952512157092E-2</v>
      </c>
      <c r="Q57" s="349">
        <v>8.384682158841783E-2</v>
      </c>
      <c r="R57" s="349">
        <v>9.4207452154611904E-2</v>
      </c>
      <c r="S57" s="349">
        <v>9.4207452154611904E-2</v>
      </c>
      <c r="T57" s="349">
        <v>7.8127888919998556E-2</v>
      </c>
      <c r="U57" s="349">
        <v>7.4905189815073436E-2</v>
      </c>
      <c r="V57" s="349">
        <v>9.2863891509025853E-2</v>
      </c>
      <c r="W57" s="349">
        <v>9.248187898793403E-2</v>
      </c>
      <c r="X57" s="349">
        <v>9.1336642436913973E-2</v>
      </c>
      <c r="Y57" s="349">
        <v>6.9511659345038668E-2</v>
      </c>
      <c r="Z57" s="349">
        <v>6.6321477977900223E-2</v>
      </c>
      <c r="AA57" s="349">
        <v>8.8858194760175868E-2</v>
      </c>
      <c r="AB57" s="349">
        <v>8.9971092111717832E-2</v>
      </c>
    </row>
    <row r="58" spans="1:28">
      <c r="A58" s="95">
        <f t="shared" si="0"/>
        <v>52</v>
      </c>
      <c r="B58" s="345" t="s">
        <v>76</v>
      </c>
      <c r="E58" s="351"/>
      <c r="F58" s="350">
        <v>0.04</v>
      </c>
      <c r="G58" s="352"/>
      <c r="H58" s="353">
        <f>((1+H56)*(1+$F58))-1</f>
        <v>0.13351548758847276</v>
      </c>
      <c r="I58" s="353">
        <f t="shared" ref="I58:AB58" si="19">((1+I56)*(1+$F58))-1</f>
        <v>0.11403848785759974</v>
      </c>
      <c r="J58" s="353">
        <f t="shared" si="19"/>
        <v>0.12057673372637012</v>
      </c>
      <c r="K58" s="353">
        <f t="shared" si="19"/>
        <v>0.1335880610710205</v>
      </c>
      <c r="L58" s="353">
        <f t="shared" si="19"/>
        <v>0.14053377205580309</v>
      </c>
      <c r="M58" s="353">
        <f t="shared" si="19"/>
        <v>0.140984</v>
      </c>
      <c r="N58" s="353">
        <f t="shared" si="19"/>
        <v>0.13968399999999992</v>
      </c>
      <c r="O58" s="353">
        <f t="shared" si="19"/>
        <v>0.13838400000000006</v>
      </c>
      <c r="P58" s="353">
        <f t="shared" si="19"/>
        <v>0.13838400000000006</v>
      </c>
      <c r="Q58" s="353">
        <f t="shared" si="19"/>
        <v>0.13838400000000006</v>
      </c>
      <c r="R58" s="353">
        <f t="shared" si="19"/>
        <v>0.13708399999999998</v>
      </c>
      <c r="S58" s="353">
        <f t="shared" si="19"/>
        <v>0.13578400000000013</v>
      </c>
      <c r="T58" s="353">
        <f t="shared" si="19"/>
        <v>0.13578400000000013</v>
      </c>
      <c r="U58" s="353">
        <f t="shared" si="19"/>
        <v>0.13578400000000013</v>
      </c>
      <c r="V58" s="353">
        <f t="shared" si="19"/>
        <v>0.13578400000000013</v>
      </c>
      <c r="W58" s="353">
        <f t="shared" si="19"/>
        <v>0.13448400000000005</v>
      </c>
      <c r="X58" s="353">
        <f t="shared" si="19"/>
        <v>0.13318399999999997</v>
      </c>
      <c r="Y58" s="353">
        <f t="shared" si="19"/>
        <v>0.13318399999999997</v>
      </c>
      <c r="Z58" s="353">
        <f t="shared" si="19"/>
        <v>0.13318399999999997</v>
      </c>
      <c r="AA58" s="353">
        <f t="shared" si="19"/>
        <v>0.13318399999999997</v>
      </c>
      <c r="AB58" s="353" t="e">
        <f t="shared" si="19"/>
        <v>#DIV/0!</v>
      </c>
    </row>
    <row r="59" spans="1:28">
      <c r="A59" s="95">
        <f t="shared" si="0"/>
        <v>53</v>
      </c>
      <c r="B59" s="4"/>
      <c r="D59" s="54"/>
      <c r="E59" s="54"/>
      <c r="F59" s="54"/>
      <c r="G59" s="5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>
      <c r="A60" s="95">
        <f t="shared" si="0"/>
        <v>54</v>
      </c>
      <c r="B60" s="2" t="s">
        <v>229</v>
      </c>
      <c r="D60" s="54"/>
      <c r="E60" s="54"/>
      <c r="F60" s="54"/>
      <c r="G60" s="55"/>
      <c r="H60" s="31">
        <f t="shared" ref="H60:O60" si="20">H58*G51</f>
        <v>0</v>
      </c>
      <c r="I60" s="31">
        <f t="shared" ca="1" si="20"/>
        <v>0</v>
      </c>
      <c r="J60" s="31">
        <f t="shared" ca="1" si="20"/>
        <v>0</v>
      </c>
      <c r="K60" s="31">
        <f t="shared" ca="1" si="20"/>
        <v>0</v>
      </c>
      <c r="L60" s="31">
        <f t="shared" ca="1" si="20"/>
        <v>7290.9698559918343</v>
      </c>
      <c r="M60" s="31">
        <f t="shared" ca="1" si="20"/>
        <v>21819.863355611877</v>
      </c>
      <c r="N60" s="31">
        <f t="shared" ca="1" si="20"/>
        <v>36724.87801910867</v>
      </c>
      <c r="O60" s="31">
        <f t="shared" ca="1" si="20"/>
        <v>51528.414297157935</v>
      </c>
      <c r="P60" s="31">
        <f t="shared" ref="P60:Q60" ca="1" si="21">P58*O51</f>
        <v>45110.606745985562</v>
      </c>
      <c r="Q60" s="31">
        <f t="shared" ca="1" si="21"/>
        <v>42855.61779672611</v>
      </c>
      <c r="R60" s="31">
        <f ca="1">R58*Q51</f>
        <v>37363.385393437129</v>
      </c>
      <c r="S60" s="31">
        <f t="shared" ref="S60:AB60" ca="1" si="22">S58*R51</f>
        <v>29663.975647152307</v>
      </c>
      <c r="T60" s="31" t="e">
        <f t="shared" ca="1" si="22"/>
        <v>#VALUE!</v>
      </c>
      <c r="U60" s="31" t="e">
        <f t="shared" ca="1" si="22"/>
        <v>#VALUE!</v>
      </c>
      <c r="V60" s="31" t="e">
        <f t="shared" ca="1" si="22"/>
        <v>#VALUE!</v>
      </c>
      <c r="W60" s="31" t="e">
        <f t="shared" ca="1" si="22"/>
        <v>#VALUE!</v>
      </c>
      <c r="X60" s="31" t="e">
        <f t="shared" ca="1" si="22"/>
        <v>#VALUE!</v>
      </c>
      <c r="Y60" s="31" t="e">
        <f t="shared" ca="1" si="22"/>
        <v>#VALUE!</v>
      </c>
      <c r="Z60" s="31" t="e">
        <f t="shared" ca="1" si="22"/>
        <v>#VALUE!</v>
      </c>
      <c r="AA60" s="31" t="e">
        <f t="shared" ca="1" si="22"/>
        <v>#VALUE!</v>
      </c>
      <c r="AB60" s="31" t="e">
        <f t="shared" ca="1" si="22"/>
        <v>#DIV/0!</v>
      </c>
    </row>
    <row r="61" spans="1:28">
      <c r="A61" s="95">
        <f t="shared" si="0"/>
        <v>55</v>
      </c>
      <c r="B61" s="4"/>
      <c r="D61" s="54"/>
      <c r="E61" s="54"/>
      <c r="F61" s="54"/>
      <c r="G61" s="5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>
      <c r="A62" s="95">
        <f t="shared" si="0"/>
        <v>56</v>
      </c>
      <c r="B62" s="4"/>
      <c r="D62" s="54"/>
      <c r="E62" s="54"/>
      <c r="F62" s="54"/>
      <c r="G62" s="5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>
      <c r="A63" s="95">
        <f t="shared" si="0"/>
        <v>57</v>
      </c>
      <c r="B63" s="28" t="s">
        <v>222</v>
      </c>
      <c r="C63" s="26"/>
      <c r="D63" s="134">
        <f>$G$7</f>
        <v>40908</v>
      </c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>
      <c r="A64" s="95">
        <f t="shared" si="0"/>
        <v>58</v>
      </c>
      <c r="D64" s="351"/>
      <c r="E64" s="351"/>
      <c r="F64" s="351"/>
      <c r="G64" s="472">
        <f>G111/4</f>
        <v>98526.75</v>
      </c>
    </row>
    <row r="65" spans="1:28">
      <c r="A65" s="95">
        <f t="shared" si="0"/>
        <v>59</v>
      </c>
      <c r="B65" s="2" t="s">
        <v>69</v>
      </c>
      <c r="C65" s="2"/>
      <c r="E65" s="2"/>
      <c r="F65" s="2"/>
      <c r="G65" s="50"/>
      <c r="H65" s="133">
        <v>0</v>
      </c>
      <c r="I65" s="133">
        <f>H112</f>
        <v>0</v>
      </c>
      <c r="J65" s="133">
        <v>0</v>
      </c>
      <c r="K65" s="133">
        <v>0</v>
      </c>
      <c r="L65" s="133">
        <v>0</v>
      </c>
      <c r="M65" s="133">
        <v>0</v>
      </c>
      <c r="N65" s="133">
        <v>0</v>
      </c>
      <c r="O65" s="133">
        <v>0</v>
      </c>
      <c r="P65" s="133">
        <v>0</v>
      </c>
      <c r="Q65" s="133">
        <v>0</v>
      </c>
      <c r="R65" s="133">
        <v>0</v>
      </c>
      <c r="S65" s="133">
        <v>0</v>
      </c>
      <c r="T65" s="133">
        <v>0</v>
      </c>
      <c r="U65" s="133">
        <v>0</v>
      </c>
      <c r="V65" s="133">
        <v>0</v>
      </c>
      <c r="W65" s="133">
        <v>0</v>
      </c>
      <c r="X65" s="133">
        <v>0</v>
      </c>
      <c r="Y65" s="133">
        <v>0</v>
      </c>
      <c r="Z65" s="133">
        <v>0</v>
      </c>
      <c r="AA65" s="133">
        <v>0</v>
      </c>
      <c r="AB65" s="133">
        <v>0</v>
      </c>
    </row>
    <row r="66" spans="1:28">
      <c r="A66" s="95">
        <f t="shared" si="0"/>
        <v>60</v>
      </c>
      <c r="B66" s="2" t="s">
        <v>78</v>
      </c>
      <c r="C66" s="2"/>
      <c r="E66" s="56"/>
      <c r="F66" s="2"/>
      <c r="G66" s="50"/>
      <c r="H66" s="70">
        <f>G111+H65</f>
        <v>394107</v>
      </c>
      <c r="I66" s="70">
        <f>H111+I65</f>
        <v>344986</v>
      </c>
      <c r="J66" s="70">
        <f>I111+J65</f>
        <v>313887</v>
      </c>
      <c r="K66" s="70">
        <f t="shared" ref="K66:O66" si="23">J111+K65</f>
        <v>262863</v>
      </c>
      <c r="L66" s="70">
        <f t="shared" si="23"/>
        <v>176334</v>
      </c>
      <c r="M66" s="70">
        <f t="shared" si="23"/>
        <v>117556</v>
      </c>
      <c r="N66" s="70">
        <f t="shared" si="23"/>
        <v>58778</v>
      </c>
      <c r="O66" s="70">
        <f t="shared" si="23"/>
        <v>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</row>
    <row r="67" spans="1:28" s="39" customFormat="1" ht="12.75" hidden="1" customHeight="1" outlineLevel="1">
      <c r="A67" s="95">
        <f t="shared" si="0"/>
        <v>61</v>
      </c>
      <c r="B67" s="25" t="s">
        <v>179</v>
      </c>
      <c r="C67"/>
      <c r="D67"/>
      <c r="E67" s="351"/>
      <c r="F67" s="354">
        <f t="shared" ref="F67:F109" si="24">$F$110</f>
        <v>1</v>
      </c>
      <c r="G67" s="352"/>
      <c r="H67" s="355"/>
      <c r="J67" s="355"/>
      <c r="K67" s="355">
        <f>IF(SUM($H67:J67)&gt;=$H65,0,$H65*$F67)</f>
        <v>0</v>
      </c>
      <c r="L67" s="355">
        <f>IF(SUM($H67:K67)&gt;=$H65,0,$H65*$F67)</f>
        <v>0</v>
      </c>
      <c r="M67" s="355">
        <f>IF(SUM($H67:L67)&gt;=$H65,0,$H65*$F67)</f>
        <v>0</v>
      </c>
      <c r="N67" s="355">
        <f>IF(SUM($H67:M67)&gt;=$H65,0,$H65*$F67)</f>
        <v>0</v>
      </c>
      <c r="O67" s="355">
        <f>IF(SUM($H67:N67)&gt;=$H65,0,$H65*$F67)</f>
        <v>0</v>
      </c>
      <c r="P67" s="355">
        <f>IF(SUM($H67:O67)&gt;=$H65,0,$H65*$F67)</f>
        <v>0</v>
      </c>
      <c r="Q67" s="355">
        <f>IF(SUM($H67:P67)&gt;=$H65,0,$H65*$F67)</f>
        <v>0</v>
      </c>
      <c r="R67" s="355">
        <f>IF(SUM($H67:Q67)&gt;=$H65,0,$H65*$F67)</f>
        <v>0</v>
      </c>
      <c r="S67" s="355">
        <f>IF(SUM($H67:R67)&gt;=$H65,0,$H65*$F67)</f>
        <v>0</v>
      </c>
      <c r="T67" s="355">
        <f>IF(SUM($H67:S67)&gt;=$H65,0,$H65*$F67)</f>
        <v>0</v>
      </c>
      <c r="U67" s="355">
        <f>IF(SUM($H67:T67)&gt;=$H65,0,$H65*$F67)</f>
        <v>0</v>
      </c>
      <c r="V67" s="355">
        <f>IF(SUM($H67:U67)&gt;=$H65,0,$H65*$F67)</f>
        <v>0</v>
      </c>
      <c r="W67" s="355">
        <f>IF(SUM($H67:V67)&gt;=$H65,0,$H65*$F67)</f>
        <v>0</v>
      </c>
      <c r="X67" s="355">
        <f>IF(SUM($H67:W67)&gt;=$H65,0,$H65*$F67)</f>
        <v>0</v>
      </c>
      <c r="Y67" s="355">
        <f>IF(SUM($H67:X67)&gt;=$H65,0,$H65*$F67)</f>
        <v>0</v>
      </c>
      <c r="Z67" s="355">
        <f>IF(SUM($H67:Y67)&gt;=$H65,0,$H65*$F67)</f>
        <v>0</v>
      </c>
      <c r="AA67" s="355">
        <f>IF(SUM($H67:Z67)&gt;=$H65,0,$H65*$F67)</f>
        <v>0</v>
      </c>
      <c r="AB67" s="355">
        <f>IF(SUM($H67:AA67)&gt;=$H65,0,$H65*$F67)</f>
        <v>0</v>
      </c>
    </row>
    <row r="68" spans="1:28" s="39" customFormat="1" ht="12.75" hidden="1" customHeight="1" outlineLevel="1">
      <c r="A68" s="95">
        <f t="shared" si="0"/>
        <v>62</v>
      </c>
      <c r="B68" s="25" t="s">
        <v>180</v>
      </c>
      <c r="C68"/>
      <c r="D68"/>
      <c r="E68" s="351"/>
      <c r="F68" s="354">
        <f t="shared" si="24"/>
        <v>1</v>
      </c>
      <c r="G68" s="352"/>
      <c r="H68" s="355"/>
      <c r="I68" s="355">
        <f>IF(SUM($H68:H68)&gt;=$I65,0,$I65*$F68)</f>
        <v>0</v>
      </c>
      <c r="J68" s="355">
        <f>IF(SUM($H68:I68)&gt;=$I65,0,$I65*$F68)</f>
        <v>0</v>
      </c>
      <c r="K68" s="355">
        <f>IF(SUM($H68:J68)&gt;=$I65,0,$I65*$F68)</f>
        <v>0</v>
      </c>
      <c r="L68" s="355">
        <f>IF(SUM($H68:K68)&gt;=$I65,0,$I65*$F68)</f>
        <v>0</v>
      </c>
      <c r="M68" s="355">
        <f>IF(SUM($H68:L68)&gt;=$I65,0,$I65*$F68)</f>
        <v>0</v>
      </c>
      <c r="N68" s="355">
        <f>IF(SUM($H68:M68)&gt;=$I65,0,$I65*$F68)</f>
        <v>0</v>
      </c>
      <c r="O68" s="355">
        <f>IF(SUM($H68:N68)&gt;=$I65,0,$I65*$F68)</f>
        <v>0</v>
      </c>
      <c r="P68" s="355">
        <f>IF(SUM($H68:O68)&gt;=$I65,0,$I65*$F68)</f>
        <v>0</v>
      </c>
      <c r="Q68" s="355">
        <f>IF(SUM($H68:P68)&gt;=$I65,0,$I65*$F68)</f>
        <v>0</v>
      </c>
      <c r="R68" s="355">
        <f>IF(SUM($H68:Q68)&gt;=$I65,0,$I65*$F68)</f>
        <v>0</v>
      </c>
      <c r="S68" s="355">
        <f>IF(SUM($H68:R68)&gt;=$I65,0,$I65*$F68)</f>
        <v>0</v>
      </c>
      <c r="T68" s="355">
        <f>IF(SUM($H68:S68)&gt;=$I65,0,$I65*$F68)</f>
        <v>0</v>
      </c>
      <c r="U68" s="355">
        <f>IF(SUM($H68:T68)&gt;=$I65,0,$I65*$F68)</f>
        <v>0</v>
      </c>
      <c r="V68" s="355">
        <f>IF(SUM($H68:U68)&gt;=$I65,0,$I65*$F68)</f>
        <v>0</v>
      </c>
      <c r="W68" s="355">
        <f>IF(SUM($H68:V68)&gt;=$I65,0,$I65*$F68)</f>
        <v>0</v>
      </c>
      <c r="X68" s="355">
        <f>IF(SUM($H68:W68)&gt;=$I65,0,$I65*$F68)</f>
        <v>0</v>
      </c>
      <c r="Y68" s="355">
        <f>IF(SUM($H68:X68)&gt;=$I65,0,$I65*$F68)</f>
        <v>0</v>
      </c>
      <c r="Z68" s="355">
        <f>IF(SUM($H68:Y68)&gt;=$I65,0,$I65*$F68)</f>
        <v>0</v>
      </c>
      <c r="AA68" s="355">
        <f>IF(SUM($H68:Z68)&gt;=$I65,0,$I65*$F68)</f>
        <v>0</v>
      </c>
      <c r="AB68" s="355">
        <f>IF(SUM($H68:AA68)&gt;=$I65,0,$I65*$F68)</f>
        <v>0</v>
      </c>
    </row>
    <row r="69" spans="1:28" s="39" customFormat="1" ht="12.75" hidden="1" customHeight="1" outlineLevel="1">
      <c r="A69" s="95">
        <f t="shared" si="0"/>
        <v>63</v>
      </c>
      <c r="B69" s="25" t="s">
        <v>181</v>
      </c>
      <c r="C69"/>
      <c r="D69"/>
      <c r="E69" s="351"/>
      <c r="F69" s="354">
        <f t="shared" si="24"/>
        <v>1</v>
      </c>
      <c r="G69" s="352"/>
      <c r="H69" s="355"/>
      <c r="I69" s="355"/>
      <c r="J69" s="355">
        <v>0</v>
      </c>
      <c r="K69" s="355">
        <f>IF(SUM($H69:J69)&gt;=$J65,0,$J65*$F69)</f>
        <v>0</v>
      </c>
      <c r="L69" s="355">
        <f>IF(SUM($H69:K69)&gt;=$J65,0,$J65*$F69)</f>
        <v>0</v>
      </c>
      <c r="M69" s="355">
        <f>IF(SUM($H69:L69)&gt;=$J65,0,$J65*$F69)</f>
        <v>0</v>
      </c>
      <c r="N69" s="355">
        <f>IF(SUM($H69:M69)&gt;=$J65,0,$J65*$F69)</f>
        <v>0</v>
      </c>
      <c r="O69" s="355">
        <f>IF(SUM($H69:N69)&gt;=$J65,0,$J65*$F69)</f>
        <v>0</v>
      </c>
      <c r="P69" s="355">
        <f>IF(SUM($H69:O69)&gt;=$J65,0,$J65*$F69)</f>
        <v>0</v>
      </c>
      <c r="Q69" s="355">
        <f>IF(SUM($H69:P69)&gt;=$J65,0,$J65*$F69)</f>
        <v>0</v>
      </c>
      <c r="R69" s="355">
        <f>IF(SUM($H69:Q69)&gt;=$J65,0,$J65*$F69)</f>
        <v>0</v>
      </c>
      <c r="S69" s="355">
        <f>IF(SUM($H69:R69)&gt;=$J65,0,$J65*$F69)</f>
        <v>0</v>
      </c>
      <c r="T69" s="355">
        <f>IF(SUM($H69:S69)&gt;=$J65,0,$J65*$F69)</f>
        <v>0</v>
      </c>
      <c r="U69" s="355">
        <f>IF(SUM($H69:T69)&gt;=$J65,0,$J65*$F69)</f>
        <v>0</v>
      </c>
      <c r="V69" s="355">
        <f>IF(SUM($H69:U69)&gt;=$J65,0,$J65*$F69)</f>
        <v>0</v>
      </c>
      <c r="W69" s="355">
        <f>IF(SUM($H69:V69)&gt;=$J65,0,$J65*$F69)</f>
        <v>0</v>
      </c>
      <c r="X69" s="355">
        <f>IF(SUM($H69:W69)&gt;=$J65,0,$J65*$F69)</f>
        <v>0</v>
      </c>
      <c r="Y69" s="355">
        <f>IF(SUM($H69:X69)&gt;=$J65,0,$J65*$F69)</f>
        <v>0</v>
      </c>
      <c r="Z69" s="355">
        <f>IF(SUM($H69:Y69)&gt;=$J65,0,$J65*$F69)</f>
        <v>0</v>
      </c>
      <c r="AA69" s="355">
        <f>IF(SUM($H69:Z69)&gt;=$J65,0,$J65*$F69)</f>
        <v>0</v>
      </c>
      <c r="AB69" s="355">
        <f>IF(SUM($H69:AA69)&gt;=$J65,0,$J65*$F69)</f>
        <v>0</v>
      </c>
    </row>
    <row r="70" spans="1:28" s="39" customFormat="1" ht="12.75" hidden="1" customHeight="1" outlineLevel="1">
      <c r="A70" s="95">
        <f t="shared" si="0"/>
        <v>64</v>
      </c>
      <c r="B70" s="25" t="s">
        <v>182</v>
      </c>
      <c r="C70"/>
      <c r="D70"/>
      <c r="E70" s="351"/>
      <c r="F70" s="354">
        <f t="shared" si="24"/>
        <v>1</v>
      </c>
      <c r="G70" s="352"/>
      <c r="H70" s="355"/>
      <c r="I70" s="355"/>
      <c r="J70" s="355"/>
      <c r="K70" s="355">
        <f>IF(SUM($H70:J70)&gt;=$K65,0,$K65*$F70)</f>
        <v>0</v>
      </c>
      <c r="L70" s="355">
        <f>IF(SUM($H70:K70)&gt;=$K65,0,$K65*$F70)</f>
        <v>0</v>
      </c>
      <c r="M70" s="355">
        <f>IF(SUM($H70:L70)&gt;=$K65,0,$K65*$F70)</f>
        <v>0</v>
      </c>
      <c r="N70" s="355">
        <f>IF(SUM($H70:M70)&gt;=$K65,0,$K65*$F70)</f>
        <v>0</v>
      </c>
      <c r="O70" s="355">
        <f>IF(SUM($H70:N70)&gt;=$K65,0,$K65*$F70)</f>
        <v>0</v>
      </c>
      <c r="P70" s="355">
        <f>IF(SUM($H70:O70)&gt;=$K65,0,$K65*$F70)</f>
        <v>0</v>
      </c>
      <c r="Q70" s="355">
        <f>IF(SUM($H70:P70)&gt;=$K65,0,$K65*$F70)</f>
        <v>0</v>
      </c>
      <c r="R70" s="355">
        <f>IF(SUM($H70:Q70)&gt;=$K65,0,$K65*$F70)</f>
        <v>0</v>
      </c>
      <c r="S70" s="355">
        <f>IF(SUM($H70:R70)&gt;=$K65,0,$K65*$F70)</f>
        <v>0</v>
      </c>
      <c r="T70" s="355">
        <f>IF(SUM($H70:S70)&gt;=$K65,0,$K65*$F70)</f>
        <v>0</v>
      </c>
      <c r="U70" s="355">
        <f>IF(SUM($H70:T70)&gt;=$K65,0,$K65*$F70)</f>
        <v>0</v>
      </c>
      <c r="V70" s="355">
        <f>IF(SUM($H70:U70)&gt;=$K65,0,$K65*$F70)</f>
        <v>0</v>
      </c>
      <c r="W70" s="355">
        <f>IF(SUM($H70:V70)&gt;=$K65,0,$K65*$F70)</f>
        <v>0</v>
      </c>
      <c r="X70" s="355">
        <f>IF(SUM($H70:W70)&gt;=$K65,0,$K65*$F70)</f>
        <v>0</v>
      </c>
      <c r="Y70" s="355">
        <f>IF(SUM($H70:X70)&gt;=$K65,0,$K65*$F70)</f>
        <v>0</v>
      </c>
      <c r="Z70" s="355">
        <f>IF(SUM($H70:Y70)&gt;=$K65,0,$K65*$F70)</f>
        <v>0</v>
      </c>
      <c r="AA70" s="355">
        <f>IF(SUM($H70:Z70)&gt;=$K65,0,$K65*$F70)</f>
        <v>0</v>
      </c>
      <c r="AB70" s="355">
        <f>IF(SUM($H70:AA70)&gt;=$K65,0,$K65*$F70)</f>
        <v>0</v>
      </c>
    </row>
    <row r="71" spans="1:28" s="39" customFormat="1" ht="12.75" hidden="1" customHeight="1" outlineLevel="1">
      <c r="A71" s="95">
        <f t="shared" ref="A71:A137" si="25">1+A70</f>
        <v>65</v>
      </c>
      <c r="B71" s="25" t="s">
        <v>183</v>
      </c>
      <c r="C71"/>
      <c r="D71"/>
      <c r="E71" s="351"/>
      <c r="F71" s="354">
        <f t="shared" si="24"/>
        <v>1</v>
      </c>
      <c r="G71" s="352"/>
      <c r="H71" s="355"/>
      <c r="I71" s="355"/>
      <c r="J71" s="355"/>
      <c r="K71" s="355"/>
      <c r="L71" s="355">
        <f>IF(SUM($H71:K71)&gt;=$L65,0,$L65*$F71)</f>
        <v>0</v>
      </c>
      <c r="M71" s="355">
        <f>IF(SUM($H71:L71)&gt;=$L65,0,$L65*$F71)</f>
        <v>0</v>
      </c>
      <c r="N71" s="355">
        <f>IF(SUM($H71:M71)&gt;=$L65,0,$L65*$F71)</f>
        <v>0</v>
      </c>
      <c r="O71" s="355">
        <f>IF(SUM($H71:N71)&gt;=$L65,0,$L65*$F71)</f>
        <v>0</v>
      </c>
      <c r="P71" s="355">
        <f>IF(SUM($H71:O71)&gt;=$L65,0,$L65*$F71)</f>
        <v>0</v>
      </c>
      <c r="Q71" s="355">
        <f>IF(SUM($H71:P71)&gt;=$L65,0,$L65*$F71)</f>
        <v>0</v>
      </c>
      <c r="R71" s="355">
        <f>IF(SUM($H71:Q71)&gt;=$L65,0,$L65*$F71)</f>
        <v>0</v>
      </c>
      <c r="S71" s="355">
        <f>IF(SUM($H71:R71)&gt;=$L65,0,$L65*$F71)</f>
        <v>0</v>
      </c>
      <c r="T71" s="355">
        <f>IF(SUM($H71:S71)&gt;=$L65,0,$L65*$F71)</f>
        <v>0</v>
      </c>
      <c r="U71" s="355">
        <f>IF(SUM($H71:T71)&gt;=$L65,0,$L65*$F71)</f>
        <v>0</v>
      </c>
      <c r="V71" s="355">
        <f>IF(SUM($H71:U71)&gt;=$L65,0,$L65*$F71)</f>
        <v>0</v>
      </c>
      <c r="W71" s="355">
        <f>IF(SUM($H71:V71)&gt;=$L65,0,$L65*$F71)</f>
        <v>0</v>
      </c>
      <c r="X71" s="355">
        <f>IF(SUM($H71:W71)&gt;=$L65,0,$L65*$F71)</f>
        <v>0</v>
      </c>
      <c r="Y71" s="355">
        <f>IF(SUM($H71:X71)&gt;=$L65,0,$L65*$F71)</f>
        <v>0</v>
      </c>
      <c r="Z71" s="355">
        <f>IF(SUM($H71:Y71)&gt;=$L65,0,$L65*$F71)</f>
        <v>0</v>
      </c>
      <c r="AA71" s="355">
        <f>IF(SUM($H71:Z71)&gt;=$L65,0,$L65*$F71)</f>
        <v>0</v>
      </c>
      <c r="AB71" s="355">
        <f>IF(SUM($H71:AA71)&gt;=$L65,0,$L65*$F71)</f>
        <v>0</v>
      </c>
    </row>
    <row r="72" spans="1:28" s="39" customFormat="1" ht="12.75" hidden="1" customHeight="1" outlineLevel="1">
      <c r="A72" s="95">
        <f t="shared" si="25"/>
        <v>66</v>
      </c>
      <c r="B72" s="25" t="s">
        <v>184</v>
      </c>
      <c r="C72"/>
      <c r="D72"/>
      <c r="E72" s="351"/>
      <c r="F72" s="354">
        <f t="shared" si="24"/>
        <v>1</v>
      </c>
      <c r="G72" s="352"/>
      <c r="H72" s="355"/>
      <c r="I72" s="355"/>
      <c r="J72" s="355"/>
      <c r="K72" s="355"/>
      <c r="L72" s="355"/>
      <c r="M72" s="355">
        <f>IF(SUM($H72:L72)&gt;=$M65,0,$M65*$F72)</f>
        <v>0</v>
      </c>
      <c r="N72" s="355">
        <f>IF(SUM($H72:M72)&gt;=$M65,0,$M65*$F72)</f>
        <v>0</v>
      </c>
      <c r="O72" s="355">
        <f>IF(SUM($H72:N72)&gt;=$M65,0,$M65*$F72)</f>
        <v>0</v>
      </c>
      <c r="P72" s="355">
        <f>IF(SUM($H72:O72)&gt;=$M65,0,$M65*$F72)</f>
        <v>0</v>
      </c>
      <c r="Q72" s="355">
        <f>IF(SUM($H72:P72)&gt;=$M65,0,$M65*$F72)</f>
        <v>0</v>
      </c>
      <c r="R72" s="355">
        <f>IF(SUM($H72:Q72)&gt;=$M65,0,$M65*$F72)</f>
        <v>0</v>
      </c>
      <c r="S72" s="355">
        <f>IF(SUM($H72:R72)&gt;=$M65,0,$M65*$F72)</f>
        <v>0</v>
      </c>
      <c r="T72" s="355">
        <f>IF(SUM($H72:S72)&gt;=$M65,0,$M65*$F72)</f>
        <v>0</v>
      </c>
      <c r="U72" s="355">
        <f>IF(SUM($H72:T72)&gt;=$M65,0,$M65*$F72)</f>
        <v>0</v>
      </c>
      <c r="V72" s="355">
        <f>IF(SUM($H72:U72)&gt;=$M65,0,$M65*$F72)</f>
        <v>0</v>
      </c>
      <c r="W72" s="355">
        <f>IF(SUM($H72:V72)&gt;=$M65,0,$M65*$F72)</f>
        <v>0</v>
      </c>
      <c r="X72" s="355">
        <f>IF(SUM($H72:W72)&gt;=$M65,0,$M65*$F72)</f>
        <v>0</v>
      </c>
      <c r="Y72" s="355">
        <f>IF(SUM($H72:X72)&gt;=$M65,0,$M65*$F72)</f>
        <v>0</v>
      </c>
      <c r="Z72" s="355">
        <f>IF(SUM($H72:Y72)&gt;=$M65,0,$M65*$F72)</f>
        <v>0</v>
      </c>
      <c r="AA72" s="355">
        <f>IF(SUM($H72:Z72)&gt;=$M65,0,$M65*$F72)</f>
        <v>0</v>
      </c>
      <c r="AB72" s="355">
        <f>IF(SUM($H72:AA72)&gt;=$M65,0,$M65*$F72)</f>
        <v>0</v>
      </c>
    </row>
    <row r="73" spans="1:28" s="39" customFormat="1" ht="12.75" hidden="1" customHeight="1" outlineLevel="1">
      <c r="A73" s="95">
        <f t="shared" si="25"/>
        <v>67</v>
      </c>
      <c r="B73" s="25" t="s">
        <v>185</v>
      </c>
      <c r="C73"/>
      <c r="D73"/>
      <c r="E73" s="351"/>
      <c r="F73" s="354">
        <f t="shared" si="24"/>
        <v>1</v>
      </c>
      <c r="G73" s="352"/>
      <c r="H73" s="355"/>
      <c r="I73" s="355"/>
      <c r="J73" s="355"/>
      <c r="K73" s="355"/>
      <c r="L73" s="355"/>
      <c r="M73" s="355"/>
      <c r="N73" s="355">
        <f>IF(SUM($H73:M73)&gt;=$N65,0,$N65*$F73)</f>
        <v>0</v>
      </c>
      <c r="O73" s="355">
        <f>IF(SUM($H73:N73)&gt;=$N65,0,$N65*$F73)</f>
        <v>0</v>
      </c>
      <c r="P73" s="355">
        <f>IF(SUM($H73:O73)&gt;=$N65,0,$N65*$F73)</f>
        <v>0</v>
      </c>
      <c r="Q73" s="355">
        <f>IF(SUM($H73:P73)&gt;=$N65,0,$N65*$F73)</f>
        <v>0</v>
      </c>
      <c r="R73" s="355">
        <f>IF(SUM($H73:Q73)&gt;=$N65,0,$N65*$F73)</f>
        <v>0</v>
      </c>
      <c r="S73" s="355">
        <f>IF(SUM($H73:R73)&gt;=$N65,0,$N65*$F73)</f>
        <v>0</v>
      </c>
      <c r="T73" s="355">
        <f>IF(SUM($H73:S73)&gt;=$N65,0,$N65*$F73)</f>
        <v>0</v>
      </c>
      <c r="U73" s="355">
        <f>IF(SUM($H73:T73)&gt;=$N65,0,$N65*$F73)</f>
        <v>0</v>
      </c>
      <c r="V73" s="355">
        <f>IF(SUM($H73:U73)&gt;=$N65,0,$N65*$F73)</f>
        <v>0</v>
      </c>
      <c r="W73" s="355">
        <f>IF(SUM($H73:V73)&gt;=$N65,0,$N65*$F73)</f>
        <v>0</v>
      </c>
      <c r="X73" s="355">
        <f>IF(SUM($H73:W73)&gt;=$N65,0,$N65*$F73)</f>
        <v>0</v>
      </c>
      <c r="Y73" s="355">
        <f>IF(SUM($H73:X73)&gt;=$N65,0,$N65*$F73)</f>
        <v>0</v>
      </c>
      <c r="Z73" s="355">
        <f>IF(SUM($H73:Y73)&gt;=$N65,0,$N65*$F73)</f>
        <v>0</v>
      </c>
      <c r="AA73" s="355">
        <f>IF(SUM($H73:Z73)&gt;=$N65,0,$N65*$F73)</f>
        <v>0</v>
      </c>
      <c r="AB73" s="355">
        <f>IF(SUM($H73:AA73)&gt;=$N65,0,$N65*$F73)</f>
        <v>0</v>
      </c>
    </row>
    <row r="74" spans="1:28" s="39" customFormat="1" ht="12.75" hidden="1" customHeight="1" outlineLevel="1">
      <c r="A74" s="95">
        <f t="shared" si="25"/>
        <v>68</v>
      </c>
      <c r="B74" s="25" t="s">
        <v>186</v>
      </c>
      <c r="C74"/>
      <c r="D74"/>
      <c r="E74" s="351"/>
      <c r="F74" s="354">
        <f t="shared" si="24"/>
        <v>1</v>
      </c>
      <c r="G74" s="352"/>
      <c r="H74" s="355"/>
      <c r="I74" s="355"/>
      <c r="J74" s="355"/>
      <c r="K74" s="355"/>
      <c r="L74" s="355"/>
      <c r="M74" s="355"/>
      <c r="N74" s="355"/>
      <c r="O74" s="355">
        <f>IF(SUM($H74:N74)&gt;=$O65,0,$O65*$F74)</f>
        <v>0</v>
      </c>
      <c r="P74" s="355">
        <f>IF(SUM($H74:O74)&gt;=$O65,0,$O65*$F74)</f>
        <v>0</v>
      </c>
      <c r="Q74" s="355">
        <f>IF(SUM($H74:P74)&gt;=$O65,0,$O65*$F74)</f>
        <v>0</v>
      </c>
      <c r="R74" s="355">
        <f>IF(SUM($H74:Q74)&gt;=$O65,0,$O65*$F74)</f>
        <v>0</v>
      </c>
      <c r="S74" s="355">
        <f>IF(SUM($H74:R74)&gt;=$O65,0,$O65*$F74)</f>
        <v>0</v>
      </c>
      <c r="T74" s="355">
        <f>IF(SUM($H74:S74)&gt;=$O65,0,$O65*$F74)</f>
        <v>0</v>
      </c>
      <c r="U74" s="355">
        <f>IF(SUM($H74:T74)&gt;=$O65,0,$O65*$F74)</f>
        <v>0</v>
      </c>
      <c r="V74" s="355">
        <f>IF(SUM($H74:U74)&gt;=$O65,0,$O65*$F74)</f>
        <v>0</v>
      </c>
      <c r="W74" s="355">
        <f>IF(SUM($H74:V74)&gt;=$O65,0,$O65*$F74)</f>
        <v>0</v>
      </c>
      <c r="X74" s="355">
        <f>IF(SUM($H74:W74)&gt;=$O65,0,$O65*$F74)</f>
        <v>0</v>
      </c>
      <c r="Y74" s="355">
        <f>IF(SUM($H74:X74)&gt;=$O65,0,$O65*$F74)</f>
        <v>0</v>
      </c>
      <c r="Z74" s="355">
        <f>IF(SUM($H74:Y74)&gt;=$O65,0,$O65*$F74)</f>
        <v>0</v>
      </c>
      <c r="AA74" s="355">
        <f>IF(SUM($H74:Z74)&gt;=$O65,0,$O65*$F74)</f>
        <v>0</v>
      </c>
      <c r="AB74" s="355">
        <f>IF(SUM($H74:AA74)&gt;=$O65,0,$O65*$F74)</f>
        <v>0</v>
      </c>
    </row>
    <row r="75" spans="1:28" s="39" customFormat="1" ht="12.75" hidden="1" customHeight="1" outlineLevel="1">
      <c r="A75" s="95">
        <f t="shared" si="25"/>
        <v>69</v>
      </c>
      <c r="B75" s="25" t="s">
        <v>187</v>
      </c>
      <c r="C75"/>
      <c r="D75"/>
      <c r="E75" s="351"/>
      <c r="F75" s="354">
        <f t="shared" si="24"/>
        <v>1</v>
      </c>
      <c r="G75" s="352"/>
      <c r="H75" s="355"/>
      <c r="I75" s="355"/>
      <c r="J75" s="355"/>
      <c r="K75" s="355"/>
      <c r="L75" s="355"/>
      <c r="M75" s="355"/>
      <c r="N75" s="355"/>
      <c r="O75" s="355"/>
      <c r="P75" s="355">
        <f>IF(SUM($H75:O75)&gt;=$P65,0,$P65*$F75)</f>
        <v>0</v>
      </c>
      <c r="Q75" s="355">
        <f>IF(SUM($H75:P75)&gt;=$P65,0,$P65*$F75)</f>
        <v>0</v>
      </c>
      <c r="R75" s="355">
        <f>IF(SUM($H75:Q75)&gt;=$P65,0,$P65*$F75)</f>
        <v>0</v>
      </c>
      <c r="S75" s="355">
        <f>IF(SUM($H75:R75)&gt;=$P65,0,$P65*$F75)</f>
        <v>0</v>
      </c>
      <c r="T75" s="355">
        <f>IF(SUM($H75:S75)&gt;=$P65,0,$P65*$F75)</f>
        <v>0</v>
      </c>
      <c r="U75" s="355">
        <f>IF(SUM($H75:T75)&gt;=$P65,0,$P65*$F75)</f>
        <v>0</v>
      </c>
      <c r="V75" s="355">
        <f>IF(SUM($H75:U75)&gt;=$P65,0,$P65*$F75)</f>
        <v>0</v>
      </c>
      <c r="W75" s="355">
        <f>IF(SUM($H75:V75)&gt;=$P65,0,$P65*$F75)</f>
        <v>0</v>
      </c>
      <c r="X75" s="355">
        <f>IF(SUM($H75:W75)&gt;=$P65,0,$P65*$F75)</f>
        <v>0</v>
      </c>
      <c r="Y75" s="355">
        <f>IF(SUM($H75:X75)&gt;=$P65,0,$P65*$F75)</f>
        <v>0</v>
      </c>
      <c r="Z75" s="355">
        <f>IF(SUM($H75:Y75)&gt;=$P65,0,$P65*$F75)</f>
        <v>0</v>
      </c>
      <c r="AA75" s="355">
        <f>IF(SUM($H75:Z75)&gt;=$P65,0,$P65*$F75)</f>
        <v>0</v>
      </c>
      <c r="AB75" s="355">
        <f>IF(SUM($H75:AA75)&gt;=$P65,0,$P65*$F75)</f>
        <v>0</v>
      </c>
    </row>
    <row r="76" spans="1:28" s="39" customFormat="1" ht="12.75" hidden="1" customHeight="1" outlineLevel="1">
      <c r="A76" s="95">
        <f t="shared" si="25"/>
        <v>70</v>
      </c>
      <c r="B76" s="25" t="s">
        <v>188</v>
      </c>
      <c r="C76"/>
      <c r="D76"/>
      <c r="E76" s="351"/>
      <c r="F76" s="354">
        <f t="shared" si="24"/>
        <v>1</v>
      </c>
      <c r="G76" s="352"/>
      <c r="H76" s="355"/>
      <c r="I76" s="355"/>
      <c r="J76" s="355"/>
      <c r="K76" s="355"/>
      <c r="L76" s="355"/>
      <c r="M76" s="355"/>
      <c r="N76" s="355"/>
      <c r="O76" s="355"/>
      <c r="P76" s="355"/>
      <c r="Q76" s="355">
        <f>IF(SUM($H76:P76)&gt;=$Q65,0,$Q65*$F76)</f>
        <v>0</v>
      </c>
      <c r="R76" s="355">
        <f>IF(SUM($H76:Q76)&gt;=$Q65,0,$Q65*$F76)</f>
        <v>0</v>
      </c>
      <c r="S76" s="355">
        <f>IF(SUM($H76:R76)&gt;=$Q65,0,$Q65*$F76)</f>
        <v>0</v>
      </c>
      <c r="T76" s="355">
        <f>IF(SUM($H76:S76)&gt;=$Q65,0,$Q65*$F76)</f>
        <v>0</v>
      </c>
      <c r="U76" s="355">
        <f>IF(SUM($H76:T76)&gt;=$Q65,0,$Q65*$F76)</f>
        <v>0</v>
      </c>
      <c r="V76" s="355">
        <f>IF(SUM($H76:U76)&gt;=$Q65,0,$Q65*$F76)</f>
        <v>0</v>
      </c>
      <c r="W76" s="355">
        <f>IF(SUM($H76:V76)&gt;=$Q65,0,$Q65*$F76)</f>
        <v>0</v>
      </c>
      <c r="X76" s="355">
        <f>IF(SUM($H76:W76)&gt;=$Q65,0,$Q65*$F76)</f>
        <v>0</v>
      </c>
      <c r="Y76" s="355">
        <f>IF(SUM($H76:X76)&gt;=$Q65,0,$Q65*$F76)</f>
        <v>0</v>
      </c>
      <c r="Z76" s="355">
        <f>IF(SUM($H76:Y76)&gt;=$Q65,0,$Q65*$F76)</f>
        <v>0</v>
      </c>
      <c r="AA76" s="355">
        <f>IF(SUM($H76:Z76)&gt;=$Q65,0,$Q65*$F76)</f>
        <v>0</v>
      </c>
      <c r="AB76" s="355">
        <f>IF(SUM($H76:AA76)&gt;=$Q65,0,$Q65*$F76)</f>
        <v>0</v>
      </c>
    </row>
    <row r="77" spans="1:28" s="39" customFormat="1" ht="12.75" hidden="1" customHeight="1" outlineLevel="1">
      <c r="A77" s="95">
        <f t="shared" si="25"/>
        <v>71</v>
      </c>
      <c r="B77" s="25" t="s">
        <v>189</v>
      </c>
      <c r="C77"/>
      <c r="D77"/>
      <c r="E77" s="351"/>
      <c r="F77" s="354">
        <f t="shared" si="24"/>
        <v>1</v>
      </c>
      <c r="G77" s="352"/>
      <c r="H77" s="355"/>
      <c r="I77" s="355"/>
      <c r="J77" s="355"/>
      <c r="K77" s="355"/>
      <c r="L77" s="355"/>
      <c r="M77" s="355"/>
      <c r="N77" s="355"/>
      <c r="O77" s="355"/>
      <c r="P77" s="355"/>
      <c r="Q77" s="355"/>
      <c r="R77" s="355">
        <f>IF(SUM($H77:Q77)&gt;=$R65,0,$R65*$F77)</f>
        <v>0</v>
      </c>
      <c r="S77" s="355">
        <f>IF(SUM($H77:R77)&gt;=$R65,0,$R65*$F77)</f>
        <v>0</v>
      </c>
      <c r="T77" s="355">
        <f>IF(SUM($H77:S77)&gt;=$R65,0,$R65*$F77)</f>
        <v>0</v>
      </c>
      <c r="U77" s="355">
        <f>IF(SUM($H77:T77)&gt;=$R65,0,$R65*$F77)</f>
        <v>0</v>
      </c>
      <c r="V77" s="355">
        <f>IF(SUM($H77:U77)&gt;=$R65,0,$R65*$F77)</f>
        <v>0</v>
      </c>
      <c r="W77" s="355">
        <f>IF(SUM($H77:V77)&gt;=$R65,0,$R65*$F77)</f>
        <v>0</v>
      </c>
      <c r="X77" s="355">
        <f>IF(SUM($H77:W77)&gt;=$R65,0,$R65*$F77)</f>
        <v>0</v>
      </c>
      <c r="Y77" s="355">
        <f>IF(SUM($H77:X77)&gt;=$R65,0,$R65*$F77)</f>
        <v>0</v>
      </c>
      <c r="Z77" s="355">
        <f>IF(SUM($H77:Y77)&gt;=$R65,0,$R65*$F77)</f>
        <v>0</v>
      </c>
      <c r="AA77" s="355">
        <f>IF(SUM($H77:Z77)&gt;=$R65,0,$R65*$F77)</f>
        <v>0</v>
      </c>
      <c r="AB77" s="355">
        <f>IF(SUM($H77:AA77)&gt;=$R65,0,$R65*$F77)</f>
        <v>0</v>
      </c>
    </row>
    <row r="78" spans="1:28" s="39" customFormat="1" ht="12.75" hidden="1" customHeight="1" outlineLevel="1">
      <c r="A78" s="95">
        <f t="shared" si="25"/>
        <v>72</v>
      </c>
      <c r="B78" s="25" t="s">
        <v>190</v>
      </c>
      <c r="C78"/>
      <c r="D78"/>
      <c r="E78" s="351"/>
      <c r="F78" s="354">
        <f t="shared" si="24"/>
        <v>1</v>
      </c>
      <c r="G78" s="352"/>
      <c r="H78" s="355"/>
      <c r="I78" s="355"/>
      <c r="J78" s="355"/>
      <c r="K78" s="355"/>
      <c r="L78" s="355"/>
      <c r="M78" s="355"/>
      <c r="N78" s="355"/>
      <c r="O78" s="355"/>
      <c r="P78" s="355"/>
      <c r="Q78" s="355"/>
      <c r="R78" s="355"/>
      <c r="S78" s="355">
        <f>IF(SUM($H78:R78)&gt;=$S65,0,$S65*$F78)</f>
        <v>0</v>
      </c>
      <c r="T78" s="355">
        <f>IF(SUM($H78:S78)&gt;=$S65,0,$S65*$F78)</f>
        <v>0</v>
      </c>
      <c r="U78" s="355">
        <f>IF(SUM($H78:T78)&gt;=$S65,0,$S65*$F78)</f>
        <v>0</v>
      </c>
      <c r="V78" s="355">
        <f>IF(SUM($H78:U78)&gt;=$S65,0,$S65*$F78)</f>
        <v>0</v>
      </c>
      <c r="W78" s="355">
        <f>IF(SUM($H78:V78)&gt;=$S65,0,$S65*$F78)</f>
        <v>0</v>
      </c>
      <c r="X78" s="355">
        <f>IF(SUM($H78:W78)&gt;=$S65,0,$S65*$F78)</f>
        <v>0</v>
      </c>
      <c r="Y78" s="355">
        <f>IF(SUM($H78:X78)&gt;=$S65,0,$S65*$F78)</f>
        <v>0</v>
      </c>
      <c r="Z78" s="355">
        <f>IF(SUM($H78:Y78)&gt;=$S65,0,$S65*$F78)</f>
        <v>0</v>
      </c>
      <c r="AA78" s="355">
        <f>IF(SUM($H78:Z78)&gt;=$S65,0,$S65*$F78)</f>
        <v>0</v>
      </c>
      <c r="AB78" s="355">
        <f>IF(SUM($H78:AA78)&gt;=$S65,0,$S65*$F78)</f>
        <v>0</v>
      </c>
    </row>
    <row r="79" spans="1:28" s="39" customFormat="1" ht="12.75" hidden="1" customHeight="1" outlineLevel="1">
      <c r="A79" s="95">
        <f t="shared" si="25"/>
        <v>73</v>
      </c>
      <c r="B79" s="25" t="s">
        <v>191</v>
      </c>
      <c r="C79"/>
      <c r="D79"/>
      <c r="E79" s="351"/>
      <c r="F79" s="354">
        <f t="shared" si="24"/>
        <v>1</v>
      </c>
      <c r="G79" s="352"/>
      <c r="H79" s="355"/>
      <c r="I79" s="355"/>
      <c r="J79" s="355"/>
      <c r="K79" s="355"/>
      <c r="L79" s="355"/>
      <c r="M79" s="355"/>
      <c r="N79" s="355"/>
      <c r="O79" s="355"/>
      <c r="P79" s="355"/>
      <c r="Q79" s="355"/>
      <c r="R79" s="355"/>
      <c r="S79" s="355"/>
      <c r="T79" s="355">
        <f>IF(SUM($H79:S79)&gt;=$T65,0,$T65*$F79)</f>
        <v>0</v>
      </c>
      <c r="U79" s="355">
        <f>IF(SUM($H79:T79)&gt;=$T65,0,$T65*$F79)</f>
        <v>0</v>
      </c>
      <c r="V79" s="355">
        <f>IF(SUM($H79:U79)&gt;=$T65,0,$T65*$F79)</f>
        <v>0</v>
      </c>
      <c r="W79" s="355">
        <f>IF(SUM($H79:V79)&gt;=$T65,0,$T65*$F79)</f>
        <v>0</v>
      </c>
      <c r="X79" s="355">
        <f>IF(SUM($H79:W79)&gt;=$T65,0,$T65*$F79)</f>
        <v>0</v>
      </c>
      <c r="Y79" s="355">
        <f>IF(SUM($H79:X79)&gt;=$T65,0,$T65*$F79)</f>
        <v>0</v>
      </c>
      <c r="Z79" s="355">
        <f>IF(SUM($H79:Y79)&gt;=$T65,0,$T65*$F79)</f>
        <v>0</v>
      </c>
      <c r="AA79" s="355">
        <f>IF(SUM($H79:Z79)&gt;=$T65,0,$T65*$F79)</f>
        <v>0</v>
      </c>
      <c r="AB79" s="355">
        <f>IF(SUM($H79:AA79)&gt;=$T65,0,$T65*$F79)</f>
        <v>0</v>
      </c>
    </row>
    <row r="80" spans="1:28" s="39" customFormat="1" ht="12.75" hidden="1" customHeight="1" outlineLevel="1">
      <c r="A80" s="95">
        <f t="shared" si="25"/>
        <v>74</v>
      </c>
      <c r="B80" s="25" t="s">
        <v>192</v>
      </c>
      <c r="C80"/>
      <c r="D80"/>
      <c r="E80" s="351"/>
      <c r="F80" s="354">
        <f t="shared" si="24"/>
        <v>1</v>
      </c>
      <c r="G80" s="352"/>
      <c r="H80" s="355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>
        <f>IF(SUM($H80:T80)&gt;=$U65,0,$U65*$F80)</f>
        <v>0</v>
      </c>
      <c r="V80" s="355">
        <f>IF(SUM($H80:U80)&gt;=$U65,0,$U65*$F80)</f>
        <v>0</v>
      </c>
      <c r="W80" s="355">
        <f>IF(SUM($H80:V80)&gt;=$U65,0,$U65*$F80)</f>
        <v>0</v>
      </c>
      <c r="X80" s="355">
        <f>IF(SUM($H80:W80)&gt;=$U65,0,$U65*$F80)</f>
        <v>0</v>
      </c>
      <c r="Y80" s="355">
        <f>IF(SUM($H80:X80)&gt;=$U65,0,$U65*$F80)</f>
        <v>0</v>
      </c>
      <c r="Z80" s="355">
        <f>IF(SUM($H80:Y80)&gt;=$U65,0,$U65*$F80)</f>
        <v>0</v>
      </c>
      <c r="AA80" s="355">
        <f>IF(SUM($H80:Z80)&gt;=$U65,0,$U65*$F80)</f>
        <v>0</v>
      </c>
      <c r="AB80" s="355">
        <f>IF(SUM($H80:AA80)&gt;=$U65,0,$U65*$F80)</f>
        <v>0</v>
      </c>
    </row>
    <row r="81" spans="1:28" s="39" customFormat="1" ht="12.75" hidden="1" customHeight="1" outlineLevel="1">
      <c r="A81" s="95">
        <f t="shared" si="25"/>
        <v>75</v>
      </c>
      <c r="B81" s="25" t="s">
        <v>193</v>
      </c>
      <c r="C81"/>
      <c r="D81"/>
      <c r="E81" s="351"/>
      <c r="F81" s="354">
        <f t="shared" si="24"/>
        <v>1</v>
      </c>
      <c r="G81" s="352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>
        <f>IF(SUM($H81:U81)&gt;=$V65,0,$V65*$F81)</f>
        <v>0</v>
      </c>
      <c r="W81" s="355">
        <f>IF(SUM($H81:V81)&gt;=$V65,0,$V65*$F81)</f>
        <v>0</v>
      </c>
      <c r="X81" s="355">
        <f>IF(SUM($H81:W81)&gt;=$V65,0,$V65*$F81)</f>
        <v>0</v>
      </c>
      <c r="Y81" s="355">
        <f>IF(SUM($H81:X81)&gt;=$V65,0,$V65*$F81)</f>
        <v>0</v>
      </c>
      <c r="Z81" s="355">
        <f>IF(SUM($H81:Y81)&gt;=$V65,0,$V65*$F81)</f>
        <v>0</v>
      </c>
      <c r="AA81" s="355">
        <f>IF(SUM($H81:Z81)&gt;=$V65,0,$V65*$F81)</f>
        <v>0</v>
      </c>
      <c r="AB81" s="355">
        <f>IF(SUM($H81:AA81)&gt;=$V65,0,$V65*$F81)</f>
        <v>0</v>
      </c>
    </row>
    <row r="82" spans="1:28" s="39" customFormat="1" ht="12.75" hidden="1" customHeight="1" outlineLevel="1">
      <c r="A82" s="95">
        <f t="shared" si="25"/>
        <v>76</v>
      </c>
      <c r="B82" s="25" t="s">
        <v>194</v>
      </c>
      <c r="C82"/>
      <c r="D82"/>
      <c r="E82" s="351"/>
      <c r="F82" s="354">
        <f t="shared" si="24"/>
        <v>1</v>
      </c>
      <c r="G82" s="352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55"/>
      <c r="U82" s="355"/>
      <c r="V82" s="355"/>
      <c r="W82" s="355">
        <f>IF(SUM($H82:V82)&gt;=$W65,0,$W65*$F82)</f>
        <v>0</v>
      </c>
      <c r="X82" s="355">
        <f>IF(SUM($H82:W82)&gt;=$W65,0,$W65*$F82)</f>
        <v>0</v>
      </c>
      <c r="Y82" s="355">
        <f>IF(SUM($H82:X82)&gt;=$W65,0,$W65*$F82)</f>
        <v>0</v>
      </c>
      <c r="Z82" s="355">
        <f>IF(SUM($H82:Y82)&gt;=$W65,0,$W65*$F82)</f>
        <v>0</v>
      </c>
      <c r="AA82" s="355">
        <f>IF(SUM($H82:Z82)&gt;=$W65,0,$W65*$F82)</f>
        <v>0</v>
      </c>
      <c r="AB82" s="355">
        <f>IF(SUM($H82:AA82)&gt;=$W65,0,$W65*$F82)</f>
        <v>0</v>
      </c>
    </row>
    <row r="83" spans="1:28" s="39" customFormat="1" ht="12.75" hidden="1" customHeight="1" outlineLevel="1">
      <c r="A83" s="95">
        <f t="shared" si="25"/>
        <v>77</v>
      </c>
      <c r="B83" s="25" t="s">
        <v>195</v>
      </c>
      <c r="C83"/>
      <c r="D83"/>
      <c r="E83" s="351"/>
      <c r="F83" s="354">
        <f t="shared" si="24"/>
        <v>1</v>
      </c>
      <c r="G83" s="352"/>
      <c r="H83" s="355"/>
      <c r="I83" s="355"/>
      <c r="J83" s="355"/>
      <c r="K83" s="355"/>
      <c r="L83" s="355"/>
      <c r="M83" s="355"/>
      <c r="N83" s="355"/>
      <c r="O83" s="355"/>
      <c r="P83" s="355"/>
      <c r="Q83" s="355"/>
      <c r="R83" s="355"/>
      <c r="S83" s="355"/>
      <c r="T83" s="355"/>
      <c r="U83" s="355"/>
      <c r="V83" s="355"/>
      <c r="W83" s="355"/>
      <c r="X83" s="355">
        <f>IF(SUM($H83:W83)&gt;=$X65,0,$X65*$F83)</f>
        <v>0</v>
      </c>
      <c r="Y83" s="355">
        <f>IF(SUM($H83:X83)&gt;=$X65,0,$X65*$F83)</f>
        <v>0</v>
      </c>
      <c r="Z83" s="355">
        <f>IF(SUM($H83:Y83)&gt;=$X65,0,$X65*$F83)</f>
        <v>0</v>
      </c>
      <c r="AA83" s="355">
        <f>IF(SUM($H83:Z83)&gt;=$X65,0,$X65*$F83)</f>
        <v>0</v>
      </c>
      <c r="AB83" s="355">
        <f>IF(SUM($H83:AA83)&gt;=$X65,0,$X65*$F83)</f>
        <v>0</v>
      </c>
    </row>
    <row r="84" spans="1:28" s="39" customFormat="1" ht="12.75" hidden="1" customHeight="1" outlineLevel="1">
      <c r="A84" s="95">
        <f t="shared" si="25"/>
        <v>78</v>
      </c>
      <c r="B84" s="25" t="s">
        <v>196</v>
      </c>
      <c r="C84"/>
      <c r="D84"/>
      <c r="E84" s="351"/>
      <c r="F84" s="354">
        <f t="shared" si="24"/>
        <v>1</v>
      </c>
      <c r="G84" s="352"/>
      <c r="H84" s="355"/>
      <c r="I84" s="355"/>
      <c r="J84" s="355"/>
      <c r="K84" s="355"/>
      <c r="L84" s="355"/>
      <c r="M84" s="355"/>
      <c r="N84" s="355"/>
      <c r="O84" s="355"/>
      <c r="P84" s="355"/>
      <c r="Q84" s="355"/>
      <c r="R84" s="355"/>
      <c r="S84" s="355"/>
      <c r="T84" s="355"/>
      <c r="U84" s="355"/>
      <c r="V84" s="355"/>
      <c r="W84" s="355"/>
      <c r="X84" s="355"/>
      <c r="Y84" s="355">
        <f>IF(SUM($H84:X84)&gt;=$Y65,0,$Y65*$F84)</f>
        <v>0</v>
      </c>
      <c r="Z84" s="355">
        <f>IF(SUM($H84:Y84)&gt;=$Y65,0,$Y65*$F84)</f>
        <v>0</v>
      </c>
      <c r="AA84" s="355">
        <f>IF(SUM($H84:Z84)&gt;=$Y65,0,$Y65*$F84)</f>
        <v>0</v>
      </c>
      <c r="AB84" s="355">
        <f>IF(SUM($H84:AA84)&gt;=$Y65,0,$Y65*$F84)</f>
        <v>0</v>
      </c>
    </row>
    <row r="85" spans="1:28" s="39" customFormat="1" ht="12.75" hidden="1" customHeight="1" outlineLevel="1">
      <c r="A85" s="95">
        <f t="shared" si="25"/>
        <v>79</v>
      </c>
      <c r="B85" s="25" t="s">
        <v>197</v>
      </c>
      <c r="C85"/>
      <c r="D85"/>
      <c r="E85" s="351"/>
      <c r="F85" s="354">
        <f t="shared" si="24"/>
        <v>1</v>
      </c>
      <c r="G85" s="352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  <c r="U85" s="355"/>
      <c r="V85" s="355"/>
      <c r="W85" s="355"/>
      <c r="X85" s="355"/>
      <c r="Y85" s="355"/>
      <c r="Z85" s="355">
        <f>IF(SUM($H85:Y85)&gt;=$Z65,0,$Z65*$F85)</f>
        <v>0</v>
      </c>
      <c r="AA85" s="355">
        <f>IF(SUM($H85:Z85)&gt;=$Z65,0,$Z65*$F85)</f>
        <v>0</v>
      </c>
      <c r="AB85" s="355">
        <f>IF(SUM($H85:AA85)&gt;=$Z65,0,$Z65*$F85)</f>
        <v>0</v>
      </c>
    </row>
    <row r="86" spans="1:28" s="39" customFormat="1" ht="12.75" hidden="1" customHeight="1" outlineLevel="1">
      <c r="A86" s="95">
        <f t="shared" si="25"/>
        <v>80</v>
      </c>
      <c r="B86" s="25" t="s">
        <v>198</v>
      </c>
      <c r="C86"/>
      <c r="D86"/>
      <c r="E86" s="351"/>
      <c r="F86" s="354">
        <f t="shared" si="24"/>
        <v>1</v>
      </c>
      <c r="G86" s="352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355">
        <f>IF(SUM($H86:Z86)&gt;=$AA65,0,$AA65*$F86)</f>
        <v>0</v>
      </c>
      <c r="AB86" s="355">
        <f>IF(SUM($H86:AA86)&gt;=$AA65,0,$AA65*$F86)</f>
        <v>0</v>
      </c>
    </row>
    <row r="87" spans="1:28" s="39" customFormat="1" ht="12.75" hidden="1" customHeight="1" outlineLevel="1">
      <c r="A87" s="95">
        <f t="shared" si="25"/>
        <v>81</v>
      </c>
      <c r="B87" s="25" t="s">
        <v>199</v>
      </c>
      <c r="C87"/>
      <c r="D87"/>
      <c r="E87" s="351"/>
      <c r="F87" s="354">
        <f t="shared" si="24"/>
        <v>1</v>
      </c>
      <c r="G87" s="352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55"/>
      <c r="U87" s="355"/>
      <c r="V87" s="355"/>
      <c r="W87" s="355"/>
      <c r="X87" s="355"/>
      <c r="Y87" s="355"/>
      <c r="Z87" s="355"/>
      <c r="AA87" s="355"/>
      <c r="AB87" s="355">
        <f>IF(SUM($H87:AA87)&gt;=$AB65,0,$AB65*$F87)</f>
        <v>0</v>
      </c>
    </row>
    <row r="88" spans="1:28" s="39" customFormat="1" ht="12.75" hidden="1" customHeight="1" outlineLevel="1">
      <c r="A88" s="95">
        <f t="shared" si="25"/>
        <v>82</v>
      </c>
      <c r="B88" s="25" t="s">
        <v>200</v>
      </c>
      <c r="C88"/>
      <c r="D88"/>
      <c r="E88" s="351"/>
      <c r="F88" s="354">
        <f t="shared" si="24"/>
        <v>1</v>
      </c>
      <c r="G88" s="352"/>
      <c r="H88" s="355"/>
      <c r="I88" s="355"/>
      <c r="J88" s="355"/>
      <c r="K88" s="355"/>
      <c r="L88" s="355"/>
      <c r="M88" s="355"/>
      <c r="N88" s="355"/>
      <c r="O88" s="355"/>
      <c r="P88" s="355"/>
      <c r="Q88" s="355"/>
      <c r="R88" s="355"/>
      <c r="S88" s="355"/>
      <c r="T88" s="355"/>
      <c r="U88" s="355"/>
      <c r="V88" s="355"/>
      <c r="W88" s="355"/>
      <c r="X88" s="355"/>
      <c r="Y88" s="355"/>
      <c r="Z88" s="355"/>
      <c r="AA88" s="355"/>
      <c r="AB88" s="355"/>
    </row>
    <row r="89" spans="1:28" s="39" customFormat="1" ht="12.75" hidden="1" customHeight="1" outlineLevel="1">
      <c r="A89" s="95">
        <f t="shared" si="25"/>
        <v>83</v>
      </c>
      <c r="B89" s="25" t="s">
        <v>201</v>
      </c>
      <c r="C89"/>
      <c r="D89"/>
      <c r="E89" s="351"/>
      <c r="F89" s="354">
        <f t="shared" si="24"/>
        <v>1</v>
      </c>
      <c r="G89" s="352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5"/>
      <c r="V89" s="355"/>
      <c r="W89" s="355"/>
      <c r="X89" s="355"/>
      <c r="Y89" s="355"/>
      <c r="Z89" s="355"/>
      <c r="AA89" s="355"/>
      <c r="AB89" s="355"/>
    </row>
    <row r="90" spans="1:28" s="39" customFormat="1" ht="12.75" hidden="1" customHeight="1" outlineLevel="1">
      <c r="A90" s="95">
        <f t="shared" si="25"/>
        <v>84</v>
      </c>
      <c r="B90" s="25" t="s">
        <v>202</v>
      </c>
      <c r="C90"/>
      <c r="D90"/>
      <c r="E90" s="351"/>
      <c r="F90" s="354">
        <f t="shared" si="24"/>
        <v>1</v>
      </c>
      <c r="G90" s="352"/>
      <c r="H90" s="355"/>
      <c r="I90" s="355"/>
      <c r="J90" s="355"/>
      <c r="K90" s="355"/>
      <c r="L90" s="355"/>
      <c r="M90" s="355"/>
      <c r="N90" s="355"/>
      <c r="O90" s="355"/>
      <c r="P90" s="355"/>
      <c r="Q90" s="355"/>
      <c r="R90" s="355"/>
      <c r="S90" s="355"/>
      <c r="T90" s="355"/>
      <c r="U90" s="355"/>
      <c r="V90" s="355"/>
      <c r="W90" s="355"/>
      <c r="X90" s="355"/>
      <c r="Y90" s="355"/>
      <c r="Z90" s="355"/>
      <c r="AA90" s="355"/>
      <c r="AB90" s="355"/>
    </row>
    <row r="91" spans="1:28" s="39" customFormat="1" ht="12.75" hidden="1" customHeight="1" outlineLevel="1">
      <c r="A91" s="95">
        <f t="shared" si="25"/>
        <v>85</v>
      </c>
      <c r="B91" s="25" t="s">
        <v>203</v>
      </c>
      <c r="C91"/>
      <c r="D91"/>
      <c r="E91" s="351"/>
      <c r="F91" s="354">
        <f t="shared" si="24"/>
        <v>1</v>
      </c>
      <c r="G91" s="352"/>
      <c r="H91" s="355"/>
      <c r="I91" s="355"/>
      <c r="J91" s="355"/>
      <c r="K91" s="355"/>
      <c r="L91" s="355"/>
      <c r="M91" s="355"/>
      <c r="N91" s="355"/>
      <c r="O91" s="355"/>
      <c r="P91" s="355"/>
      <c r="Q91" s="355"/>
      <c r="R91" s="355"/>
      <c r="S91" s="355"/>
      <c r="T91" s="355"/>
      <c r="U91" s="355"/>
      <c r="V91" s="355"/>
      <c r="W91" s="355"/>
      <c r="X91" s="355"/>
      <c r="Y91" s="355"/>
      <c r="Z91" s="355"/>
      <c r="AA91" s="355"/>
      <c r="AB91" s="355"/>
    </row>
    <row r="92" spans="1:28" s="39" customFormat="1" ht="12.75" hidden="1" customHeight="1" outlineLevel="1">
      <c r="A92" s="95">
        <f t="shared" si="25"/>
        <v>86</v>
      </c>
      <c r="B92" s="25" t="s">
        <v>204</v>
      </c>
      <c r="C92"/>
      <c r="D92"/>
      <c r="E92" s="351"/>
      <c r="F92" s="354">
        <f t="shared" si="24"/>
        <v>1</v>
      </c>
      <c r="G92" s="352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355"/>
      <c r="AB92" s="355"/>
    </row>
    <row r="93" spans="1:28" s="39" customFormat="1" ht="12.75" hidden="1" customHeight="1" outlineLevel="1">
      <c r="A93" s="95">
        <f t="shared" si="25"/>
        <v>87</v>
      </c>
      <c r="B93" s="25" t="s">
        <v>205</v>
      </c>
      <c r="C93"/>
      <c r="D93"/>
      <c r="E93" s="351"/>
      <c r="F93" s="354">
        <f t="shared" si="24"/>
        <v>1</v>
      </c>
      <c r="G93" s="352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355"/>
      <c r="Z93" s="355"/>
      <c r="AA93" s="355"/>
      <c r="AB93" s="355"/>
    </row>
    <row r="94" spans="1:28" s="39" customFormat="1" ht="12.75" hidden="1" customHeight="1" outlineLevel="1">
      <c r="A94" s="95">
        <f t="shared" si="25"/>
        <v>88</v>
      </c>
      <c r="B94" s="25" t="s">
        <v>206</v>
      </c>
      <c r="C94"/>
      <c r="D94"/>
      <c r="E94" s="351"/>
      <c r="F94" s="354">
        <f t="shared" si="24"/>
        <v>1</v>
      </c>
      <c r="G94" s="352"/>
      <c r="H94" s="355"/>
      <c r="I94" s="355"/>
      <c r="J94" s="355"/>
      <c r="K94" s="355"/>
      <c r="L94" s="355"/>
      <c r="M94" s="355"/>
      <c r="N94" s="355"/>
      <c r="O94" s="355"/>
      <c r="P94" s="355"/>
      <c r="Q94" s="355"/>
      <c r="R94" s="355"/>
      <c r="S94" s="355"/>
      <c r="T94" s="355"/>
      <c r="U94" s="355"/>
      <c r="V94" s="355"/>
      <c r="W94" s="355"/>
      <c r="X94" s="355"/>
      <c r="Y94" s="355"/>
      <c r="Z94" s="355"/>
      <c r="AA94" s="355"/>
      <c r="AB94" s="355"/>
    </row>
    <row r="95" spans="1:28" s="39" customFormat="1" ht="12.75" hidden="1" customHeight="1" outlineLevel="1">
      <c r="A95" s="95">
        <f t="shared" si="25"/>
        <v>89</v>
      </c>
      <c r="B95" s="25" t="s">
        <v>207</v>
      </c>
      <c r="C95"/>
      <c r="D95"/>
      <c r="E95" s="351"/>
      <c r="F95" s="354">
        <f t="shared" si="24"/>
        <v>1</v>
      </c>
      <c r="G95" s="352"/>
      <c r="H95" s="355"/>
      <c r="I95" s="355"/>
      <c r="J95" s="355"/>
      <c r="K95" s="355"/>
      <c r="L95" s="355"/>
      <c r="M95" s="355"/>
      <c r="N95" s="355"/>
      <c r="O95" s="355"/>
      <c r="P95" s="355"/>
      <c r="Q95" s="355"/>
      <c r="R95" s="355"/>
      <c r="S95" s="355"/>
      <c r="T95" s="355"/>
      <c r="U95" s="355"/>
      <c r="V95" s="355"/>
      <c r="W95" s="355"/>
      <c r="X95" s="355"/>
      <c r="Y95" s="355"/>
      <c r="Z95" s="355"/>
      <c r="AA95" s="355"/>
      <c r="AB95" s="355"/>
    </row>
    <row r="96" spans="1:28" s="39" customFormat="1" ht="12.75" hidden="1" customHeight="1" outlineLevel="1">
      <c r="A96" s="95">
        <f t="shared" si="25"/>
        <v>90</v>
      </c>
      <c r="B96" s="25" t="s">
        <v>208</v>
      </c>
      <c r="C96"/>
      <c r="D96"/>
      <c r="E96" s="351"/>
      <c r="F96" s="354">
        <f t="shared" si="24"/>
        <v>1</v>
      </c>
      <c r="G96" s="352"/>
      <c r="H96" s="355"/>
      <c r="I96" s="355"/>
      <c r="J96" s="355"/>
      <c r="K96" s="355"/>
      <c r="L96" s="355"/>
      <c r="M96" s="355"/>
      <c r="N96" s="355"/>
      <c r="O96" s="355"/>
      <c r="P96" s="355"/>
      <c r="Q96" s="355"/>
      <c r="R96" s="355"/>
      <c r="S96" s="355"/>
      <c r="T96" s="355"/>
      <c r="U96" s="355"/>
      <c r="V96" s="355"/>
      <c r="W96" s="355"/>
      <c r="X96" s="355"/>
      <c r="Y96" s="355"/>
      <c r="Z96" s="355"/>
      <c r="AA96" s="355"/>
      <c r="AB96" s="355"/>
    </row>
    <row r="97" spans="1:28" s="39" customFormat="1" ht="12.75" hidden="1" customHeight="1" outlineLevel="1">
      <c r="A97" s="95">
        <f t="shared" si="25"/>
        <v>91</v>
      </c>
      <c r="B97" s="25" t="s">
        <v>209</v>
      </c>
      <c r="C97"/>
      <c r="D97"/>
      <c r="E97" s="351"/>
      <c r="F97" s="354">
        <f t="shared" si="24"/>
        <v>1</v>
      </c>
      <c r="G97" s="352"/>
      <c r="H97" s="355"/>
      <c r="I97" s="355"/>
      <c r="J97" s="355"/>
      <c r="K97" s="355"/>
      <c r="L97" s="355"/>
      <c r="M97" s="355"/>
      <c r="N97" s="355"/>
      <c r="O97" s="355"/>
      <c r="P97" s="355"/>
      <c r="Q97" s="355"/>
      <c r="R97" s="355"/>
      <c r="S97" s="355"/>
      <c r="T97" s="355"/>
      <c r="U97" s="355"/>
      <c r="V97" s="355"/>
      <c r="W97" s="355"/>
      <c r="X97" s="355"/>
      <c r="Y97" s="355"/>
      <c r="Z97" s="355"/>
      <c r="AA97" s="355"/>
      <c r="AB97" s="355"/>
    </row>
    <row r="98" spans="1:28" s="39" customFormat="1" ht="12.75" hidden="1" customHeight="1" outlineLevel="1">
      <c r="A98" s="95">
        <f t="shared" si="25"/>
        <v>92</v>
      </c>
      <c r="B98" s="25" t="s">
        <v>210</v>
      </c>
      <c r="C98"/>
      <c r="D98"/>
      <c r="E98" s="351"/>
      <c r="F98" s="354">
        <f t="shared" si="24"/>
        <v>1</v>
      </c>
      <c r="G98" s="352"/>
      <c r="H98" s="355"/>
      <c r="I98" s="355"/>
      <c r="J98" s="355"/>
      <c r="K98" s="355"/>
      <c r="L98" s="355"/>
      <c r="M98" s="355"/>
      <c r="N98" s="355"/>
      <c r="O98" s="355"/>
      <c r="P98" s="355"/>
      <c r="Q98" s="355"/>
      <c r="R98" s="355"/>
      <c r="S98" s="355"/>
      <c r="T98" s="355"/>
      <c r="U98" s="355"/>
      <c r="V98" s="355"/>
      <c r="W98" s="355"/>
      <c r="X98" s="355"/>
      <c r="Y98" s="355"/>
      <c r="Z98" s="355"/>
      <c r="AA98" s="355"/>
      <c r="AB98" s="355"/>
    </row>
    <row r="99" spans="1:28" s="39" customFormat="1" ht="12.75" hidden="1" customHeight="1" outlineLevel="1">
      <c r="A99" s="95">
        <f t="shared" si="25"/>
        <v>93</v>
      </c>
      <c r="B99" s="25" t="s">
        <v>211</v>
      </c>
      <c r="C99"/>
      <c r="D99"/>
      <c r="E99" s="351"/>
      <c r="F99" s="354">
        <f t="shared" si="24"/>
        <v>1</v>
      </c>
      <c r="G99" s="352"/>
      <c r="H99" s="355"/>
      <c r="I99" s="355"/>
      <c r="J99" s="355"/>
      <c r="K99" s="355"/>
      <c r="L99" s="355"/>
      <c r="M99" s="355"/>
      <c r="N99" s="355"/>
      <c r="O99" s="355"/>
      <c r="P99" s="355"/>
      <c r="Q99" s="355"/>
      <c r="R99" s="355"/>
      <c r="S99" s="355"/>
      <c r="T99" s="355"/>
      <c r="U99" s="355"/>
      <c r="V99" s="355"/>
      <c r="W99" s="355"/>
      <c r="X99" s="355"/>
      <c r="Y99" s="355"/>
      <c r="Z99" s="355"/>
      <c r="AA99" s="355"/>
      <c r="AB99" s="355"/>
    </row>
    <row r="100" spans="1:28" s="39" customFormat="1" ht="12.75" hidden="1" customHeight="1" outlineLevel="1">
      <c r="A100" s="95">
        <f t="shared" si="25"/>
        <v>94</v>
      </c>
      <c r="B100" s="25" t="s">
        <v>212</v>
      </c>
      <c r="C100"/>
      <c r="D100"/>
      <c r="E100" s="351"/>
      <c r="F100" s="354">
        <f t="shared" si="24"/>
        <v>1</v>
      </c>
      <c r="G100" s="352"/>
      <c r="H100" s="355"/>
      <c r="I100" s="355"/>
      <c r="J100" s="355"/>
      <c r="K100" s="355"/>
      <c r="L100" s="355"/>
      <c r="M100" s="355"/>
      <c r="N100" s="355"/>
      <c r="O100" s="355"/>
      <c r="P100" s="355"/>
      <c r="Q100" s="355"/>
      <c r="R100" s="355"/>
      <c r="S100" s="355"/>
      <c r="T100" s="355"/>
      <c r="U100" s="355"/>
      <c r="V100" s="355"/>
      <c r="W100" s="355"/>
      <c r="X100" s="355"/>
      <c r="Y100" s="355"/>
      <c r="Z100" s="355"/>
      <c r="AA100" s="355"/>
      <c r="AB100" s="355"/>
    </row>
    <row r="101" spans="1:28" s="39" customFormat="1" ht="12.75" hidden="1" customHeight="1" outlineLevel="1">
      <c r="A101" s="95">
        <f t="shared" si="25"/>
        <v>95</v>
      </c>
      <c r="B101" s="25" t="s">
        <v>213</v>
      </c>
      <c r="C101"/>
      <c r="D101"/>
      <c r="E101" s="351"/>
      <c r="F101" s="354">
        <f t="shared" si="24"/>
        <v>1</v>
      </c>
      <c r="G101" s="352"/>
      <c r="H101" s="355"/>
      <c r="I101" s="355"/>
      <c r="J101" s="355"/>
      <c r="K101" s="355"/>
      <c r="L101" s="355"/>
      <c r="M101" s="355"/>
      <c r="N101" s="355"/>
      <c r="O101" s="355"/>
      <c r="P101" s="355"/>
      <c r="Q101" s="355"/>
      <c r="R101" s="355"/>
      <c r="S101" s="355"/>
      <c r="T101" s="355"/>
      <c r="U101" s="355"/>
      <c r="V101" s="355"/>
      <c r="W101" s="355"/>
      <c r="X101" s="355"/>
      <c r="Y101" s="355"/>
      <c r="Z101" s="355"/>
      <c r="AA101" s="355"/>
      <c r="AB101" s="355"/>
    </row>
    <row r="102" spans="1:28" s="39" customFormat="1" ht="12.75" hidden="1" customHeight="1" outlineLevel="1">
      <c r="A102" s="95">
        <f t="shared" si="25"/>
        <v>96</v>
      </c>
      <c r="B102" s="25" t="s">
        <v>214</v>
      </c>
      <c r="C102"/>
      <c r="D102"/>
      <c r="E102" s="351"/>
      <c r="F102" s="354">
        <f t="shared" si="24"/>
        <v>1</v>
      </c>
      <c r="G102" s="352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355"/>
      <c r="Z102" s="355"/>
      <c r="AA102" s="355"/>
      <c r="AB102" s="355"/>
    </row>
    <row r="103" spans="1:28" s="39" customFormat="1" ht="12.75" hidden="1" customHeight="1" outlineLevel="1">
      <c r="A103" s="95">
        <f t="shared" si="25"/>
        <v>97</v>
      </c>
      <c r="B103" s="25" t="s">
        <v>215</v>
      </c>
      <c r="C103"/>
      <c r="D103"/>
      <c r="E103" s="351"/>
      <c r="F103" s="354">
        <f t="shared" si="24"/>
        <v>1</v>
      </c>
      <c r="G103" s="352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  <c r="S103" s="355"/>
      <c r="T103" s="355"/>
      <c r="U103" s="355"/>
      <c r="V103" s="355"/>
      <c r="W103" s="355"/>
      <c r="X103" s="355"/>
      <c r="Y103" s="355"/>
      <c r="Z103" s="355"/>
      <c r="AA103" s="355"/>
      <c r="AB103" s="355"/>
    </row>
    <row r="104" spans="1:28" s="39" customFormat="1" ht="12.75" hidden="1" customHeight="1" outlineLevel="1">
      <c r="A104" s="95">
        <f t="shared" si="25"/>
        <v>98</v>
      </c>
      <c r="B104" s="25" t="s">
        <v>216</v>
      </c>
      <c r="C104"/>
      <c r="D104"/>
      <c r="E104" s="351"/>
      <c r="F104" s="354">
        <f t="shared" si="24"/>
        <v>1</v>
      </c>
      <c r="G104" s="352"/>
      <c r="H104" s="355"/>
      <c r="I104" s="355"/>
      <c r="J104" s="355"/>
      <c r="K104" s="355"/>
      <c r="L104" s="355"/>
      <c r="M104" s="355"/>
      <c r="N104" s="355"/>
      <c r="O104" s="355"/>
      <c r="P104" s="355"/>
      <c r="Q104" s="355"/>
      <c r="R104" s="355"/>
      <c r="S104" s="355"/>
      <c r="T104" s="355"/>
      <c r="U104" s="355"/>
      <c r="V104" s="355"/>
      <c r="W104" s="355"/>
      <c r="X104" s="355"/>
      <c r="Y104" s="355"/>
      <c r="Z104" s="355"/>
      <c r="AA104" s="355"/>
      <c r="AB104" s="355"/>
    </row>
    <row r="105" spans="1:28" s="39" customFormat="1" ht="12.75" hidden="1" customHeight="1" outlineLevel="1">
      <c r="A105" s="95">
        <f t="shared" si="25"/>
        <v>99</v>
      </c>
      <c r="B105" s="25" t="s">
        <v>217</v>
      </c>
      <c r="C105"/>
      <c r="D105"/>
      <c r="E105" s="351"/>
      <c r="F105" s="354">
        <f t="shared" si="24"/>
        <v>1</v>
      </c>
      <c r="G105" s="352"/>
      <c r="H105" s="355"/>
      <c r="I105" s="355"/>
      <c r="J105" s="355"/>
      <c r="K105" s="355"/>
      <c r="L105" s="355"/>
      <c r="M105" s="355"/>
      <c r="N105" s="355"/>
      <c r="O105" s="355"/>
      <c r="P105" s="355"/>
      <c r="Q105" s="355"/>
      <c r="R105" s="355"/>
      <c r="S105" s="355"/>
      <c r="T105" s="355"/>
      <c r="U105" s="355"/>
      <c r="V105" s="355"/>
      <c r="W105" s="355"/>
      <c r="X105" s="355"/>
      <c r="Y105" s="355"/>
      <c r="Z105" s="355"/>
      <c r="AA105" s="355"/>
      <c r="AB105" s="355"/>
    </row>
    <row r="106" spans="1:28" s="39" customFormat="1" ht="12.75" hidden="1" customHeight="1" outlineLevel="1">
      <c r="A106" s="95">
        <f t="shared" si="25"/>
        <v>100</v>
      </c>
      <c r="B106" s="25" t="s">
        <v>218</v>
      </c>
      <c r="C106"/>
      <c r="D106"/>
      <c r="E106" s="351"/>
      <c r="F106" s="354">
        <f t="shared" si="24"/>
        <v>1</v>
      </c>
      <c r="G106" s="352"/>
      <c r="H106" s="355"/>
      <c r="I106" s="355"/>
      <c r="J106" s="355"/>
      <c r="K106" s="355"/>
      <c r="L106" s="355"/>
      <c r="M106" s="355"/>
      <c r="N106" s="355"/>
      <c r="O106" s="355"/>
      <c r="P106" s="355"/>
      <c r="Q106" s="355"/>
      <c r="R106" s="355"/>
      <c r="S106" s="355"/>
      <c r="T106" s="355"/>
      <c r="U106" s="355"/>
      <c r="V106" s="355"/>
      <c r="W106" s="355"/>
      <c r="X106" s="355"/>
      <c r="Y106" s="355"/>
      <c r="Z106" s="355"/>
      <c r="AA106" s="355"/>
      <c r="AB106" s="355"/>
    </row>
    <row r="107" spans="1:28" s="39" customFormat="1" ht="12.75" hidden="1" customHeight="1" outlineLevel="1">
      <c r="A107" s="95">
        <f t="shared" si="25"/>
        <v>101</v>
      </c>
      <c r="B107" s="25" t="s">
        <v>219</v>
      </c>
      <c r="C107"/>
      <c r="D107"/>
      <c r="E107" s="351"/>
      <c r="F107" s="354">
        <f t="shared" si="24"/>
        <v>1</v>
      </c>
      <c r="G107" s="352"/>
      <c r="H107" s="355"/>
      <c r="I107" s="355"/>
      <c r="J107" s="355"/>
      <c r="K107" s="355"/>
      <c r="L107" s="355"/>
      <c r="M107" s="355"/>
      <c r="N107" s="355"/>
      <c r="O107" s="355"/>
      <c r="P107" s="355"/>
      <c r="Q107" s="355"/>
      <c r="R107" s="355"/>
      <c r="S107" s="355"/>
      <c r="T107" s="355"/>
      <c r="U107" s="355"/>
      <c r="V107" s="355"/>
      <c r="W107" s="355"/>
      <c r="X107" s="355"/>
      <c r="Y107" s="355"/>
      <c r="Z107" s="355"/>
      <c r="AA107" s="355"/>
      <c r="AB107" s="355"/>
    </row>
    <row r="108" spans="1:28" s="39" customFormat="1" ht="12.75" hidden="1" customHeight="1" outlineLevel="1">
      <c r="A108" s="95">
        <f t="shared" si="25"/>
        <v>102</v>
      </c>
      <c r="B108" s="25" t="s">
        <v>220</v>
      </c>
      <c r="C108"/>
      <c r="D108"/>
      <c r="E108" s="351"/>
      <c r="F108" s="354">
        <f t="shared" si="24"/>
        <v>1</v>
      </c>
      <c r="G108" s="352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355"/>
      <c r="AB108" s="355"/>
    </row>
    <row r="109" spans="1:28" s="39" customFormat="1" ht="12.75" hidden="1" customHeight="1" outlineLevel="1">
      <c r="A109" s="95">
        <f t="shared" si="25"/>
        <v>103</v>
      </c>
      <c r="B109" s="25" t="s">
        <v>221</v>
      </c>
      <c r="C109"/>
      <c r="D109"/>
      <c r="E109" s="351"/>
      <c r="F109" s="354">
        <f t="shared" si="24"/>
        <v>1</v>
      </c>
      <c r="G109" s="352"/>
      <c r="H109" s="355"/>
      <c r="I109" s="355"/>
      <c r="J109" s="355"/>
      <c r="K109" s="355"/>
      <c r="L109" s="355"/>
      <c r="M109" s="355"/>
      <c r="N109" s="355"/>
      <c r="O109" s="355"/>
      <c r="P109" s="355"/>
      <c r="Q109" s="355"/>
      <c r="R109" s="355"/>
      <c r="S109" s="355"/>
      <c r="T109" s="355"/>
      <c r="U109" s="355"/>
      <c r="V109" s="355"/>
      <c r="W109" s="355"/>
      <c r="X109" s="355"/>
      <c r="Y109" s="355"/>
      <c r="Z109" s="355"/>
      <c r="AA109" s="355"/>
      <c r="AB109" s="355"/>
    </row>
    <row r="110" spans="1:28" collapsed="1">
      <c r="A110" s="95">
        <f t="shared" si="25"/>
        <v>104</v>
      </c>
      <c r="B110" s="345" t="s">
        <v>245</v>
      </c>
      <c r="E110" s="351"/>
      <c r="F110" s="350">
        <v>1</v>
      </c>
      <c r="G110" s="352"/>
      <c r="H110" s="495">
        <f>'Balance Sheet'!I50</f>
        <v>49121</v>
      </c>
      <c r="I110" s="456">
        <f>955+30144</f>
        <v>31099</v>
      </c>
      <c r="J110" s="456">
        <f>601+50423</f>
        <v>51024</v>
      </c>
      <c r="K110" s="456">
        <f>145+86384</f>
        <v>86529</v>
      </c>
      <c r="L110" s="456">
        <f>(69+176265)/3</f>
        <v>58778</v>
      </c>
      <c r="M110" s="456">
        <f>L110</f>
        <v>58778</v>
      </c>
      <c r="N110" s="456">
        <f>M110</f>
        <v>58778</v>
      </c>
      <c r="O110" s="456"/>
      <c r="P110" s="356">
        <f t="shared" ref="P110:AB110" si="26">O110</f>
        <v>0</v>
      </c>
      <c r="Q110" s="356">
        <f t="shared" si="26"/>
        <v>0</v>
      </c>
      <c r="R110" s="356">
        <f t="shared" si="26"/>
        <v>0</v>
      </c>
      <c r="S110" s="356">
        <f t="shared" si="26"/>
        <v>0</v>
      </c>
      <c r="T110" s="356">
        <f t="shared" si="26"/>
        <v>0</v>
      </c>
      <c r="U110" s="356">
        <f t="shared" si="26"/>
        <v>0</v>
      </c>
      <c r="V110" s="356">
        <f t="shared" si="26"/>
        <v>0</v>
      </c>
      <c r="W110" s="356">
        <f t="shared" si="26"/>
        <v>0</v>
      </c>
      <c r="X110" s="356">
        <f t="shared" si="26"/>
        <v>0</v>
      </c>
      <c r="Y110" s="356">
        <f t="shared" si="26"/>
        <v>0</v>
      </c>
      <c r="Z110" s="356">
        <f t="shared" si="26"/>
        <v>0</v>
      </c>
      <c r="AA110" s="356">
        <f t="shared" si="26"/>
        <v>0</v>
      </c>
      <c r="AB110" s="356">
        <f t="shared" si="26"/>
        <v>0</v>
      </c>
    </row>
    <row r="111" spans="1:28">
      <c r="A111" s="95">
        <f t="shared" si="25"/>
        <v>105</v>
      </c>
      <c r="B111" s="2" t="s">
        <v>80</v>
      </c>
      <c r="C111" s="2"/>
      <c r="D111" s="2"/>
      <c r="E111" s="56"/>
      <c r="F111" s="57"/>
      <c r="G111" s="494">
        <f>'Balance Sheet'!I64+'Balance Sheet'!I50</f>
        <v>394107</v>
      </c>
      <c r="H111" s="69">
        <f>H66-H110</f>
        <v>344986</v>
      </c>
      <c r="I111" s="69">
        <f>I66-I110</f>
        <v>313887</v>
      </c>
      <c r="J111" s="69">
        <f t="shared" ref="J111:AB111" si="27">J66-J110</f>
        <v>262863</v>
      </c>
      <c r="K111" s="69">
        <f t="shared" si="27"/>
        <v>176334</v>
      </c>
      <c r="L111" s="69">
        <f t="shared" si="27"/>
        <v>117556</v>
      </c>
      <c r="M111" s="69">
        <f t="shared" si="27"/>
        <v>58778</v>
      </c>
      <c r="N111" s="69">
        <f t="shared" si="27"/>
        <v>0</v>
      </c>
      <c r="O111" s="69">
        <f t="shared" si="27"/>
        <v>0</v>
      </c>
      <c r="P111" s="69">
        <f t="shared" si="27"/>
        <v>0</v>
      </c>
      <c r="Q111" s="69">
        <f t="shared" si="27"/>
        <v>0</v>
      </c>
      <c r="R111" s="69">
        <f t="shared" si="27"/>
        <v>0</v>
      </c>
      <c r="S111" s="69">
        <f t="shared" si="27"/>
        <v>0</v>
      </c>
      <c r="T111" s="69">
        <f t="shared" si="27"/>
        <v>0</v>
      </c>
      <c r="U111" s="69">
        <f t="shared" si="27"/>
        <v>0</v>
      </c>
      <c r="V111" s="69">
        <f t="shared" si="27"/>
        <v>0</v>
      </c>
      <c r="W111" s="69">
        <f t="shared" si="27"/>
        <v>0</v>
      </c>
      <c r="X111" s="69">
        <f t="shared" si="27"/>
        <v>0</v>
      </c>
      <c r="Y111" s="69">
        <f t="shared" si="27"/>
        <v>0</v>
      </c>
      <c r="Z111" s="69">
        <f t="shared" si="27"/>
        <v>0</v>
      </c>
      <c r="AA111" s="69">
        <f t="shared" si="27"/>
        <v>0</v>
      </c>
      <c r="AB111" s="69">
        <f t="shared" si="27"/>
        <v>0</v>
      </c>
    </row>
    <row r="112" spans="1:28">
      <c r="A112" s="95"/>
      <c r="B112" s="345"/>
      <c r="E112" s="351"/>
      <c r="F112" s="357"/>
      <c r="G112" s="472">
        <v>64000</v>
      </c>
      <c r="H112" s="445"/>
      <c r="I112" s="456">
        <v>0</v>
      </c>
      <c r="J112" s="456">
        <f>I111*25%</f>
        <v>78471.75</v>
      </c>
      <c r="K112" s="456">
        <f t="shared" ref="K112:M112" si="28">J111*25%</f>
        <v>65715.75</v>
      </c>
      <c r="L112" s="456">
        <f t="shared" si="28"/>
        <v>44083.5</v>
      </c>
      <c r="M112" s="456">
        <f t="shared" si="28"/>
        <v>29389</v>
      </c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  <c r="AA112" s="358"/>
      <c r="AB112" s="358"/>
    </row>
    <row r="113" spans="1:37">
      <c r="A113" s="95">
        <f t="shared" si="25"/>
        <v>1</v>
      </c>
      <c r="B113" s="345" t="s">
        <v>73</v>
      </c>
      <c r="E113" s="351"/>
      <c r="F113" s="453" t="s">
        <v>440</v>
      </c>
      <c r="G113" s="491">
        <v>19569</v>
      </c>
      <c r="H113" s="79">
        <f>H43</f>
        <v>8.9918738065839138E-2</v>
      </c>
      <c r="I113" s="79">
        <f t="shared" ref="I113:S113" si="29">I43</f>
        <v>7.1190853709230575E-2</v>
      </c>
      <c r="J113" s="79">
        <f t="shared" si="29"/>
        <v>7.747762858304813E-2</v>
      </c>
      <c r="K113" s="79">
        <f t="shared" si="29"/>
        <v>8.9988520260596519E-2</v>
      </c>
      <c r="L113" s="79">
        <f t="shared" si="29"/>
        <v>9.6667088515195121E-2</v>
      </c>
      <c r="M113" s="79">
        <f t="shared" si="29"/>
        <v>9.7100000000000006E-2</v>
      </c>
      <c r="N113" s="79">
        <f t="shared" si="29"/>
        <v>9.5850000000000005E-2</v>
      </c>
      <c r="O113" s="79">
        <f t="shared" si="29"/>
        <v>9.4600000000000004E-2</v>
      </c>
      <c r="P113" s="79">
        <f t="shared" si="29"/>
        <v>9.4600000000000004E-2</v>
      </c>
      <c r="Q113" s="79">
        <f t="shared" si="29"/>
        <v>9.4600000000000004E-2</v>
      </c>
      <c r="R113" s="79">
        <f t="shared" si="29"/>
        <v>9.3350000000000002E-2</v>
      </c>
      <c r="S113" s="79">
        <f t="shared" si="29"/>
        <v>9.2100000000000015E-2</v>
      </c>
      <c r="T113" s="79">
        <f>Anual!AF54/100</f>
        <v>9.2100000000000015E-2</v>
      </c>
      <c r="U113" s="79">
        <f>Anual!AG54/100</f>
        <v>9.2100000000000015E-2</v>
      </c>
      <c r="V113" s="79">
        <f>Anual!AH54/100</f>
        <v>9.2100000000000015E-2</v>
      </c>
      <c r="W113" s="79">
        <f>Anual!AI54/100</f>
        <v>8.9600000000000013E-2</v>
      </c>
      <c r="X113" s="79">
        <f>Anual!AJ54/100</f>
        <v>8.9600000000000013E-2</v>
      </c>
      <c r="Y113" s="79">
        <f>Anual!AK54/100</f>
        <v>8.9600000000000013E-2</v>
      </c>
      <c r="Z113" s="79">
        <f>Anual!AL54/100</f>
        <v>8.9600000000000013E-2</v>
      </c>
      <c r="AA113" s="79">
        <f>Anual!AM54/100</f>
        <v>0</v>
      </c>
      <c r="AB113" s="79">
        <f>Anual!AN54/100</f>
        <v>0</v>
      </c>
    </row>
    <row r="114" spans="1:37">
      <c r="A114" s="95">
        <f t="shared" si="25"/>
        <v>2</v>
      </c>
      <c r="B114" s="345" t="s">
        <v>2</v>
      </c>
      <c r="E114" s="351"/>
      <c r="F114" s="453" t="s">
        <v>0</v>
      </c>
      <c r="G114" s="79"/>
      <c r="H114" s="79">
        <f>Anual!S60/100</f>
        <v>0.06</v>
      </c>
      <c r="I114" s="79">
        <f>Anual!T60/100</f>
        <v>5.7500000000000002E-2</v>
      </c>
      <c r="J114" s="79">
        <f>Anual!U60/100</f>
        <v>0.05</v>
      </c>
      <c r="K114" s="79">
        <f>Anual!V60/100</f>
        <v>0.05</v>
      </c>
      <c r="L114" s="79">
        <f>Anual!W60/100</f>
        <v>0.05</v>
      </c>
      <c r="M114" s="79">
        <f>Anual!X60/100</f>
        <v>0.05</v>
      </c>
      <c r="N114" s="79">
        <f>Anual!Y60/100</f>
        <v>0.05</v>
      </c>
      <c r="O114" s="79">
        <f>Anual!Z60/100</f>
        <v>0.05</v>
      </c>
      <c r="P114" s="79">
        <f>Anual!AA60/100</f>
        <v>0.05</v>
      </c>
      <c r="Q114" s="79">
        <f>Anual!AB60/100</f>
        <v>0.05</v>
      </c>
      <c r="R114" s="79">
        <f>Anual!AC60/100</f>
        <v>0.05</v>
      </c>
      <c r="S114" s="79">
        <f>Anual!AD60/100</f>
        <v>0.05</v>
      </c>
      <c r="T114" s="79">
        <f>Anual!AE60/100</f>
        <v>0.05</v>
      </c>
      <c r="U114" s="79">
        <f>Anual!AF60/100</f>
        <v>0.05</v>
      </c>
      <c r="V114" s="79">
        <f>Anual!AG60/100</f>
        <v>0.05</v>
      </c>
      <c r="W114" s="79">
        <f>Anual!AH60/100</f>
        <v>0.05</v>
      </c>
      <c r="X114" s="79">
        <f>Anual!AI60/100</f>
        <v>0.05</v>
      </c>
      <c r="Y114" s="79">
        <f>Anual!AJ60/100</f>
        <v>0.05</v>
      </c>
      <c r="Z114" s="79">
        <f>Anual!AK60/100</f>
        <v>0.05</v>
      </c>
      <c r="AA114" s="79">
        <f>Anual!AL60/100</f>
        <v>0.05</v>
      </c>
      <c r="AB114" s="79">
        <f>Anual!AM60/100</f>
        <v>0</v>
      </c>
    </row>
    <row r="115" spans="1:37">
      <c r="A115" s="95"/>
      <c r="B115" s="345"/>
      <c r="E115" s="351"/>
      <c r="F115" s="453" t="s">
        <v>441</v>
      </c>
      <c r="G115" s="79"/>
      <c r="H115" s="79">
        <f>H113*60%+H114*40%</f>
        <v>7.7951242839503485E-2</v>
      </c>
      <c r="I115" s="79">
        <f>I113*60%+I114*40%</f>
        <v>6.5714512225538341E-2</v>
      </c>
      <c r="J115" s="79">
        <f t="shared" ref="J115:AB115" si="30">J113*60%+J114*40%</f>
        <v>6.648657714982889E-2</v>
      </c>
      <c r="K115" s="79">
        <f t="shared" si="30"/>
        <v>7.3993112156357913E-2</v>
      </c>
      <c r="L115" s="79">
        <f t="shared" si="30"/>
        <v>7.8000253109117068E-2</v>
      </c>
      <c r="M115" s="79">
        <f t="shared" si="30"/>
        <v>7.8259999999999996E-2</v>
      </c>
      <c r="N115" s="79">
        <f t="shared" si="30"/>
        <v>7.7509999999999996E-2</v>
      </c>
      <c r="O115" s="79">
        <f t="shared" si="30"/>
        <v>7.6759999999999995E-2</v>
      </c>
      <c r="P115" s="79">
        <f t="shared" si="30"/>
        <v>7.6759999999999995E-2</v>
      </c>
      <c r="Q115" s="79">
        <f t="shared" si="30"/>
        <v>7.6759999999999995E-2</v>
      </c>
      <c r="R115" s="79">
        <f t="shared" si="30"/>
        <v>7.6009999999999994E-2</v>
      </c>
      <c r="S115" s="79">
        <f t="shared" si="30"/>
        <v>7.5260000000000021E-2</v>
      </c>
      <c r="T115" s="79">
        <f t="shared" si="30"/>
        <v>7.5260000000000021E-2</v>
      </c>
      <c r="U115" s="79">
        <f t="shared" si="30"/>
        <v>7.5260000000000021E-2</v>
      </c>
      <c r="V115" s="79">
        <f t="shared" si="30"/>
        <v>7.5260000000000021E-2</v>
      </c>
      <c r="W115" s="79">
        <f t="shared" si="30"/>
        <v>7.376000000000002E-2</v>
      </c>
      <c r="X115" s="79">
        <f t="shared" si="30"/>
        <v>7.376000000000002E-2</v>
      </c>
      <c r="Y115" s="79">
        <f t="shared" si="30"/>
        <v>7.376000000000002E-2</v>
      </c>
      <c r="Z115" s="79">
        <f t="shared" si="30"/>
        <v>7.376000000000002E-2</v>
      </c>
      <c r="AA115" s="79">
        <f t="shared" si="30"/>
        <v>2.0000000000000004E-2</v>
      </c>
      <c r="AB115" s="79">
        <f t="shared" si="30"/>
        <v>0</v>
      </c>
    </row>
    <row r="116" spans="1:37">
      <c r="A116" s="95"/>
      <c r="B116" s="345"/>
      <c r="E116" s="351"/>
      <c r="F116" s="359"/>
      <c r="G116" s="352"/>
      <c r="H116" s="349"/>
      <c r="I116" s="349"/>
      <c r="J116" s="349"/>
      <c r="K116" s="349"/>
      <c r="L116" s="349"/>
      <c r="M116" s="349"/>
      <c r="N116" s="349"/>
      <c r="O116" s="349"/>
      <c r="P116" s="349"/>
      <c r="Q116" s="349"/>
      <c r="R116" s="349"/>
      <c r="S116" s="349"/>
      <c r="T116" s="349"/>
      <c r="U116" s="349"/>
      <c r="V116" s="349"/>
      <c r="W116" s="349"/>
      <c r="X116" s="349"/>
      <c r="Y116" s="349"/>
      <c r="Z116" s="349"/>
      <c r="AA116" s="349"/>
      <c r="AB116" s="349"/>
    </row>
    <row r="117" spans="1:37">
      <c r="A117" s="95">
        <f t="shared" si="25"/>
        <v>1</v>
      </c>
      <c r="B117" s="345" t="s">
        <v>76</v>
      </c>
      <c r="E117" s="351"/>
      <c r="F117" s="457">
        <v>2.2499999999999999E-2</v>
      </c>
      <c r="G117" s="352"/>
      <c r="H117" s="353">
        <f>((1+H113)*(1+$F117))-1</f>
        <v>0.11444190967232037</v>
      </c>
      <c r="I117" s="353">
        <f t="shared" ref="I117:AB117" si="31">((1+I113)*(1+$F117))-1</f>
        <v>9.52926479176881E-2</v>
      </c>
      <c r="J117" s="353">
        <f t="shared" si="31"/>
        <v>0.10172087522616668</v>
      </c>
      <c r="K117" s="353">
        <f t="shared" si="31"/>
        <v>0.11451326196645994</v>
      </c>
      <c r="L117" s="353">
        <f t="shared" si="31"/>
        <v>0.12134209800678719</v>
      </c>
      <c r="M117" s="353">
        <f t="shared" si="31"/>
        <v>0.12178475</v>
      </c>
      <c r="N117" s="353">
        <f t="shared" si="31"/>
        <v>0.12050662499999998</v>
      </c>
      <c r="O117" s="353">
        <f t="shared" si="31"/>
        <v>0.11922849999999996</v>
      </c>
      <c r="P117" s="353">
        <f t="shared" si="31"/>
        <v>0.11922849999999996</v>
      </c>
      <c r="Q117" s="353">
        <f t="shared" si="31"/>
        <v>0.11922849999999996</v>
      </c>
      <c r="R117" s="353">
        <f t="shared" si="31"/>
        <v>0.11795037499999994</v>
      </c>
      <c r="S117" s="353">
        <f t="shared" si="31"/>
        <v>0.11667225000000014</v>
      </c>
      <c r="T117" s="353">
        <f t="shared" si="31"/>
        <v>0.11667225000000014</v>
      </c>
      <c r="U117" s="353">
        <f t="shared" si="31"/>
        <v>0.11667225000000014</v>
      </c>
      <c r="V117" s="353">
        <f t="shared" si="31"/>
        <v>0.11667225000000014</v>
      </c>
      <c r="W117" s="353">
        <f t="shared" si="31"/>
        <v>0.11411599999999988</v>
      </c>
      <c r="X117" s="353">
        <f t="shared" si="31"/>
        <v>0.11411599999999988</v>
      </c>
      <c r="Y117" s="353">
        <f t="shared" si="31"/>
        <v>0.11411599999999988</v>
      </c>
      <c r="Z117" s="353">
        <f t="shared" si="31"/>
        <v>0.11411599999999988</v>
      </c>
      <c r="AA117" s="353">
        <f t="shared" si="31"/>
        <v>2.2499999999999964E-2</v>
      </c>
      <c r="AB117" s="353">
        <f t="shared" si="31"/>
        <v>2.2499999999999964E-2</v>
      </c>
    </row>
    <row r="118" spans="1:37">
      <c r="A118" s="95">
        <f t="shared" si="25"/>
        <v>2</v>
      </c>
    </row>
    <row r="119" spans="1:37">
      <c r="A119" s="95">
        <f t="shared" si="25"/>
        <v>3</v>
      </c>
      <c r="B119" s="345" t="s">
        <v>74</v>
      </c>
      <c r="C119" s="345"/>
      <c r="D119" s="345"/>
      <c r="E119" s="357"/>
      <c r="F119" s="350">
        <v>0</v>
      </c>
      <c r="G119" s="352"/>
      <c r="H119" s="360">
        <f t="shared" ref="H119:AB119" si="32">H65*$F119</f>
        <v>0</v>
      </c>
      <c r="I119" s="360">
        <f t="shared" si="32"/>
        <v>0</v>
      </c>
      <c r="J119" s="360">
        <f t="shared" si="32"/>
        <v>0</v>
      </c>
      <c r="K119" s="360">
        <f t="shared" si="32"/>
        <v>0</v>
      </c>
      <c r="L119" s="360">
        <f t="shared" si="32"/>
        <v>0</v>
      </c>
      <c r="M119" s="360">
        <f t="shared" si="32"/>
        <v>0</v>
      </c>
      <c r="N119" s="360">
        <f t="shared" si="32"/>
        <v>0</v>
      </c>
      <c r="O119" s="360">
        <f t="shared" si="32"/>
        <v>0</v>
      </c>
      <c r="P119" s="360">
        <f t="shared" si="32"/>
        <v>0</v>
      </c>
      <c r="Q119" s="360">
        <f t="shared" si="32"/>
        <v>0</v>
      </c>
      <c r="R119" s="360">
        <f t="shared" si="32"/>
        <v>0</v>
      </c>
      <c r="S119" s="360">
        <f t="shared" si="32"/>
        <v>0</v>
      </c>
      <c r="T119" s="360">
        <f t="shared" si="32"/>
        <v>0</v>
      </c>
      <c r="U119" s="360">
        <f t="shared" si="32"/>
        <v>0</v>
      </c>
      <c r="V119" s="360">
        <f t="shared" si="32"/>
        <v>0</v>
      </c>
      <c r="W119" s="360">
        <f t="shared" si="32"/>
        <v>0</v>
      </c>
      <c r="X119" s="360">
        <f t="shared" si="32"/>
        <v>0</v>
      </c>
      <c r="Y119" s="360">
        <f t="shared" si="32"/>
        <v>0</v>
      </c>
      <c r="Z119" s="360">
        <f t="shared" si="32"/>
        <v>0</v>
      </c>
      <c r="AA119" s="360">
        <f t="shared" si="32"/>
        <v>0</v>
      </c>
      <c r="AB119" s="360">
        <f t="shared" si="32"/>
        <v>0</v>
      </c>
    </row>
    <row r="120" spans="1:37">
      <c r="A120" s="95">
        <f t="shared" si="25"/>
        <v>4</v>
      </c>
      <c r="B120" s="2" t="s">
        <v>231</v>
      </c>
      <c r="C120" s="2"/>
      <c r="D120" s="56"/>
      <c r="E120" s="56"/>
      <c r="F120" s="56"/>
      <c r="G120" s="58"/>
      <c r="H120" s="68">
        <f>H119+H66*H117</f>
        <v>45102.357695229162</v>
      </c>
      <c r="I120" s="68">
        <f>I119+I66*I117</f>
        <v>32874.629434531547</v>
      </c>
      <c r="J120" s="68">
        <f t="shared" ref="J120:AB120" si="33">J119+J66*J117</f>
        <v>31928.860362115782</v>
      </c>
      <c r="K120" s="68">
        <f t="shared" si="33"/>
        <v>30101.29958028956</v>
      </c>
      <c r="L120" s="68">
        <f t="shared" si="33"/>
        <v>21396.737509928811</v>
      </c>
      <c r="M120" s="68">
        <f t="shared" si="33"/>
        <v>14316.528070999999</v>
      </c>
      <c r="N120" s="68">
        <f t="shared" si="33"/>
        <v>7083.1384042499985</v>
      </c>
      <c r="O120" s="68">
        <f t="shared" si="33"/>
        <v>0</v>
      </c>
      <c r="P120" s="68">
        <f t="shared" si="33"/>
        <v>0</v>
      </c>
      <c r="Q120" s="68">
        <f t="shared" si="33"/>
        <v>0</v>
      </c>
      <c r="R120" s="68">
        <f t="shared" si="33"/>
        <v>0</v>
      </c>
      <c r="S120" s="68">
        <f t="shared" si="33"/>
        <v>0</v>
      </c>
      <c r="T120" s="68">
        <f t="shared" si="33"/>
        <v>0</v>
      </c>
      <c r="U120" s="68">
        <f t="shared" si="33"/>
        <v>0</v>
      </c>
      <c r="V120" s="68">
        <f t="shared" si="33"/>
        <v>0</v>
      </c>
      <c r="W120" s="68">
        <f t="shared" si="33"/>
        <v>0</v>
      </c>
      <c r="X120" s="68">
        <f t="shared" si="33"/>
        <v>0</v>
      </c>
      <c r="Y120" s="68">
        <f t="shared" si="33"/>
        <v>0</v>
      </c>
      <c r="Z120" s="68">
        <f t="shared" si="33"/>
        <v>0</v>
      </c>
      <c r="AA120" s="68">
        <f t="shared" si="33"/>
        <v>0</v>
      </c>
      <c r="AB120" s="68">
        <f t="shared" si="33"/>
        <v>0</v>
      </c>
    </row>
    <row r="121" spans="1:37">
      <c r="A121" s="95">
        <f t="shared" si="25"/>
        <v>5</v>
      </c>
      <c r="B121" s="2"/>
      <c r="C121" s="2"/>
      <c r="D121" s="56"/>
      <c r="E121" s="56"/>
      <c r="F121" s="56"/>
      <c r="G121" s="58"/>
      <c r="H121" s="351"/>
      <c r="I121" s="351"/>
      <c r="J121" s="351"/>
      <c r="K121" s="351"/>
      <c r="L121" s="351"/>
      <c r="M121" s="351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G121" s="81"/>
      <c r="AH121" s="81"/>
      <c r="AI121" s="81"/>
      <c r="AJ121" s="81"/>
      <c r="AK121" s="81"/>
    </row>
    <row r="122" spans="1:37">
      <c r="A122" s="95">
        <f t="shared" si="25"/>
        <v>6</v>
      </c>
      <c r="B122" s="2"/>
      <c r="C122" s="2"/>
      <c r="D122" s="56"/>
      <c r="E122" s="56"/>
      <c r="F122" s="56"/>
      <c r="G122" s="58"/>
      <c r="H122" s="436">
        <f ca="1">'Balance Sheet'!J13</f>
        <v>149443.50967980342</v>
      </c>
      <c r="I122" s="436">
        <f ca="1">'Balance Sheet'!K13</f>
        <v>165864.85863469099</v>
      </c>
      <c r="J122" s="436">
        <f ca="1">'Balance Sheet'!L13</f>
        <v>120594.36809195251</v>
      </c>
      <c r="K122" s="436">
        <f ca="1">'Balance Sheet'!M13</f>
        <v>70000</v>
      </c>
      <c r="L122" s="436">
        <f ca="1">'Balance Sheet'!N13</f>
        <v>70000</v>
      </c>
      <c r="M122" s="436">
        <f ca="1">'Balance Sheet'!O13</f>
        <v>70000</v>
      </c>
      <c r="N122" s="436">
        <f ca="1">'Balance Sheet'!P13</f>
        <v>70000</v>
      </c>
      <c r="O122" s="436">
        <f ca="1">'Balance Sheet'!Q13</f>
        <v>70000</v>
      </c>
      <c r="P122" s="436">
        <f ca="1">'Balance Sheet'!R13</f>
        <v>70000</v>
      </c>
      <c r="Q122" s="436">
        <f ca="1">'Balance Sheet'!S13</f>
        <v>70000</v>
      </c>
      <c r="R122" s="436">
        <f ca="1">'Balance Sheet'!T13</f>
        <v>70000</v>
      </c>
      <c r="S122" s="436" t="e">
        <f ca="1">'Balance Sheet'!U13</f>
        <v>#VALUE!</v>
      </c>
      <c r="T122" s="436" t="e">
        <f ca="1">'Balance Sheet'!V13</f>
        <v>#VALUE!</v>
      </c>
      <c r="U122" s="436" t="e">
        <f ca="1">'Balance Sheet'!W13</f>
        <v>#VALUE!</v>
      </c>
      <c r="V122" s="436" t="e">
        <f ca="1">'Balance Sheet'!X13</f>
        <v>#VALUE!</v>
      </c>
      <c r="W122" s="436" t="e">
        <f ca="1">'Balance Sheet'!Y13</f>
        <v>#VALUE!</v>
      </c>
      <c r="X122" s="436" t="e">
        <f ca="1">'Balance Sheet'!Z13</f>
        <v>#VALUE!</v>
      </c>
      <c r="Y122" s="436" t="e">
        <f ca="1">'Balance Sheet'!AA13</f>
        <v>#VALUE!</v>
      </c>
      <c r="Z122" s="436" t="e">
        <f ca="1">'Balance Sheet'!AB13</f>
        <v>#VALUE!</v>
      </c>
      <c r="AA122" s="436" t="e">
        <f ca="1">'Balance Sheet'!AC13</f>
        <v>#VALUE!</v>
      </c>
      <c r="AB122" s="436" t="e">
        <f ca="1">'Balance Sheet'!AD13</f>
        <v>#DIV/0!</v>
      </c>
    </row>
    <row r="123" spans="1:37">
      <c r="A123" s="95">
        <f t="shared" si="25"/>
        <v>7</v>
      </c>
      <c r="B123" s="28" t="s">
        <v>158</v>
      </c>
      <c r="C123" s="26"/>
      <c r="D123" s="134">
        <v>41304</v>
      </c>
      <c r="E123" s="26"/>
      <c r="F123" s="26"/>
      <c r="G123" s="26"/>
      <c r="H123" s="380">
        <f ca="1">'Balance Sheet'!J55</f>
        <v>0</v>
      </c>
      <c r="I123" s="380">
        <f ca="1">'Balance Sheet'!K55</f>
        <v>0</v>
      </c>
      <c r="J123" s="380">
        <f ca="1">'Balance Sheet'!L55</f>
        <v>0</v>
      </c>
      <c r="K123" s="380">
        <f ca="1">'Balance Sheet'!M55</f>
        <v>51880.55333131412</v>
      </c>
      <c r="L123" s="380">
        <f ca="1">'Balance Sheet'!N55</f>
        <v>154768.36630831781</v>
      </c>
      <c r="M123" s="380">
        <f ca="1">'Balance Sheet'!O55</f>
        <v>262913.99171779654</v>
      </c>
      <c r="N123" s="380">
        <f ca="1">'Balance Sheet'!P55</f>
        <v>372358.17939326738</v>
      </c>
      <c r="O123" s="380">
        <f ca="1">'Balance Sheet'!Q55</f>
        <v>325981.37606938335</v>
      </c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37">
      <c r="A124" s="95">
        <f t="shared" si="25"/>
        <v>8</v>
      </c>
      <c r="D124" s="351"/>
      <c r="E124" s="351"/>
      <c r="F124" s="351"/>
      <c r="G124" s="352"/>
      <c r="H124" s="313" t="e">
        <f>Output!#REF!</f>
        <v>#REF!</v>
      </c>
      <c r="I124" s="313" t="e">
        <f>Output!#REF!</f>
        <v>#REF!</v>
      </c>
      <c r="J124" s="313" t="e">
        <f>Output!#REF!</f>
        <v>#REF!</v>
      </c>
      <c r="K124" s="313" t="e">
        <f>Output!#REF!</f>
        <v>#REF!</v>
      </c>
      <c r="L124" s="313" t="e">
        <f>Output!#REF!</f>
        <v>#REF!</v>
      </c>
      <c r="M124" s="313" t="e">
        <f>Output!#REF!</f>
        <v>#REF!</v>
      </c>
      <c r="N124" s="313" t="e">
        <f>Output!#REF!</f>
        <v>#REF!</v>
      </c>
      <c r="O124" s="313" t="e">
        <f>Output!#REF!</f>
        <v>#REF!</v>
      </c>
      <c r="P124" s="313" t="e">
        <f>Output!#REF!</f>
        <v>#REF!</v>
      </c>
    </row>
    <row r="125" spans="1:37">
      <c r="A125" s="95">
        <f t="shared" si="25"/>
        <v>9</v>
      </c>
      <c r="B125" s="2" t="s">
        <v>78</v>
      </c>
      <c r="C125" s="2"/>
      <c r="D125" s="150">
        <v>100000</v>
      </c>
      <c r="E125" s="56"/>
      <c r="F125" s="53">
        <f>D125</f>
        <v>100000</v>
      </c>
      <c r="G125" s="50"/>
      <c r="H125" s="476">
        <v>0</v>
      </c>
      <c r="I125" s="70">
        <f>F125</f>
        <v>100000</v>
      </c>
      <c r="J125" s="70">
        <f>I128</f>
        <v>100000</v>
      </c>
      <c r="K125" s="70">
        <f t="shared" ref="K125" si="34">J128</f>
        <v>100000</v>
      </c>
      <c r="L125" s="70">
        <f t="shared" ref="L125" si="35">K128</f>
        <v>100000</v>
      </c>
      <c r="M125" s="70">
        <f t="shared" ref="M125" si="36">L128</f>
        <v>66666.666666666672</v>
      </c>
      <c r="N125" s="70">
        <f t="shared" ref="N125" si="37">M128</f>
        <v>33333.333333333343</v>
      </c>
      <c r="O125" s="70">
        <f t="shared" ref="O125" si="38">N128</f>
        <v>0</v>
      </c>
      <c r="P125" s="70">
        <f t="shared" ref="P125" si="39">O128</f>
        <v>0</v>
      </c>
      <c r="Q125" s="70">
        <f t="shared" ref="Q125:AB125" si="40">P128</f>
        <v>0</v>
      </c>
      <c r="R125" s="70">
        <f t="shared" si="40"/>
        <v>0</v>
      </c>
      <c r="S125" s="70">
        <f t="shared" si="40"/>
        <v>0</v>
      </c>
      <c r="T125" s="70">
        <f t="shared" si="40"/>
        <v>0</v>
      </c>
      <c r="U125" s="70">
        <f t="shared" si="40"/>
        <v>0</v>
      </c>
      <c r="V125" s="70">
        <f t="shared" si="40"/>
        <v>0</v>
      </c>
      <c r="W125" s="70">
        <f t="shared" si="40"/>
        <v>0</v>
      </c>
      <c r="X125" s="70">
        <f t="shared" si="40"/>
        <v>0</v>
      </c>
      <c r="Y125" s="70">
        <f t="shared" si="40"/>
        <v>0</v>
      </c>
      <c r="Z125" s="70">
        <f t="shared" si="40"/>
        <v>0</v>
      </c>
      <c r="AA125" s="70">
        <f t="shared" si="40"/>
        <v>0</v>
      </c>
      <c r="AB125" s="70">
        <f t="shared" si="40"/>
        <v>0</v>
      </c>
    </row>
    <row r="126" spans="1:37" s="39" customFormat="1">
      <c r="A126" s="95">
        <f t="shared" si="25"/>
        <v>10</v>
      </c>
      <c r="B126" s="345" t="s">
        <v>79</v>
      </c>
      <c r="C126"/>
      <c r="D126"/>
      <c r="E126" s="351"/>
      <c r="F126" s="357"/>
      <c r="G126" s="352"/>
      <c r="H126" s="361">
        <v>0</v>
      </c>
      <c r="I126" s="361">
        <v>0</v>
      </c>
      <c r="J126" s="361">
        <v>0</v>
      </c>
      <c r="K126" s="361">
        <f>J126</f>
        <v>0</v>
      </c>
      <c r="L126" s="361">
        <f>1/3</f>
        <v>0.33333333333333331</v>
      </c>
      <c r="M126" s="361">
        <f>L126</f>
        <v>0.33333333333333331</v>
      </c>
      <c r="N126" s="361">
        <f>M126</f>
        <v>0.33333333333333331</v>
      </c>
      <c r="O126" s="361">
        <v>0</v>
      </c>
      <c r="P126" s="361">
        <v>0</v>
      </c>
      <c r="Q126" s="361">
        <v>0</v>
      </c>
      <c r="R126" s="361">
        <v>0</v>
      </c>
      <c r="S126" s="361">
        <v>0</v>
      </c>
      <c r="T126" s="361">
        <v>0</v>
      </c>
      <c r="U126" s="361">
        <v>0</v>
      </c>
      <c r="V126" s="361">
        <v>0</v>
      </c>
      <c r="W126" s="361">
        <v>0</v>
      </c>
      <c r="X126" s="361">
        <v>0</v>
      </c>
      <c r="Y126" s="361">
        <v>0</v>
      </c>
      <c r="Z126" s="361">
        <v>0</v>
      </c>
      <c r="AA126" s="361">
        <v>0</v>
      </c>
      <c r="AB126" s="361"/>
    </row>
    <row r="127" spans="1:37">
      <c r="A127" s="95">
        <f t="shared" si="25"/>
        <v>11</v>
      </c>
      <c r="B127" s="345" t="s">
        <v>77</v>
      </c>
      <c r="G127" s="352"/>
      <c r="H127" s="356">
        <f t="shared" ref="H127:AB127" si="41">H126*$F125</f>
        <v>0</v>
      </c>
      <c r="I127" s="356">
        <f>I126*$F125</f>
        <v>0</v>
      </c>
      <c r="J127" s="356">
        <f t="shared" si="41"/>
        <v>0</v>
      </c>
      <c r="K127" s="356">
        <f t="shared" si="41"/>
        <v>0</v>
      </c>
      <c r="L127" s="356">
        <f t="shared" si="41"/>
        <v>33333.333333333328</v>
      </c>
      <c r="M127" s="356">
        <f t="shared" si="41"/>
        <v>33333.333333333328</v>
      </c>
      <c r="N127" s="356">
        <f t="shared" si="41"/>
        <v>33333.333333333328</v>
      </c>
      <c r="O127" s="356">
        <f t="shared" si="41"/>
        <v>0</v>
      </c>
      <c r="P127" s="356">
        <f t="shared" si="41"/>
        <v>0</v>
      </c>
      <c r="Q127" s="356">
        <f t="shared" si="41"/>
        <v>0</v>
      </c>
      <c r="R127" s="356">
        <f t="shared" si="41"/>
        <v>0</v>
      </c>
      <c r="S127" s="356">
        <f t="shared" si="41"/>
        <v>0</v>
      </c>
      <c r="T127" s="356">
        <f t="shared" si="41"/>
        <v>0</v>
      </c>
      <c r="U127" s="356">
        <f t="shared" si="41"/>
        <v>0</v>
      </c>
      <c r="V127" s="356">
        <f t="shared" si="41"/>
        <v>0</v>
      </c>
      <c r="W127" s="356">
        <f t="shared" si="41"/>
        <v>0</v>
      </c>
      <c r="X127" s="356">
        <f t="shared" si="41"/>
        <v>0</v>
      </c>
      <c r="Y127" s="356">
        <f t="shared" si="41"/>
        <v>0</v>
      </c>
      <c r="Z127" s="356">
        <f t="shared" si="41"/>
        <v>0</v>
      </c>
      <c r="AA127" s="356">
        <f t="shared" si="41"/>
        <v>0</v>
      </c>
      <c r="AB127" s="356">
        <f t="shared" si="41"/>
        <v>0</v>
      </c>
    </row>
    <row r="128" spans="1:37">
      <c r="A128" s="95">
        <f t="shared" si="25"/>
        <v>12</v>
      </c>
      <c r="B128" s="2" t="s">
        <v>80</v>
      </c>
      <c r="C128" s="345" t="s">
        <v>397</v>
      </c>
      <c r="D128" s="74" t="s">
        <v>419</v>
      </c>
      <c r="E128" s="56"/>
      <c r="F128" s="57"/>
      <c r="G128" s="58"/>
      <c r="H128" s="69">
        <f t="shared" ref="H128:AB128" si="42">H125-H127</f>
        <v>0</v>
      </c>
      <c r="I128" s="69">
        <f t="shared" si="42"/>
        <v>100000</v>
      </c>
      <c r="J128" s="69">
        <f t="shared" si="42"/>
        <v>100000</v>
      </c>
      <c r="K128" s="69">
        <f t="shared" si="42"/>
        <v>100000</v>
      </c>
      <c r="L128" s="69">
        <f t="shared" si="42"/>
        <v>66666.666666666672</v>
      </c>
      <c r="M128" s="69">
        <f>M125-M127</f>
        <v>33333.333333333343</v>
      </c>
      <c r="N128" s="69">
        <f>N125-N127</f>
        <v>0</v>
      </c>
      <c r="O128" s="69">
        <f t="shared" si="42"/>
        <v>0</v>
      </c>
      <c r="P128" s="69">
        <f t="shared" si="42"/>
        <v>0</v>
      </c>
      <c r="Q128" s="69">
        <f t="shared" si="42"/>
        <v>0</v>
      </c>
      <c r="R128" s="69">
        <f t="shared" si="42"/>
        <v>0</v>
      </c>
      <c r="S128" s="69">
        <f t="shared" si="42"/>
        <v>0</v>
      </c>
      <c r="T128" s="69">
        <f t="shared" si="42"/>
        <v>0</v>
      </c>
      <c r="U128" s="69">
        <f t="shared" si="42"/>
        <v>0</v>
      </c>
      <c r="V128" s="69">
        <f t="shared" si="42"/>
        <v>0</v>
      </c>
      <c r="W128" s="69">
        <f t="shared" si="42"/>
        <v>0</v>
      </c>
      <c r="X128" s="69">
        <f t="shared" si="42"/>
        <v>0</v>
      </c>
      <c r="Y128" s="69">
        <f t="shared" si="42"/>
        <v>0</v>
      </c>
      <c r="Z128" s="69">
        <f t="shared" si="42"/>
        <v>0</v>
      </c>
      <c r="AA128" s="69">
        <f t="shared" si="42"/>
        <v>0</v>
      </c>
      <c r="AB128" s="69">
        <f t="shared" si="42"/>
        <v>0</v>
      </c>
    </row>
    <row r="129" spans="1:28">
      <c r="A129" s="95">
        <f t="shared" si="25"/>
        <v>13</v>
      </c>
      <c r="B129" s="345"/>
      <c r="E129" s="351"/>
      <c r="F129" s="357"/>
      <c r="G129" s="352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  <c r="AA129" s="358"/>
      <c r="AB129" s="358"/>
    </row>
    <row r="130" spans="1:28">
      <c r="A130" s="95">
        <f t="shared" si="25"/>
        <v>14</v>
      </c>
      <c r="B130" s="345" t="s">
        <v>73</v>
      </c>
      <c r="E130" s="351"/>
      <c r="F130" s="469" t="s">
        <v>0</v>
      </c>
      <c r="G130" s="352">
        <v>0</v>
      </c>
      <c r="H130" s="467">
        <f>Anual!T60/100</f>
        <v>5.7500000000000002E-2</v>
      </c>
      <c r="I130" s="467">
        <f>Anual!U60/100</f>
        <v>0.05</v>
      </c>
      <c r="J130" s="467">
        <f>Anual!V60/100</f>
        <v>0.05</v>
      </c>
      <c r="K130" s="467">
        <f>Anual!W60/100</f>
        <v>0.05</v>
      </c>
      <c r="L130" s="467">
        <f>Anual!X60/100</f>
        <v>0.05</v>
      </c>
      <c r="M130" s="467">
        <f>Anual!Y60/100</f>
        <v>0.05</v>
      </c>
      <c r="N130" s="467">
        <f>Anual!Z60/100</f>
        <v>0.05</v>
      </c>
      <c r="O130" s="467">
        <f>Anual!AA60/100</f>
        <v>0.05</v>
      </c>
      <c r="P130" s="467">
        <f>Anual!AB60/100</f>
        <v>0.05</v>
      </c>
      <c r="Q130" s="467">
        <f>Anual!AC60/100</f>
        <v>0.05</v>
      </c>
      <c r="R130" s="467">
        <f>Anual!AD60/100</f>
        <v>0.05</v>
      </c>
      <c r="S130" s="467">
        <f>Anual!AE60/100</f>
        <v>0.05</v>
      </c>
      <c r="T130" s="467">
        <f>Anual!AF60/100</f>
        <v>0.05</v>
      </c>
      <c r="U130" s="467">
        <f>Anual!AG60/100</f>
        <v>0.05</v>
      </c>
      <c r="V130" s="467">
        <f>Anual!AH60/100</f>
        <v>0.05</v>
      </c>
      <c r="W130" s="467">
        <f>Anual!AI60/100</f>
        <v>0.05</v>
      </c>
      <c r="X130" s="467">
        <f>Anual!AJ60/100</f>
        <v>0.05</v>
      </c>
      <c r="Y130" s="467">
        <f>Anual!AK60/100</f>
        <v>0.05</v>
      </c>
      <c r="Z130" s="467">
        <f>Anual!AL60/100</f>
        <v>0.05</v>
      </c>
      <c r="AA130" s="467">
        <f>Anual!AM60/100</f>
        <v>0</v>
      </c>
      <c r="AB130" s="467">
        <f>Anual!AN60/100</f>
        <v>0</v>
      </c>
    </row>
    <row r="131" spans="1:28">
      <c r="A131" s="95">
        <f t="shared" si="25"/>
        <v>15</v>
      </c>
      <c r="B131" s="345" t="s">
        <v>2</v>
      </c>
      <c r="C131" s="345" t="s">
        <v>425</v>
      </c>
      <c r="D131" s="438">
        <f>SUMPRODUCT(I5:O5,I126:O126)</f>
        <v>4.5</v>
      </c>
      <c r="E131" s="351"/>
      <c r="F131" s="469" t="s">
        <v>450</v>
      </c>
      <c r="G131" s="352">
        <v>1</v>
      </c>
      <c r="H131" s="468">
        <f>H113</f>
        <v>8.9918738065839138E-2</v>
      </c>
      <c r="I131" s="468">
        <f t="shared" ref="I131:X131" si="43">I113</f>
        <v>7.1190853709230575E-2</v>
      </c>
      <c r="J131" s="468">
        <f t="shared" si="43"/>
        <v>7.747762858304813E-2</v>
      </c>
      <c r="K131" s="468">
        <f t="shared" si="43"/>
        <v>8.9988520260596519E-2</v>
      </c>
      <c r="L131" s="468">
        <f t="shared" si="43"/>
        <v>9.6667088515195121E-2</v>
      </c>
      <c r="M131" s="468">
        <f t="shared" si="43"/>
        <v>9.7100000000000006E-2</v>
      </c>
      <c r="N131" s="468">
        <f t="shared" si="43"/>
        <v>9.5850000000000005E-2</v>
      </c>
      <c r="O131" s="468">
        <f t="shared" si="43"/>
        <v>9.4600000000000004E-2</v>
      </c>
      <c r="P131" s="468">
        <f t="shared" si="43"/>
        <v>9.4600000000000004E-2</v>
      </c>
      <c r="Q131" s="468">
        <f t="shared" si="43"/>
        <v>9.4600000000000004E-2</v>
      </c>
      <c r="R131" s="468">
        <f t="shared" si="43"/>
        <v>9.3350000000000002E-2</v>
      </c>
      <c r="S131" s="468">
        <f t="shared" si="43"/>
        <v>9.2100000000000015E-2</v>
      </c>
      <c r="T131" s="468">
        <f t="shared" si="43"/>
        <v>9.2100000000000015E-2</v>
      </c>
      <c r="U131" s="468">
        <f t="shared" si="43"/>
        <v>9.2100000000000015E-2</v>
      </c>
      <c r="V131" s="468">
        <f t="shared" si="43"/>
        <v>9.2100000000000015E-2</v>
      </c>
      <c r="W131" s="468">
        <f t="shared" si="43"/>
        <v>8.9600000000000013E-2</v>
      </c>
      <c r="X131" s="468">
        <f t="shared" si="43"/>
        <v>8.9600000000000013E-2</v>
      </c>
      <c r="Y131" s="468">
        <f>Anual!AJ54/100</f>
        <v>8.9600000000000013E-2</v>
      </c>
      <c r="Z131" s="468">
        <f>Anual!AK54/100</f>
        <v>8.9600000000000013E-2</v>
      </c>
      <c r="AA131" s="468">
        <f>Anual!AL54/100</f>
        <v>8.9600000000000013E-2</v>
      </c>
      <c r="AB131" s="468">
        <f>Anual!AM54/100</f>
        <v>0</v>
      </c>
    </row>
    <row r="132" spans="1:28">
      <c r="A132" s="95">
        <f t="shared" si="25"/>
        <v>16</v>
      </c>
      <c r="B132" s="345"/>
      <c r="E132" s="351"/>
      <c r="F132" s="351"/>
      <c r="G132" s="352"/>
      <c r="H132" s="349"/>
      <c r="I132" s="349"/>
      <c r="J132" s="349"/>
      <c r="K132" s="349"/>
      <c r="L132" s="349"/>
      <c r="M132" s="349"/>
      <c r="N132" s="349"/>
      <c r="O132" s="349"/>
      <c r="P132" s="349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349"/>
      <c r="AB132" s="349"/>
    </row>
    <row r="133" spans="1:28">
      <c r="A133" s="95"/>
      <c r="B133" s="345" t="s">
        <v>76</v>
      </c>
      <c r="E133" s="351"/>
      <c r="F133" s="469" t="s">
        <v>0</v>
      </c>
      <c r="G133" s="457">
        <v>0</v>
      </c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  <c r="AA133" s="353"/>
      <c r="AB133" s="353"/>
    </row>
    <row r="134" spans="1:28">
      <c r="A134" s="95">
        <f>1+A132</f>
        <v>17</v>
      </c>
      <c r="E134" s="351"/>
      <c r="F134" s="469" t="s">
        <v>450</v>
      </c>
      <c r="G134" s="457">
        <v>2.75E-2</v>
      </c>
      <c r="H134" s="353">
        <f>(((1+H131)*(1+$G134))-1)*$G$131+(((1+H130)*(1+$G$133))-1)*$G$130</f>
        <v>0.11989150336264975</v>
      </c>
      <c r="I134" s="353">
        <f>(((1+I131)*(1+$G134))-1)*$G$131+(((1+I130)*(1+$G$133))-1)*$G$130</f>
        <v>0.1006486021862345</v>
      </c>
      <c r="J134" s="353">
        <f t="shared" ref="J134:AB134" si="44">(((1+J131)*(1+$G134))-1)*$G$131+(((1+J130)*(1+$G$133))-1)*$G$130</f>
        <v>0.10710826336908208</v>
      </c>
      <c r="K134" s="353">
        <f t="shared" si="44"/>
        <v>0.11996320456776299</v>
      </c>
      <c r="L134" s="353">
        <f t="shared" si="44"/>
        <v>0.12682543344936326</v>
      </c>
      <c r="M134" s="353">
        <f t="shared" si="44"/>
        <v>0.12727025000000003</v>
      </c>
      <c r="N134" s="353">
        <f t="shared" si="44"/>
        <v>0.12598587500000002</v>
      </c>
      <c r="O134" s="353">
        <f t="shared" si="44"/>
        <v>0.12470150000000002</v>
      </c>
      <c r="P134" s="353">
        <f t="shared" si="44"/>
        <v>0.12470150000000002</v>
      </c>
      <c r="Q134" s="353">
        <f t="shared" si="44"/>
        <v>0.12470150000000002</v>
      </c>
      <c r="R134" s="353">
        <f t="shared" si="44"/>
        <v>0.12341712500000024</v>
      </c>
      <c r="S134" s="353">
        <f t="shared" si="44"/>
        <v>0.12213275000000023</v>
      </c>
      <c r="T134" s="353">
        <f t="shared" si="44"/>
        <v>0.12213275000000023</v>
      </c>
      <c r="U134" s="353">
        <f t="shared" si="44"/>
        <v>0.12213275000000023</v>
      </c>
      <c r="V134" s="353">
        <f t="shared" si="44"/>
        <v>0.12213275000000023</v>
      </c>
      <c r="W134" s="353">
        <f t="shared" si="44"/>
        <v>0.119564</v>
      </c>
      <c r="X134" s="353">
        <f t="shared" si="44"/>
        <v>0.119564</v>
      </c>
      <c r="Y134" s="353">
        <f t="shared" si="44"/>
        <v>0.119564</v>
      </c>
      <c r="Z134" s="353">
        <f t="shared" si="44"/>
        <v>0.119564</v>
      </c>
      <c r="AA134" s="353">
        <f t="shared" si="44"/>
        <v>0.119564</v>
      </c>
      <c r="AB134" s="353">
        <f t="shared" si="44"/>
        <v>2.750000000000008E-2</v>
      </c>
    </row>
    <row r="135" spans="1:28">
      <c r="A135" s="95"/>
      <c r="B135" s="345"/>
      <c r="E135" s="351"/>
      <c r="F135" s="469"/>
      <c r="G135" s="470"/>
      <c r="H135" s="471"/>
      <c r="I135" s="471"/>
      <c r="J135" s="471"/>
      <c r="K135" s="471"/>
      <c r="L135" s="471"/>
      <c r="M135" s="471"/>
      <c r="N135" s="471"/>
      <c r="O135" s="471"/>
      <c r="P135" s="471"/>
      <c r="Q135" s="471"/>
      <c r="R135" s="471"/>
      <c r="S135" s="471"/>
      <c r="T135" s="471"/>
      <c r="U135" s="471"/>
      <c r="V135" s="471"/>
      <c r="W135" s="471"/>
      <c r="X135" s="471"/>
      <c r="Y135" s="471"/>
      <c r="Z135" s="471"/>
      <c r="AA135" s="471"/>
      <c r="AB135" s="471"/>
    </row>
    <row r="136" spans="1:28">
      <c r="A136" s="95">
        <f>1+A134</f>
        <v>18</v>
      </c>
      <c r="F136" s="39"/>
    </row>
    <row r="137" spans="1:28">
      <c r="A137" s="95">
        <f t="shared" si="25"/>
        <v>19</v>
      </c>
      <c r="B137" s="345" t="s">
        <v>74</v>
      </c>
      <c r="C137" s="345"/>
      <c r="D137" s="345"/>
      <c r="E137" s="357"/>
      <c r="F137" s="350">
        <v>0.01</v>
      </c>
      <c r="G137" s="352"/>
      <c r="H137" s="360">
        <v>0</v>
      </c>
      <c r="I137" s="360">
        <f>F125*F137</f>
        <v>1000</v>
      </c>
      <c r="J137" s="360">
        <v>0</v>
      </c>
      <c r="K137" s="360">
        <v>0</v>
      </c>
      <c r="L137" s="360">
        <v>0</v>
      </c>
      <c r="M137" s="360">
        <v>0</v>
      </c>
      <c r="N137" s="360">
        <v>0</v>
      </c>
      <c r="O137" s="360">
        <v>0</v>
      </c>
      <c r="P137" s="360">
        <v>0</v>
      </c>
      <c r="Q137" s="360">
        <v>0</v>
      </c>
      <c r="R137" s="360">
        <v>0</v>
      </c>
      <c r="S137" s="360">
        <v>0</v>
      </c>
      <c r="T137" s="360">
        <v>0</v>
      </c>
      <c r="U137" s="360">
        <v>0</v>
      </c>
      <c r="V137" s="360">
        <v>0</v>
      </c>
      <c r="W137" s="360">
        <v>0</v>
      </c>
      <c r="X137" s="360">
        <v>0</v>
      </c>
      <c r="Y137" s="360">
        <v>0</v>
      </c>
      <c r="Z137" s="360">
        <v>0</v>
      </c>
      <c r="AA137" s="360">
        <v>0</v>
      </c>
      <c r="AB137" s="360">
        <v>0</v>
      </c>
    </row>
    <row r="138" spans="1:28">
      <c r="A138" s="95">
        <f t="shared" ref="A138:A201" si="45">1+A137</f>
        <v>20</v>
      </c>
      <c r="B138" s="2" t="s">
        <v>231</v>
      </c>
      <c r="C138" s="2"/>
      <c r="D138" s="56"/>
      <c r="E138" s="56"/>
      <c r="F138" s="56"/>
      <c r="G138" s="58"/>
      <c r="H138" s="68">
        <f>H137+(AVERAGE(H125,H128))*(((1+H134)^((H7-D123)/365))-1)</f>
        <v>0</v>
      </c>
      <c r="I138" s="68">
        <f>I137+AVERAGE(I125,I128)*I134/2</f>
        <v>6032.4301093117256</v>
      </c>
      <c r="J138" s="68">
        <f t="shared" ref="J138:AB138" si="46">J137+AVERAGE(J125,J128)*J134</f>
        <v>10710.826336908209</v>
      </c>
      <c r="K138" s="68">
        <f t="shared" si="46"/>
        <v>11996.320456776299</v>
      </c>
      <c r="L138" s="68">
        <f t="shared" si="46"/>
        <v>10568.786120780273</v>
      </c>
      <c r="M138" s="68">
        <f t="shared" si="46"/>
        <v>6363.5125000000025</v>
      </c>
      <c r="N138" s="68">
        <f>N137+AVERAGE(N125,N128)*N134</f>
        <v>2099.7645833333345</v>
      </c>
      <c r="O138" s="68">
        <f t="shared" si="46"/>
        <v>0</v>
      </c>
      <c r="P138" s="68">
        <f t="shared" si="46"/>
        <v>0</v>
      </c>
      <c r="Q138" s="68">
        <f t="shared" si="46"/>
        <v>0</v>
      </c>
      <c r="R138" s="68">
        <f t="shared" si="46"/>
        <v>0</v>
      </c>
      <c r="S138" s="68">
        <f t="shared" si="46"/>
        <v>0</v>
      </c>
      <c r="T138" s="68">
        <f t="shared" si="46"/>
        <v>0</v>
      </c>
      <c r="U138" s="68">
        <f t="shared" si="46"/>
        <v>0</v>
      </c>
      <c r="V138" s="68">
        <f t="shared" si="46"/>
        <v>0</v>
      </c>
      <c r="W138" s="68">
        <f t="shared" si="46"/>
        <v>0</v>
      </c>
      <c r="X138" s="68">
        <f t="shared" si="46"/>
        <v>0</v>
      </c>
      <c r="Y138" s="68">
        <f t="shared" si="46"/>
        <v>0</v>
      </c>
      <c r="Z138" s="68">
        <f t="shared" si="46"/>
        <v>0</v>
      </c>
      <c r="AA138" s="68">
        <f t="shared" si="46"/>
        <v>0</v>
      </c>
      <c r="AB138" s="68">
        <f t="shared" si="46"/>
        <v>0</v>
      </c>
    </row>
    <row r="139" spans="1:28">
      <c r="A139" s="95">
        <f t="shared" si="45"/>
        <v>21</v>
      </c>
      <c r="D139" s="351"/>
      <c r="E139" s="351"/>
      <c r="F139" s="351"/>
      <c r="G139" s="352"/>
      <c r="H139" s="381"/>
      <c r="I139" s="351"/>
      <c r="J139" s="351"/>
      <c r="K139" s="351"/>
      <c r="L139" s="351"/>
      <c r="M139" s="351"/>
    </row>
    <row r="140" spans="1:28">
      <c r="A140" s="95">
        <f t="shared" si="45"/>
        <v>22</v>
      </c>
      <c r="D140" s="351"/>
      <c r="E140" s="351"/>
      <c r="F140" s="351"/>
      <c r="G140" s="352"/>
      <c r="H140" s="29"/>
      <c r="I140" s="29"/>
      <c r="J140" s="29"/>
      <c r="K140" s="29"/>
      <c r="L140" s="29"/>
      <c r="M140" s="29"/>
    </row>
    <row r="141" spans="1:28">
      <c r="A141" s="95">
        <f t="shared" si="45"/>
        <v>23</v>
      </c>
      <c r="B141" s="28" t="s">
        <v>159</v>
      </c>
      <c r="C141" s="26"/>
      <c r="D141" s="134">
        <v>41167</v>
      </c>
      <c r="E141" s="26"/>
      <c r="F141" s="26"/>
      <c r="G141" s="26"/>
      <c r="H141" s="380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>
      <c r="A142" s="95">
        <f t="shared" si="45"/>
        <v>24</v>
      </c>
      <c r="D142" s="351"/>
      <c r="E142" s="351"/>
      <c r="F142" s="351"/>
      <c r="G142" s="352"/>
    </row>
    <row r="143" spans="1:28">
      <c r="A143" s="95">
        <f t="shared" si="45"/>
        <v>25</v>
      </c>
      <c r="B143" s="2" t="s">
        <v>78</v>
      </c>
      <c r="C143" s="2"/>
      <c r="D143" s="150">
        <v>53660</v>
      </c>
      <c r="E143" s="56"/>
      <c r="F143" s="53">
        <f>D143</f>
        <v>53660</v>
      </c>
      <c r="G143" s="50"/>
      <c r="H143" s="70">
        <f>F143</f>
        <v>53660</v>
      </c>
      <c r="I143" s="70">
        <f t="shared" ref="I143:AB143" si="47">H146</f>
        <v>53660</v>
      </c>
      <c r="J143" s="70">
        <f t="shared" si="47"/>
        <v>48171</v>
      </c>
      <c r="K143" s="70">
        <f t="shared" si="47"/>
        <v>29758</v>
      </c>
      <c r="L143" s="70">
        <f t="shared" si="47"/>
        <v>0</v>
      </c>
      <c r="M143" s="70">
        <f t="shared" si="47"/>
        <v>0</v>
      </c>
      <c r="N143" s="70">
        <f t="shared" si="47"/>
        <v>0</v>
      </c>
      <c r="O143" s="70">
        <f t="shared" si="47"/>
        <v>0</v>
      </c>
      <c r="P143" s="70">
        <f t="shared" si="47"/>
        <v>0</v>
      </c>
      <c r="Q143" s="70">
        <f t="shared" si="47"/>
        <v>0</v>
      </c>
      <c r="R143" s="70">
        <f t="shared" si="47"/>
        <v>0</v>
      </c>
      <c r="S143" s="70">
        <f t="shared" si="47"/>
        <v>0</v>
      </c>
      <c r="T143" s="70">
        <f t="shared" si="47"/>
        <v>0</v>
      </c>
      <c r="U143" s="70">
        <f t="shared" si="47"/>
        <v>0</v>
      </c>
      <c r="V143" s="70">
        <f t="shared" si="47"/>
        <v>0</v>
      </c>
      <c r="W143" s="70">
        <f t="shared" si="47"/>
        <v>0</v>
      </c>
      <c r="X143" s="70">
        <f t="shared" si="47"/>
        <v>0</v>
      </c>
      <c r="Y143" s="70">
        <f t="shared" si="47"/>
        <v>0</v>
      </c>
      <c r="Z143" s="70">
        <f t="shared" si="47"/>
        <v>0</v>
      </c>
      <c r="AA143" s="70">
        <f t="shared" si="47"/>
        <v>0</v>
      </c>
      <c r="AB143" s="70">
        <f t="shared" si="47"/>
        <v>0</v>
      </c>
    </row>
    <row r="144" spans="1:28" s="39" customFormat="1">
      <c r="A144" s="95">
        <f t="shared" si="45"/>
        <v>26</v>
      </c>
      <c r="B144" s="345" t="s">
        <v>79</v>
      </c>
      <c r="C144"/>
      <c r="D144"/>
      <c r="E144" s="351"/>
      <c r="F144" s="357"/>
      <c r="G144" s="352"/>
      <c r="H144" s="361">
        <v>0</v>
      </c>
      <c r="I144" s="361">
        <v>0.10229221021244875</v>
      </c>
      <c r="J144" s="361">
        <v>0.3431420052180395</v>
      </c>
      <c r="K144" s="361">
        <f>1-SUM(I144:J144)</f>
        <v>0.55456578456951178</v>
      </c>
      <c r="L144" s="361"/>
      <c r="M144" s="361">
        <v>0</v>
      </c>
      <c r="N144" s="361">
        <v>0</v>
      </c>
      <c r="O144" s="361">
        <v>0</v>
      </c>
      <c r="P144" s="361">
        <v>0</v>
      </c>
      <c r="Q144" s="361">
        <v>0</v>
      </c>
      <c r="R144" s="361">
        <v>0</v>
      </c>
      <c r="S144" s="361">
        <v>0</v>
      </c>
      <c r="T144" s="361">
        <v>0</v>
      </c>
      <c r="U144" s="361">
        <v>0</v>
      </c>
      <c r="V144" s="361">
        <v>0</v>
      </c>
      <c r="W144" s="361">
        <v>0</v>
      </c>
      <c r="X144" s="361"/>
      <c r="Y144" s="361"/>
      <c r="Z144" s="361"/>
      <c r="AA144" s="361"/>
      <c r="AB144" s="361"/>
    </row>
    <row r="145" spans="1:28">
      <c r="A145" s="95">
        <f t="shared" si="45"/>
        <v>27</v>
      </c>
      <c r="B145" s="345" t="s">
        <v>77</v>
      </c>
      <c r="E145" s="351"/>
      <c r="F145" s="357"/>
      <c r="G145" s="352"/>
      <c r="H145" s="356">
        <f t="shared" ref="H145:AB145" si="48">H144*$F143</f>
        <v>0</v>
      </c>
      <c r="I145" s="356">
        <f t="shared" si="48"/>
        <v>5489</v>
      </c>
      <c r="J145" s="356">
        <f t="shared" si="48"/>
        <v>18413</v>
      </c>
      <c r="K145" s="356">
        <f t="shared" si="48"/>
        <v>29758.000000000004</v>
      </c>
      <c r="L145" s="356">
        <f t="shared" si="48"/>
        <v>0</v>
      </c>
      <c r="M145" s="356">
        <f t="shared" si="48"/>
        <v>0</v>
      </c>
      <c r="N145" s="356">
        <f t="shared" si="48"/>
        <v>0</v>
      </c>
      <c r="O145" s="356">
        <f t="shared" si="48"/>
        <v>0</v>
      </c>
      <c r="P145" s="356">
        <f t="shared" si="48"/>
        <v>0</v>
      </c>
      <c r="Q145" s="356">
        <f t="shared" si="48"/>
        <v>0</v>
      </c>
      <c r="R145" s="356">
        <f t="shared" si="48"/>
        <v>0</v>
      </c>
      <c r="S145" s="356">
        <f t="shared" si="48"/>
        <v>0</v>
      </c>
      <c r="T145" s="356">
        <f t="shared" si="48"/>
        <v>0</v>
      </c>
      <c r="U145" s="356">
        <f t="shared" si="48"/>
        <v>0</v>
      </c>
      <c r="V145" s="356">
        <f t="shared" si="48"/>
        <v>0</v>
      </c>
      <c r="W145" s="356">
        <f t="shared" si="48"/>
        <v>0</v>
      </c>
      <c r="X145" s="356">
        <f t="shared" si="48"/>
        <v>0</v>
      </c>
      <c r="Y145" s="356">
        <f t="shared" si="48"/>
        <v>0</v>
      </c>
      <c r="Z145" s="356">
        <f t="shared" si="48"/>
        <v>0</v>
      </c>
      <c r="AA145" s="356">
        <f t="shared" si="48"/>
        <v>0</v>
      </c>
      <c r="AB145" s="356">
        <f t="shared" si="48"/>
        <v>0</v>
      </c>
    </row>
    <row r="146" spans="1:28">
      <c r="A146" s="95">
        <f t="shared" si="45"/>
        <v>28</v>
      </c>
      <c r="B146" s="2" t="s">
        <v>80</v>
      </c>
      <c r="C146" s="2"/>
      <c r="D146" s="2"/>
      <c r="E146" s="56"/>
      <c r="F146" s="57"/>
      <c r="G146" s="58"/>
      <c r="H146" s="69">
        <f t="shared" ref="H146:AB146" si="49">H143-H145</f>
        <v>53660</v>
      </c>
      <c r="I146" s="69">
        <f t="shared" si="49"/>
        <v>48171</v>
      </c>
      <c r="J146" s="69">
        <f t="shared" si="49"/>
        <v>29758</v>
      </c>
      <c r="K146" s="69">
        <f t="shared" si="49"/>
        <v>0</v>
      </c>
      <c r="L146" s="69">
        <f t="shared" si="49"/>
        <v>0</v>
      </c>
      <c r="M146" s="69">
        <f t="shared" si="49"/>
        <v>0</v>
      </c>
      <c r="N146" s="69">
        <f t="shared" si="49"/>
        <v>0</v>
      </c>
      <c r="O146" s="69">
        <f t="shared" si="49"/>
        <v>0</v>
      </c>
      <c r="P146" s="69">
        <f t="shared" si="49"/>
        <v>0</v>
      </c>
      <c r="Q146" s="69">
        <f t="shared" si="49"/>
        <v>0</v>
      </c>
      <c r="R146" s="69">
        <f t="shared" si="49"/>
        <v>0</v>
      </c>
      <c r="S146" s="69">
        <f t="shared" si="49"/>
        <v>0</v>
      </c>
      <c r="T146" s="69">
        <f t="shared" si="49"/>
        <v>0</v>
      </c>
      <c r="U146" s="69">
        <f t="shared" si="49"/>
        <v>0</v>
      </c>
      <c r="V146" s="69">
        <f t="shared" si="49"/>
        <v>0</v>
      </c>
      <c r="W146" s="69">
        <f t="shared" si="49"/>
        <v>0</v>
      </c>
      <c r="X146" s="69">
        <f t="shared" si="49"/>
        <v>0</v>
      </c>
      <c r="Y146" s="69">
        <f t="shared" si="49"/>
        <v>0</v>
      </c>
      <c r="Z146" s="69">
        <f t="shared" si="49"/>
        <v>0</v>
      </c>
      <c r="AA146" s="69">
        <f t="shared" si="49"/>
        <v>0</v>
      </c>
      <c r="AB146" s="69">
        <f t="shared" si="49"/>
        <v>0</v>
      </c>
    </row>
    <row r="147" spans="1:28">
      <c r="A147" s="95">
        <f t="shared" si="45"/>
        <v>29</v>
      </c>
      <c r="B147" s="345"/>
      <c r="E147" s="351"/>
      <c r="F147" s="357"/>
      <c r="G147" s="352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358"/>
      <c r="AB147" s="358"/>
    </row>
    <row r="148" spans="1:28">
      <c r="A148" s="95">
        <f t="shared" si="45"/>
        <v>30</v>
      </c>
      <c r="B148" s="345" t="s">
        <v>73</v>
      </c>
      <c r="E148" s="351"/>
      <c r="F148" s="74" t="s">
        <v>368</v>
      </c>
      <c r="G148" s="352"/>
      <c r="H148" s="362"/>
      <c r="I148" s="362"/>
      <c r="J148" s="362"/>
      <c r="K148" s="362"/>
      <c r="L148" s="362"/>
      <c r="M148" s="362"/>
      <c r="N148" s="362"/>
      <c r="O148" s="362"/>
      <c r="P148" s="362"/>
      <c r="Q148" s="362"/>
      <c r="R148" s="362"/>
      <c r="S148" s="362"/>
      <c r="T148" s="362"/>
      <c r="U148" s="362"/>
      <c r="V148" s="362"/>
      <c r="W148" s="362"/>
    </row>
    <row r="149" spans="1:28">
      <c r="A149" s="95">
        <f t="shared" si="45"/>
        <v>31</v>
      </c>
      <c r="B149" s="345" t="s">
        <v>2</v>
      </c>
      <c r="E149" s="351"/>
      <c r="F149" s="351"/>
      <c r="G149" s="352"/>
      <c r="H149" s="79">
        <f>H113</f>
        <v>8.9918738065839138E-2</v>
      </c>
      <c r="I149" s="79">
        <f t="shared" ref="I149:AB149" si="50">I113</f>
        <v>7.1190853709230575E-2</v>
      </c>
      <c r="J149" s="79">
        <f t="shared" si="50"/>
        <v>7.747762858304813E-2</v>
      </c>
      <c r="K149" s="79">
        <f t="shared" si="50"/>
        <v>8.9988520260596519E-2</v>
      </c>
      <c r="L149" s="79">
        <f t="shared" si="50"/>
        <v>9.6667088515195121E-2</v>
      </c>
      <c r="M149" s="79">
        <f t="shared" si="50"/>
        <v>9.7100000000000006E-2</v>
      </c>
      <c r="N149" s="79">
        <f t="shared" si="50"/>
        <v>9.5850000000000005E-2</v>
      </c>
      <c r="O149" s="79">
        <f t="shared" si="50"/>
        <v>9.4600000000000004E-2</v>
      </c>
      <c r="P149" s="79">
        <f t="shared" si="50"/>
        <v>9.4600000000000004E-2</v>
      </c>
      <c r="Q149" s="79">
        <f t="shared" si="50"/>
        <v>9.4600000000000004E-2</v>
      </c>
      <c r="R149" s="79">
        <f t="shared" si="50"/>
        <v>9.3350000000000002E-2</v>
      </c>
      <c r="S149" s="79">
        <f t="shared" si="50"/>
        <v>9.2100000000000015E-2</v>
      </c>
      <c r="T149" s="79">
        <f t="shared" si="50"/>
        <v>9.2100000000000015E-2</v>
      </c>
      <c r="U149" s="79">
        <f t="shared" si="50"/>
        <v>9.2100000000000015E-2</v>
      </c>
      <c r="V149" s="79">
        <f t="shared" si="50"/>
        <v>9.2100000000000015E-2</v>
      </c>
      <c r="W149" s="79">
        <f t="shared" si="50"/>
        <v>8.9600000000000013E-2</v>
      </c>
      <c r="X149" s="79">
        <f t="shared" si="50"/>
        <v>8.9600000000000013E-2</v>
      </c>
      <c r="Y149" s="79">
        <f t="shared" si="50"/>
        <v>8.9600000000000013E-2</v>
      </c>
      <c r="Z149" s="79">
        <f t="shared" si="50"/>
        <v>8.9600000000000013E-2</v>
      </c>
      <c r="AA149" s="79">
        <f t="shared" si="50"/>
        <v>0</v>
      </c>
      <c r="AB149" s="79">
        <f t="shared" si="50"/>
        <v>0</v>
      </c>
    </row>
    <row r="150" spans="1:28">
      <c r="A150" s="95">
        <f t="shared" si="45"/>
        <v>32</v>
      </c>
      <c r="B150" s="345" t="s">
        <v>75</v>
      </c>
      <c r="E150" s="351"/>
      <c r="F150" s="351"/>
      <c r="G150" s="352"/>
      <c r="H150" s="349">
        <v>9.6015680732510766E-2</v>
      </c>
      <c r="I150" s="349">
        <v>0.12356687221910145</v>
      </c>
      <c r="J150" s="349">
        <v>0.12290961768073827</v>
      </c>
      <c r="K150" s="349">
        <v>9.029668460419904E-2</v>
      </c>
      <c r="L150" s="349">
        <v>7.178964713973035E-2</v>
      </c>
      <c r="M150" s="349">
        <v>8.5106119086168608E-2</v>
      </c>
      <c r="N150" s="349">
        <v>8.931969810964846E-2</v>
      </c>
      <c r="O150" s="349">
        <v>9.5997229437133846E-2</v>
      </c>
      <c r="P150" s="349">
        <v>8.5146952512157092E-2</v>
      </c>
      <c r="Q150" s="349">
        <v>8.384682158841783E-2</v>
      </c>
      <c r="R150" s="349">
        <v>9.4207452154611904E-2</v>
      </c>
      <c r="S150" s="349">
        <v>9.4207452154611904E-2</v>
      </c>
      <c r="T150" s="349">
        <v>7.8127888919998556E-2</v>
      </c>
      <c r="U150" s="349">
        <v>7.4905189815073436E-2</v>
      </c>
      <c r="V150" s="349">
        <v>9.2863891509025853E-2</v>
      </c>
      <c r="W150" s="349">
        <v>9.248187898793403E-2</v>
      </c>
      <c r="X150" s="349">
        <v>9.1336642436913973E-2</v>
      </c>
      <c r="Y150" s="349">
        <v>6.9511659345038668E-2</v>
      </c>
      <c r="Z150" s="349">
        <v>6.6321477977900223E-2</v>
      </c>
      <c r="AA150" s="349">
        <v>8.8858194760175868E-2</v>
      </c>
      <c r="AB150" s="349">
        <v>8.9971092111717832E-2</v>
      </c>
    </row>
    <row r="151" spans="1:28">
      <c r="A151" s="95">
        <f t="shared" si="45"/>
        <v>33</v>
      </c>
      <c r="B151" s="345" t="s">
        <v>76</v>
      </c>
      <c r="E151" s="351"/>
      <c r="F151" s="350">
        <v>1.4999999999999999E-2</v>
      </c>
      <c r="G151" s="352"/>
      <c r="H151" s="353">
        <f>((1+H149)*(1+$F151))-1</f>
        <v>0.10626751913682653</v>
      </c>
      <c r="I151" s="353">
        <f t="shared" ref="I151:AB151" si="51">((1+I149)*(1+$F151))-1</f>
        <v>8.7258716514868828E-2</v>
      </c>
      <c r="J151" s="353">
        <f t="shared" si="51"/>
        <v>9.3639793011793593E-2</v>
      </c>
      <c r="K151" s="353">
        <f t="shared" si="51"/>
        <v>0.10633834806450548</v>
      </c>
      <c r="L151" s="353">
        <f t="shared" si="51"/>
        <v>0.11311709484292298</v>
      </c>
      <c r="M151" s="353">
        <f t="shared" si="51"/>
        <v>0.11355649999999984</v>
      </c>
      <c r="N151" s="353">
        <f t="shared" si="51"/>
        <v>0.11228774999999991</v>
      </c>
      <c r="O151" s="353">
        <f t="shared" si="51"/>
        <v>0.11101899999999998</v>
      </c>
      <c r="P151" s="353">
        <f t="shared" si="51"/>
        <v>0.11101899999999998</v>
      </c>
      <c r="Q151" s="353">
        <f t="shared" si="51"/>
        <v>0.11101899999999998</v>
      </c>
      <c r="R151" s="353">
        <f t="shared" si="51"/>
        <v>0.10975024999999983</v>
      </c>
      <c r="S151" s="353">
        <f t="shared" si="51"/>
        <v>0.1084814999999999</v>
      </c>
      <c r="T151" s="353">
        <f t="shared" si="51"/>
        <v>0.1084814999999999</v>
      </c>
      <c r="U151" s="353">
        <f t="shared" si="51"/>
        <v>0.1084814999999999</v>
      </c>
      <c r="V151" s="353">
        <f t="shared" si="51"/>
        <v>0.1084814999999999</v>
      </c>
      <c r="W151" s="353">
        <f t="shared" si="51"/>
        <v>0.10594399999999982</v>
      </c>
      <c r="X151" s="353">
        <f t="shared" si="51"/>
        <v>0.10594399999999982</v>
      </c>
      <c r="Y151" s="353">
        <f t="shared" si="51"/>
        <v>0.10594399999999982</v>
      </c>
      <c r="Z151" s="353">
        <f t="shared" si="51"/>
        <v>0.10594399999999982</v>
      </c>
      <c r="AA151" s="353">
        <f t="shared" si="51"/>
        <v>1.4999999999999902E-2</v>
      </c>
      <c r="AB151" s="353">
        <f t="shared" si="51"/>
        <v>1.4999999999999902E-2</v>
      </c>
    </row>
    <row r="152" spans="1:28">
      <c r="A152" s="95">
        <f t="shared" si="45"/>
        <v>34</v>
      </c>
      <c r="F152" s="39"/>
    </row>
    <row r="153" spans="1:28">
      <c r="A153" s="95">
        <f t="shared" si="45"/>
        <v>35</v>
      </c>
      <c r="B153" s="345" t="s">
        <v>74</v>
      </c>
      <c r="C153" s="345"/>
      <c r="D153" s="345"/>
      <c r="E153" s="357"/>
      <c r="F153" s="350">
        <v>0</v>
      </c>
      <c r="G153" s="352"/>
      <c r="H153" s="360">
        <f>F143*F153</f>
        <v>0</v>
      </c>
      <c r="I153" s="360">
        <v>0</v>
      </c>
      <c r="J153" s="360">
        <v>0</v>
      </c>
      <c r="K153" s="360">
        <v>0</v>
      </c>
      <c r="L153" s="360">
        <v>0</v>
      </c>
      <c r="M153" s="360">
        <v>0</v>
      </c>
      <c r="N153" s="360">
        <v>0</v>
      </c>
      <c r="O153" s="360">
        <v>0</v>
      </c>
      <c r="P153" s="360">
        <v>0</v>
      </c>
      <c r="Q153" s="360">
        <v>0</v>
      </c>
      <c r="R153" s="360">
        <v>0</v>
      </c>
      <c r="S153" s="360">
        <v>0</v>
      </c>
      <c r="T153" s="360">
        <v>0</v>
      </c>
      <c r="U153" s="360">
        <v>0</v>
      </c>
      <c r="V153" s="360">
        <v>0</v>
      </c>
      <c r="W153" s="360">
        <v>0</v>
      </c>
      <c r="X153" s="360">
        <v>0</v>
      </c>
      <c r="Y153" s="360">
        <v>0</v>
      </c>
      <c r="Z153" s="360">
        <v>0</v>
      </c>
      <c r="AA153" s="360">
        <v>0</v>
      </c>
      <c r="AB153" s="360">
        <v>0</v>
      </c>
    </row>
    <row r="154" spans="1:28">
      <c r="A154" s="95">
        <f t="shared" si="45"/>
        <v>36</v>
      </c>
      <c r="B154" s="2" t="s">
        <v>231</v>
      </c>
      <c r="C154" s="2"/>
      <c r="D154" s="56"/>
      <c r="E154" s="56"/>
      <c r="F154" s="56"/>
      <c r="G154" s="58"/>
      <c r="H154" s="68">
        <f>H153+AVERAGE(H143,H146)*H151</f>
        <v>5702.3150768821115</v>
      </c>
      <c r="I154" s="68">
        <f t="shared" ref="I154" si="52">I153+AVERAGE(I143,I146)*I151</f>
        <v>4442.8211807128037</v>
      </c>
      <c r="J154" s="68">
        <f t="shared" ref="J154" si="53">J153+AVERAGE(J143,J146)*J151</f>
        <v>3648.6277148080317</v>
      </c>
      <c r="K154" s="68">
        <f t="shared" ref="K154" si="54">K153+AVERAGE(K143,K146)*K151</f>
        <v>1582.2082808517771</v>
      </c>
      <c r="L154" s="68">
        <f t="shared" ref="L154" si="55">L153+AVERAGE(L143,L146)*L151</f>
        <v>0</v>
      </c>
      <c r="M154" s="68">
        <f t="shared" ref="M154" si="56">M153+AVERAGE(M143,M146)*M151</f>
        <v>0</v>
      </c>
      <c r="N154" s="68">
        <f t="shared" ref="N154" si="57">N153+AVERAGE(N143,N146)*N151</f>
        <v>0</v>
      </c>
      <c r="O154" s="68">
        <f t="shared" ref="O154" si="58">O153+AVERAGE(O143,O146)*O151</f>
        <v>0</v>
      </c>
      <c r="P154" s="68">
        <f t="shared" ref="P154" si="59">P153+AVERAGE(P143,P146)*P151</f>
        <v>0</v>
      </c>
      <c r="Q154" s="68">
        <f t="shared" ref="Q154" si="60">Q153+AVERAGE(Q143,Q146)*Q151</f>
        <v>0</v>
      </c>
      <c r="R154" s="68">
        <f t="shared" ref="R154" si="61">R153+AVERAGE(R143,R146)*R151</f>
        <v>0</v>
      </c>
      <c r="S154" s="68">
        <f t="shared" ref="S154" si="62">S153+AVERAGE(S143,S146)*S151</f>
        <v>0</v>
      </c>
      <c r="T154" s="68">
        <f t="shared" ref="T154" si="63">T153+AVERAGE(T143,T146)*T151</f>
        <v>0</v>
      </c>
      <c r="U154" s="68">
        <f t="shared" ref="U154" si="64">U153+AVERAGE(U143,U146)*U151</f>
        <v>0</v>
      </c>
      <c r="V154" s="68">
        <f t="shared" ref="V154" si="65">V153+AVERAGE(V143,V146)*V151</f>
        <v>0</v>
      </c>
      <c r="W154" s="68">
        <f t="shared" ref="W154" si="66">W153+AVERAGE(W143,W146)*W151</f>
        <v>0</v>
      </c>
      <c r="X154" s="68">
        <f t="shared" ref="X154" si="67">X153+AVERAGE(X143,X146)*X151</f>
        <v>0</v>
      </c>
      <c r="Y154" s="68">
        <f t="shared" ref="Y154" si="68">Y153+AVERAGE(Y143,Y146)*Y151</f>
        <v>0</v>
      </c>
      <c r="Z154" s="68">
        <f t="shared" ref="Z154" si="69">Z153+AVERAGE(Z143,Z146)*Z151</f>
        <v>0</v>
      </c>
      <c r="AA154" s="68">
        <f t="shared" ref="AA154" si="70">AA153+AVERAGE(AA143,AA146)*AA151</f>
        <v>0</v>
      </c>
      <c r="AB154" s="68">
        <f t="shared" ref="AB154" si="71">AB153+AVERAGE(AB143,AB146)*AB151</f>
        <v>0</v>
      </c>
    </row>
    <row r="155" spans="1:28">
      <c r="A155" s="95">
        <f t="shared" si="45"/>
        <v>37</v>
      </c>
      <c r="D155" s="351"/>
      <c r="E155" s="351"/>
      <c r="F155" s="351"/>
      <c r="G155" s="352"/>
      <c r="H155" s="381"/>
      <c r="I155" s="351"/>
      <c r="J155" s="351"/>
      <c r="K155" s="351"/>
      <c r="L155" s="351"/>
      <c r="M155" s="351"/>
    </row>
    <row r="156" spans="1:28">
      <c r="A156" s="95">
        <f t="shared" si="45"/>
        <v>38</v>
      </c>
      <c r="D156" s="351"/>
      <c r="E156" s="351"/>
      <c r="F156" s="351"/>
      <c r="G156" s="352"/>
    </row>
    <row r="157" spans="1:28">
      <c r="A157" s="95">
        <f t="shared" si="45"/>
        <v>39</v>
      </c>
      <c r="B157" s="28" t="s">
        <v>160</v>
      </c>
      <c r="C157" s="26"/>
      <c r="D157" s="134">
        <f>$G$7</f>
        <v>40908</v>
      </c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>
      <c r="A158" s="95">
        <f t="shared" si="45"/>
        <v>40</v>
      </c>
      <c r="D158" s="351"/>
      <c r="E158" s="351"/>
      <c r="F158" s="351"/>
      <c r="G158" s="352"/>
    </row>
    <row r="159" spans="1:28">
      <c r="A159" s="95">
        <f t="shared" si="45"/>
        <v>41</v>
      </c>
      <c r="B159" s="2" t="s">
        <v>78</v>
      </c>
      <c r="C159" s="2"/>
      <c r="D159" s="150"/>
      <c r="E159" s="56"/>
      <c r="F159" s="53">
        <f>D159</f>
        <v>0</v>
      </c>
      <c r="G159" s="50"/>
      <c r="H159" s="70">
        <f>F159</f>
        <v>0</v>
      </c>
      <c r="I159" s="70">
        <f t="shared" ref="I159:AB159" si="72">H162</f>
        <v>0</v>
      </c>
      <c r="J159" s="70">
        <f t="shared" si="72"/>
        <v>0</v>
      </c>
      <c r="K159" s="70">
        <f t="shared" si="72"/>
        <v>0</v>
      </c>
      <c r="L159" s="70">
        <f t="shared" si="72"/>
        <v>0</v>
      </c>
      <c r="M159" s="70">
        <f t="shared" si="72"/>
        <v>0</v>
      </c>
      <c r="N159" s="70">
        <f t="shared" si="72"/>
        <v>0</v>
      </c>
      <c r="O159" s="70">
        <f t="shared" si="72"/>
        <v>0</v>
      </c>
      <c r="P159" s="70">
        <f t="shared" si="72"/>
        <v>0</v>
      </c>
      <c r="Q159" s="70">
        <f t="shared" si="72"/>
        <v>0</v>
      </c>
      <c r="R159" s="70">
        <f t="shared" si="72"/>
        <v>0</v>
      </c>
      <c r="S159" s="70">
        <f t="shared" si="72"/>
        <v>0</v>
      </c>
      <c r="T159" s="70">
        <f t="shared" si="72"/>
        <v>0</v>
      </c>
      <c r="U159" s="70">
        <f t="shared" si="72"/>
        <v>0</v>
      </c>
      <c r="V159" s="70">
        <f t="shared" si="72"/>
        <v>0</v>
      </c>
      <c r="W159" s="70">
        <f t="shared" si="72"/>
        <v>0</v>
      </c>
      <c r="X159" s="70">
        <f t="shared" si="72"/>
        <v>0</v>
      </c>
      <c r="Y159" s="70">
        <f t="shared" si="72"/>
        <v>0</v>
      </c>
      <c r="Z159" s="70">
        <f t="shared" si="72"/>
        <v>0</v>
      </c>
      <c r="AA159" s="70">
        <f t="shared" si="72"/>
        <v>0</v>
      </c>
      <c r="AB159" s="70">
        <f t="shared" si="72"/>
        <v>0</v>
      </c>
    </row>
    <row r="160" spans="1:28" s="39" customFormat="1">
      <c r="A160" s="95">
        <f t="shared" si="45"/>
        <v>42</v>
      </c>
      <c r="B160" s="345" t="s">
        <v>79</v>
      </c>
      <c r="C160"/>
      <c r="D160"/>
      <c r="E160" s="351"/>
      <c r="F160" s="357"/>
      <c r="G160" s="352"/>
      <c r="H160" s="361"/>
      <c r="I160" s="361"/>
      <c r="J160" s="361"/>
      <c r="K160" s="361"/>
      <c r="L160" s="361"/>
      <c r="M160" s="361"/>
      <c r="N160" s="361"/>
      <c r="O160" s="361"/>
      <c r="P160" s="361"/>
      <c r="Q160" s="361"/>
      <c r="R160" s="361"/>
      <c r="S160" s="361"/>
      <c r="T160" s="361"/>
      <c r="U160" s="361"/>
      <c r="V160" s="361"/>
      <c r="W160" s="361"/>
      <c r="X160" s="361"/>
      <c r="Y160" s="361"/>
      <c r="Z160" s="361"/>
      <c r="AA160" s="361"/>
      <c r="AB160" s="361"/>
    </row>
    <row r="161" spans="1:28">
      <c r="A161" s="95">
        <f t="shared" si="45"/>
        <v>43</v>
      </c>
      <c r="B161" s="345" t="s">
        <v>77</v>
      </c>
      <c r="E161" s="351"/>
      <c r="F161" s="357"/>
      <c r="G161" s="352"/>
      <c r="H161" s="356">
        <f t="shared" ref="H161:AB161" si="73">H160*$F159</f>
        <v>0</v>
      </c>
      <c r="I161" s="356">
        <f t="shared" si="73"/>
        <v>0</v>
      </c>
      <c r="J161" s="356">
        <f t="shared" si="73"/>
        <v>0</v>
      </c>
      <c r="K161" s="356">
        <f t="shared" si="73"/>
        <v>0</v>
      </c>
      <c r="L161" s="356">
        <f t="shared" si="73"/>
        <v>0</v>
      </c>
      <c r="M161" s="356">
        <f t="shared" si="73"/>
        <v>0</v>
      </c>
      <c r="N161" s="356">
        <f t="shared" si="73"/>
        <v>0</v>
      </c>
      <c r="O161" s="356">
        <f t="shared" si="73"/>
        <v>0</v>
      </c>
      <c r="P161" s="356">
        <f t="shared" si="73"/>
        <v>0</v>
      </c>
      <c r="Q161" s="356">
        <f t="shared" si="73"/>
        <v>0</v>
      </c>
      <c r="R161" s="356">
        <f t="shared" si="73"/>
        <v>0</v>
      </c>
      <c r="S161" s="356">
        <f t="shared" si="73"/>
        <v>0</v>
      </c>
      <c r="T161" s="356">
        <f t="shared" si="73"/>
        <v>0</v>
      </c>
      <c r="U161" s="356">
        <f t="shared" si="73"/>
        <v>0</v>
      </c>
      <c r="V161" s="356">
        <f t="shared" si="73"/>
        <v>0</v>
      </c>
      <c r="W161" s="356">
        <f t="shared" si="73"/>
        <v>0</v>
      </c>
      <c r="X161" s="356">
        <f t="shared" si="73"/>
        <v>0</v>
      </c>
      <c r="Y161" s="356">
        <f t="shared" si="73"/>
        <v>0</v>
      </c>
      <c r="Z161" s="356">
        <f t="shared" si="73"/>
        <v>0</v>
      </c>
      <c r="AA161" s="356">
        <f t="shared" si="73"/>
        <v>0</v>
      </c>
      <c r="AB161" s="356">
        <f t="shared" si="73"/>
        <v>0</v>
      </c>
    </row>
    <row r="162" spans="1:28">
      <c r="A162" s="95">
        <f t="shared" si="45"/>
        <v>44</v>
      </c>
      <c r="B162" s="2" t="s">
        <v>80</v>
      </c>
      <c r="C162" s="2"/>
      <c r="D162" s="2"/>
      <c r="E162" s="56"/>
      <c r="F162" s="57"/>
      <c r="G162" s="58"/>
      <c r="H162" s="69">
        <f t="shared" ref="H162:AB162" si="74">H159-H161</f>
        <v>0</v>
      </c>
      <c r="I162" s="69">
        <f t="shared" si="74"/>
        <v>0</v>
      </c>
      <c r="J162" s="69">
        <f t="shared" si="74"/>
        <v>0</v>
      </c>
      <c r="K162" s="69">
        <f t="shared" si="74"/>
        <v>0</v>
      </c>
      <c r="L162" s="69">
        <f t="shared" si="74"/>
        <v>0</v>
      </c>
      <c r="M162" s="69">
        <f t="shared" si="74"/>
        <v>0</v>
      </c>
      <c r="N162" s="69">
        <f t="shared" si="74"/>
        <v>0</v>
      </c>
      <c r="O162" s="69">
        <f t="shared" si="74"/>
        <v>0</v>
      </c>
      <c r="P162" s="69">
        <f t="shared" si="74"/>
        <v>0</v>
      </c>
      <c r="Q162" s="69">
        <f t="shared" si="74"/>
        <v>0</v>
      </c>
      <c r="R162" s="69">
        <f t="shared" si="74"/>
        <v>0</v>
      </c>
      <c r="S162" s="69">
        <f t="shared" si="74"/>
        <v>0</v>
      </c>
      <c r="T162" s="69">
        <f t="shared" si="74"/>
        <v>0</v>
      </c>
      <c r="U162" s="69">
        <f t="shared" si="74"/>
        <v>0</v>
      </c>
      <c r="V162" s="69">
        <f t="shared" si="74"/>
        <v>0</v>
      </c>
      <c r="W162" s="69">
        <f t="shared" si="74"/>
        <v>0</v>
      </c>
      <c r="X162" s="69">
        <f t="shared" si="74"/>
        <v>0</v>
      </c>
      <c r="Y162" s="69">
        <f t="shared" si="74"/>
        <v>0</v>
      </c>
      <c r="Z162" s="69">
        <f t="shared" si="74"/>
        <v>0</v>
      </c>
      <c r="AA162" s="69">
        <f t="shared" si="74"/>
        <v>0</v>
      </c>
      <c r="AB162" s="69">
        <f t="shared" si="74"/>
        <v>0</v>
      </c>
    </row>
    <row r="163" spans="1:28">
      <c r="A163" s="95">
        <f t="shared" si="45"/>
        <v>45</v>
      </c>
      <c r="B163" s="345"/>
      <c r="E163" s="351"/>
      <c r="F163" s="357"/>
      <c r="G163" s="352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  <c r="AA163" s="358"/>
      <c r="AB163" s="358"/>
    </row>
    <row r="164" spans="1:28">
      <c r="A164" s="95">
        <f t="shared" si="45"/>
        <v>46</v>
      </c>
      <c r="B164" s="345" t="s">
        <v>73</v>
      </c>
      <c r="E164" s="351"/>
      <c r="F164" s="74" t="s">
        <v>368</v>
      </c>
      <c r="G164" s="352"/>
    </row>
    <row r="165" spans="1:28">
      <c r="A165" s="95">
        <f t="shared" si="45"/>
        <v>47</v>
      </c>
      <c r="B165" s="345" t="s">
        <v>2</v>
      </c>
      <c r="E165" s="351"/>
      <c r="F165" s="351"/>
      <c r="G165" s="352"/>
      <c r="H165" s="79">
        <f>AVERAGE(Anual!Q54:R54)/100</f>
        <v>9.6263694164916522E-2</v>
      </c>
      <c r="I165" s="79">
        <f>AVERAGE(Anual!R54:S54)/100</f>
        <v>0.10753408119425531</v>
      </c>
      <c r="J165" s="79">
        <f>AVERAGE(Anual!S54:T54)/100</f>
        <v>8.9918738065839138E-2</v>
      </c>
      <c r="K165" s="79">
        <f>AVERAGE(Anual!T54:U54)/100</f>
        <v>7.1190853709230575E-2</v>
      </c>
      <c r="L165" s="79">
        <f>AVERAGE(Anual!U54:V54)/100</f>
        <v>7.747762858304813E-2</v>
      </c>
      <c r="M165" s="79">
        <f>AVERAGE(Anual!V54:W54)/100</f>
        <v>8.9988520260596519E-2</v>
      </c>
      <c r="N165" s="79">
        <f>AVERAGE(Anual!W54:X54)/100</f>
        <v>9.6667088515195121E-2</v>
      </c>
      <c r="O165" s="79">
        <f>AVERAGE(Anual!X54:Y54)/100</f>
        <v>9.7100000000000006E-2</v>
      </c>
      <c r="P165" s="79">
        <f>AVERAGE(Anual!Y54:Z54)/100</f>
        <v>9.5850000000000005E-2</v>
      </c>
      <c r="Q165" s="79">
        <f>AVERAGE(Anual!Z54:AA54)/100</f>
        <v>9.4600000000000004E-2</v>
      </c>
      <c r="R165" s="79">
        <f>AVERAGE(Anual!AA54:AB54)/100</f>
        <v>9.4600000000000004E-2</v>
      </c>
      <c r="S165" s="79">
        <f>AVERAGE(Anual!AB54:AC54)/100</f>
        <v>9.4600000000000004E-2</v>
      </c>
      <c r="T165" s="79">
        <f>AVERAGE(Anual!AC54:AD54)/100</f>
        <v>9.3350000000000002E-2</v>
      </c>
      <c r="U165" s="79">
        <f>AVERAGE(Anual!AD54:AE54)/100</f>
        <v>9.2100000000000015E-2</v>
      </c>
      <c r="V165" s="79">
        <f>AVERAGE(Anual!AE54:AF54)/100</f>
        <v>9.2100000000000015E-2</v>
      </c>
      <c r="W165" s="79">
        <f>AVERAGE(Anual!AF54:AG54)/100</f>
        <v>9.2100000000000015E-2</v>
      </c>
      <c r="X165" s="79">
        <f>AVERAGE(Anual!AG54:AH54)/100</f>
        <v>9.2100000000000015E-2</v>
      </c>
      <c r="Y165" s="79">
        <f>AVERAGE(Anual!AH54:AI54)/100</f>
        <v>9.0850000000000014E-2</v>
      </c>
      <c r="Z165" s="79">
        <f>AVERAGE(Anual!AI54:AJ54)/100</f>
        <v>8.9600000000000013E-2</v>
      </c>
      <c r="AA165" s="79">
        <f>AVERAGE(Anual!AJ54:AK54)/100</f>
        <v>8.9600000000000013E-2</v>
      </c>
      <c r="AB165" s="79">
        <f>AVERAGE(Anual!AK54:AL54)/100</f>
        <v>8.9600000000000013E-2</v>
      </c>
    </row>
    <row r="166" spans="1:28">
      <c r="A166" s="95">
        <f t="shared" si="45"/>
        <v>48</v>
      </c>
      <c r="B166" s="345" t="s">
        <v>75</v>
      </c>
      <c r="E166" s="351"/>
      <c r="F166" s="351"/>
      <c r="G166" s="352"/>
      <c r="H166" s="349">
        <v>9.6015680732510766E-2</v>
      </c>
      <c r="I166" s="349">
        <v>0.12356687221910145</v>
      </c>
      <c r="J166" s="349">
        <v>0.12290961768073827</v>
      </c>
      <c r="K166" s="349">
        <v>9.029668460419904E-2</v>
      </c>
      <c r="L166" s="349">
        <v>7.178964713973035E-2</v>
      </c>
      <c r="M166" s="349">
        <v>8.5106119086168608E-2</v>
      </c>
      <c r="N166" s="349">
        <v>8.931969810964846E-2</v>
      </c>
      <c r="O166" s="349">
        <v>9.5997229437133846E-2</v>
      </c>
      <c r="P166" s="349">
        <v>8.5146952512157092E-2</v>
      </c>
      <c r="Q166" s="349">
        <v>8.384682158841783E-2</v>
      </c>
      <c r="R166" s="349">
        <v>9.4207452154611904E-2</v>
      </c>
      <c r="S166" s="349">
        <v>9.4207452154611904E-2</v>
      </c>
      <c r="T166" s="349">
        <v>7.8127888919998556E-2</v>
      </c>
      <c r="U166" s="349">
        <v>7.4905189815073436E-2</v>
      </c>
      <c r="V166" s="349">
        <v>9.2863891509025853E-2</v>
      </c>
      <c r="W166" s="349">
        <v>9.248187898793403E-2</v>
      </c>
      <c r="X166" s="349">
        <v>9.1336642436913973E-2</v>
      </c>
      <c r="Y166" s="349">
        <v>6.9511659345038668E-2</v>
      </c>
      <c r="Z166" s="349">
        <v>6.6321477977900223E-2</v>
      </c>
      <c r="AA166" s="349">
        <v>8.8858194760175868E-2</v>
      </c>
      <c r="AB166" s="349">
        <v>8.9971092111717832E-2</v>
      </c>
    </row>
    <row r="167" spans="1:28">
      <c r="A167" s="95">
        <f t="shared" si="45"/>
        <v>49</v>
      </c>
      <c r="B167" s="345" t="s">
        <v>76</v>
      </c>
      <c r="E167" s="351"/>
      <c r="F167" s="350">
        <v>2.5000000000000001E-2</v>
      </c>
      <c r="G167" s="352"/>
      <c r="H167" s="353">
        <f>((1+H165)*(1+$F167))-1</f>
        <v>0.12367028651903933</v>
      </c>
      <c r="I167" s="353">
        <f t="shared" ref="I167:AB167" si="75">((1+I165)*(1+$F167))-1</f>
        <v>0.13522243322411165</v>
      </c>
      <c r="J167" s="353">
        <f t="shared" si="75"/>
        <v>0.11716670651748484</v>
      </c>
      <c r="K167" s="353">
        <f t="shared" si="75"/>
        <v>9.7970625051961191E-2</v>
      </c>
      <c r="L167" s="353">
        <f t="shared" si="75"/>
        <v>0.10441456929762416</v>
      </c>
      <c r="M167" s="353">
        <f t="shared" si="75"/>
        <v>0.11723823326711136</v>
      </c>
      <c r="N167" s="353">
        <f t="shared" si="75"/>
        <v>0.12408376572807511</v>
      </c>
      <c r="O167" s="353">
        <f t="shared" si="75"/>
        <v>0.1245274999999999</v>
      </c>
      <c r="P167" s="353">
        <f t="shared" si="75"/>
        <v>0.12324625</v>
      </c>
      <c r="Q167" s="353">
        <f t="shared" si="75"/>
        <v>0.12196499999999988</v>
      </c>
      <c r="R167" s="353">
        <f t="shared" si="75"/>
        <v>0.12196499999999988</v>
      </c>
      <c r="S167" s="353">
        <f t="shared" si="75"/>
        <v>0.12196499999999988</v>
      </c>
      <c r="T167" s="353">
        <f t="shared" si="75"/>
        <v>0.12068374999999998</v>
      </c>
      <c r="U167" s="353">
        <f t="shared" si="75"/>
        <v>0.11940250000000008</v>
      </c>
      <c r="V167" s="353">
        <f t="shared" si="75"/>
        <v>0.11940250000000008</v>
      </c>
      <c r="W167" s="353">
        <f t="shared" si="75"/>
        <v>0.11940250000000008</v>
      </c>
      <c r="X167" s="353">
        <f t="shared" si="75"/>
        <v>0.11940250000000008</v>
      </c>
      <c r="Y167" s="353">
        <f t="shared" si="75"/>
        <v>0.11812124999999996</v>
      </c>
      <c r="Z167" s="353">
        <f t="shared" si="75"/>
        <v>0.11683999999999983</v>
      </c>
      <c r="AA167" s="353">
        <f t="shared" si="75"/>
        <v>0.11683999999999983</v>
      </c>
      <c r="AB167" s="353">
        <f t="shared" si="75"/>
        <v>0.11683999999999983</v>
      </c>
    </row>
    <row r="168" spans="1:28">
      <c r="A168" s="95">
        <f t="shared" si="45"/>
        <v>50</v>
      </c>
      <c r="F168" s="39"/>
    </row>
    <row r="169" spans="1:28">
      <c r="A169" s="95">
        <f t="shared" si="45"/>
        <v>51</v>
      </c>
      <c r="B169" s="345" t="s">
        <v>74</v>
      </c>
      <c r="C169" s="345"/>
      <c r="D169" s="345"/>
      <c r="E169" s="357"/>
      <c r="F169" s="350">
        <v>0</v>
      </c>
      <c r="G169" s="352"/>
      <c r="H169" s="360">
        <f>F159*F169</f>
        <v>0</v>
      </c>
      <c r="I169" s="360">
        <v>0</v>
      </c>
      <c r="J169" s="360">
        <v>0</v>
      </c>
      <c r="K169" s="360">
        <v>0</v>
      </c>
      <c r="L169" s="360">
        <v>0</v>
      </c>
      <c r="M169" s="360">
        <v>0</v>
      </c>
      <c r="N169" s="360">
        <v>0</v>
      </c>
      <c r="O169" s="360">
        <v>0</v>
      </c>
      <c r="P169" s="360">
        <v>0</v>
      </c>
      <c r="Q169" s="360">
        <v>0</v>
      </c>
      <c r="R169" s="360">
        <v>0</v>
      </c>
      <c r="S169" s="360">
        <v>0</v>
      </c>
      <c r="T169" s="360">
        <v>0</v>
      </c>
      <c r="U169" s="360">
        <v>0</v>
      </c>
      <c r="V169" s="360">
        <v>0</v>
      </c>
      <c r="W169" s="360">
        <v>0</v>
      </c>
      <c r="X169" s="360">
        <v>0</v>
      </c>
      <c r="Y169" s="360">
        <v>0</v>
      </c>
      <c r="Z169" s="360">
        <v>0</v>
      </c>
      <c r="AA169" s="360">
        <v>0</v>
      </c>
      <c r="AB169" s="360">
        <v>0</v>
      </c>
    </row>
    <row r="170" spans="1:28">
      <c r="A170" s="95">
        <f t="shared" si="45"/>
        <v>52</v>
      </c>
      <c r="B170" s="2" t="s">
        <v>231</v>
      </c>
      <c r="C170" s="2"/>
      <c r="D170" s="56"/>
      <c r="E170" s="56"/>
      <c r="F170" s="56"/>
      <c r="G170" s="58"/>
      <c r="H170" s="68">
        <f>H169+AVERAGE(H159,H162)*H167</f>
        <v>0</v>
      </c>
      <c r="I170" s="68">
        <f t="shared" ref="I170" si="76">I169+AVERAGE(I159,I162)*I167</f>
        <v>0</v>
      </c>
      <c r="J170" s="68">
        <f t="shared" ref="J170" si="77">J169+AVERAGE(J159,J162)*J167</f>
        <v>0</v>
      </c>
      <c r="K170" s="68">
        <f t="shared" ref="K170" si="78">K169+AVERAGE(K159,K162)*K167</f>
        <v>0</v>
      </c>
      <c r="L170" s="68">
        <f t="shared" ref="L170" si="79">L169+AVERAGE(L159,L162)*L167</f>
        <v>0</v>
      </c>
      <c r="M170" s="68">
        <f t="shared" ref="M170" si="80">M169+AVERAGE(M159,M162)*M167</f>
        <v>0</v>
      </c>
      <c r="N170" s="68">
        <f t="shared" ref="N170" si="81">N169+AVERAGE(N159,N162)*N167</f>
        <v>0</v>
      </c>
      <c r="O170" s="68">
        <f t="shared" ref="O170" si="82">O169+AVERAGE(O159,O162)*O167</f>
        <v>0</v>
      </c>
      <c r="P170" s="68">
        <f t="shared" ref="P170" si="83">P169+AVERAGE(P159,P162)*P167</f>
        <v>0</v>
      </c>
      <c r="Q170" s="68">
        <f t="shared" ref="Q170" si="84">Q169+AVERAGE(Q159,Q162)*Q167</f>
        <v>0</v>
      </c>
      <c r="R170" s="68">
        <f t="shared" ref="R170" si="85">R169+AVERAGE(R159,R162)*R167</f>
        <v>0</v>
      </c>
      <c r="S170" s="68">
        <f t="shared" ref="S170" si="86">S169+AVERAGE(S159,S162)*S167</f>
        <v>0</v>
      </c>
      <c r="T170" s="68">
        <f t="shared" ref="T170" si="87">T169+AVERAGE(T159,T162)*T167</f>
        <v>0</v>
      </c>
      <c r="U170" s="68">
        <f t="shared" ref="U170" si="88">U169+AVERAGE(U159,U162)*U167</f>
        <v>0</v>
      </c>
      <c r="V170" s="68">
        <f t="shared" ref="V170" si="89">V169+AVERAGE(V159,V162)*V167</f>
        <v>0</v>
      </c>
      <c r="W170" s="68">
        <f t="shared" ref="W170" si="90">W169+AVERAGE(W159,W162)*W167</f>
        <v>0</v>
      </c>
      <c r="X170" s="68">
        <f t="shared" ref="X170" si="91">X169+AVERAGE(X159,X162)*X167</f>
        <v>0</v>
      </c>
      <c r="Y170" s="68">
        <f t="shared" ref="Y170" si="92">Y169+AVERAGE(Y159,Y162)*Y167</f>
        <v>0</v>
      </c>
      <c r="Z170" s="68">
        <f t="shared" ref="Z170" si="93">Z169+AVERAGE(Z159,Z162)*Z167</f>
        <v>0</v>
      </c>
      <c r="AA170" s="68">
        <f t="shared" ref="AA170" si="94">AA169+AVERAGE(AA159,AA162)*AA167</f>
        <v>0</v>
      </c>
      <c r="AB170" s="68">
        <f t="shared" ref="AB170" si="95">AB169+AVERAGE(AB159,AB162)*AB167</f>
        <v>0</v>
      </c>
    </row>
    <row r="171" spans="1:28">
      <c r="A171" s="95">
        <f t="shared" si="45"/>
        <v>53</v>
      </c>
      <c r="D171" s="351"/>
      <c r="E171" s="351"/>
      <c r="F171" s="351"/>
      <c r="G171" s="352"/>
      <c r="H171" s="351"/>
      <c r="I171" s="351"/>
      <c r="J171" s="351"/>
      <c r="K171" s="351"/>
      <c r="L171" s="351"/>
      <c r="M171" s="351"/>
    </row>
    <row r="172" spans="1:28">
      <c r="A172" s="95">
        <f t="shared" si="45"/>
        <v>54</v>
      </c>
      <c r="D172" s="351"/>
      <c r="E172" s="351"/>
      <c r="F172" s="351"/>
      <c r="G172" s="352"/>
    </row>
    <row r="173" spans="1:28">
      <c r="A173" s="95">
        <f t="shared" si="45"/>
        <v>55</v>
      </c>
      <c r="B173" s="28" t="s">
        <v>161</v>
      </c>
      <c r="C173" s="26"/>
      <c r="D173" s="134">
        <f>$G$7</f>
        <v>40908</v>
      </c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>
      <c r="A174" s="95">
        <f t="shared" si="45"/>
        <v>56</v>
      </c>
      <c r="D174" s="351"/>
      <c r="E174" s="351"/>
      <c r="F174" s="351"/>
      <c r="G174" s="352"/>
    </row>
    <row r="175" spans="1:28">
      <c r="A175" s="95">
        <f t="shared" si="45"/>
        <v>57</v>
      </c>
      <c r="B175" s="2" t="s">
        <v>78</v>
      </c>
      <c r="C175" s="2"/>
      <c r="D175" s="150">
        <v>0</v>
      </c>
      <c r="E175" s="56"/>
      <c r="F175" s="53">
        <v>0</v>
      </c>
      <c r="G175" s="50"/>
      <c r="H175" s="70">
        <f>F175</f>
        <v>0</v>
      </c>
      <c r="I175" s="70">
        <f t="shared" ref="I175:AB175" si="96">H178</f>
        <v>0</v>
      </c>
      <c r="J175" s="70">
        <f t="shared" si="96"/>
        <v>0</v>
      </c>
      <c r="K175" s="70">
        <f t="shared" si="96"/>
        <v>0</v>
      </c>
      <c r="L175" s="70">
        <f t="shared" si="96"/>
        <v>0</v>
      </c>
      <c r="M175" s="70">
        <f t="shared" si="96"/>
        <v>0</v>
      </c>
      <c r="N175" s="70">
        <f t="shared" si="96"/>
        <v>0</v>
      </c>
      <c r="O175" s="70">
        <f t="shared" si="96"/>
        <v>0</v>
      </c>
      <c r="P175" s="70">
        <f t="shared" si="96"/>
        <v>0</v>
      </c>
      <c r="Q175" s="70">
        <f t="shared" si="96"/>
        <v>0</v>
      </c>
      <c r="R175" s="70">
        <f t="shared" si="96"/>
        <v>0</v>
      </c>
      <c r="S175" s="70">
        <f t="shared" si="96"/>
        <v>0</v>
      </c>
      <c r="T175" s="70">
        <f t="shared" si="96"/>
        <v>0</v>
      </c>
      <c r="U175" s="70">
        <f t="shared" si="96"/>
        <v>0</v>
      </c>
      <c r="V175" s="70">
        <f t="shared" si="96"/>
        <v>0</v>
      </c>
      <c r="W175" s="70">
        <f t="shared" si="96"/>
        <v>0</v>
      </c>
      <c r="X175" s="70">
        <f t="shared" si="96"/>
        <v>0</v>
      </c>
      <c r="Y175" s="70">
        <f t="shared" si="96"/>
        <v>0</v>
      </c>
      <c r="Z175" s="70">
        <f t="shared" si="96"/>
        <v>0</v>
      </c>
      <c r="AA175" s="70">
        <f t="shared" si="96"/>
        <v>0</v>
      </c>
      <c r="AB175" s="70">
        <f t="shared" si="96"/>
        <v>0</v>
      </c>
    </row>
    <row r="176" spans="1:28" s="39" customFormat="1">
      <c r="A176" s="95">
        <f t="shared" si="45"/>
        <v>58</v>
      </c>
      <c r="B176" s="345" t="s">
        <v>79</v>
      </c>
      <c r="C176"/>
      <c r="D176"/>
      <c r="E176" s="351"/>
      <c r="F176" s="357"/>
      <c r="G176" s="352"/>
      <c r="H176" s="361"/>
      <c r="I176" s="361"/>
      <c r="J176" s="361"/>
      <c r="K176" s="361"/>
      <c r="L176" s="361"/>
      <c r="M176" s="361"/>
      <c r="N176" s="361"/>
      <c r="O176" s="361"/>
      <c r="P176" s="361"/>
      <c r="Q176" s="361"/>
      <c r="R176" s="361"/>
      <c r="S176" s="361"/>
      <c r="T176" s="361"/>
      <c r="U176" s="361"/>
      <c r="V176" s="361"/>
      <c r="W176" s="361"/>
      <c r="X176" s="361"/>
      <c r="Y176" s="361"/>
      <c r="Z176" s="361"/>
      <c r="AA176" s="361"/>
      <c r="AB176" s="361"/>
    </row>
    <row r="177" spans="1:28">
      <c r="A177" s="95">
        <f t="shared" si="45"/>
        <v>59</v>
      </c>
      <c r="B177" s="345" t="s">
        <v>77</v>
      </c>
      <c r="E177" s="351"/>
      <c r="F177" s="357"/>
      <c r="G177" s="352"/>
      <c r="H177" s="356">
        <f t="shared" ref="H177:AB177" si="97">H176*$F175</f>
        <v>0</v>
      </c>
      <c r="I177" s="356">
        <f t="shared" si="97"/>
        <v>0</v>
      </c>
      <c r="J177" s="356">
        <f t="shared" si="97"/>
        <v>0</v>
      </c>
      <c r="K177" s="356">
        <f t="shared" si="97"/>
        <v>0</v>
      </c>
      <c r="L177" s="356">
        <f t="shared" si="97"/>
        <v>0</v>
      </c>
      <c r="M177" s="356">
        <f t="shared" si="97"/>
        <v>0</v>
      </c>
      <c r="N177" s="356">
        <f t="shared" si="97"/>
        <v>0</v>
      </c>
      <c r="O177" s="356">
        <f t="shared" si="97"/>
        <v>0</v>
      </c>
      <c r="P177" s="356">
        <f t="shared" si="97"/>
        <v>0</v>
      </c>
      <c r="Q177" s="356">
        <f t="shared" si="97"/>
        <v>0</v>
      </c>
      <c r="R177" s="356">
        <f t="shared" si="97"/>
        <v>0</v>
      </c>
      <c r="S177" s="356">
        <f t="shared" si="97"/>
        <v>0</v>
      </c>
      <c r="T177" s="356">
        <f t="shared" si="97"/>
        <v>0</v>
      </c>
      <c r="U177" s="356">
        <f t="shared" si="97"/>
        <v>0</v>
      </c>
      <c r="V177" s="356">
        <f t="shared" si="97"/>
        <v>0</v>
      </c>
      <c r="W177" s="356">
        <f t="shared" si="97"/>
        <v>0</v>
      </c>
      <c r="X177" s="356">
        <f t="shared" si="97"/>
        <v>0</v>
      </c>
      <c r="Y177" s="356">
        <f t="shared" si="97"/>
        <v>0</v>
      </c>
      <c r="Z177" s="356">
        <f t="shared" si="97"/>
        <v>0</v>
      </c>
      <c r="AA177" s="356">
        <f t="shared" si="97"/>
        <v>0</v>
      </c>
      <c r="AB177" s="356">
        <f t="shared" si="97"/>
        <v>0</v>
      </c>
    </row>
    <row r="178" spans="1:28">
      <c r="A178" s="95">
        <f t="shared" si="45"/>
        <v>60</v>
      </c>
      <c r="B178" s="2" t="s">
        <v>80</v>
      </c>
      <c r="C178" s="2"/>
      <c r="D178" s="2"/>
      <c r="E178" s="56"/>
      <c r="F178" s="57"/>
      <c r="G178" s="58"/>
      <c r="H178" s="69">
        <f t="shared" ref="H178:AB178" si="98">H175-H177</f>
        <v>0</v>
      </c>
      <c r="I178" s="69">
        <f t="shared" si="98"/>
        <v>0</v>
      </c>
      <c r="J178" s="69">
        <f t="shared" si="98"/>
        <v>0</v>
      </c>
      <c r="K178" s="69">
        <f t="shared" si="98"/>
        <v>0</v>
      </c>
      <c r="L178" s="69">
        <f t="shared" si="98"/>
        <v>0</v>
      </c>
      <c r="M178" s="69">
        <f t="shared" si="98"/>
        <v>0</v>
      </c>
      <c r="N178" s="69">
        <f t="shared" si="98"/>
        <v>0</v>
      </c>
      <c r="O178" s="69">
        <f t="shared" si="98"/>
        <v>0</v>
      </c>
      <c r="P178" s="69">
        <f t="shared" si="98"/>
        <v>0</v>
      </c>
      <c r="Q178" s="69">
        <f t="shared" si="98"/>
        <v>0</v>
      </c>
      <c r="R178" s="69">
        <f t="shared" si="98"/>
        <v>0</v>
      </c>
      <c r="S178" s="69">
        <f t="shared" si="98"/>
        <v>0</v>
      </c>
      <c r="T178" s="69">
        <f t="shared" si="98"/>
        <v>0</v>
      </c>
      <c r="U178" s="69">
        <f t="shared" si="98"/>
        <v>0</v>
      </c>
      <c r="V178" s="69">
        <f t="shared" si="98"/>
        <v>0</v>
      </c>
      <c r="W178" s="69">
        <f t="shared" si="98"/>
        <v>0</v>
      </c>
      <c r="X178" s="69">
        <f t="shared" si="98"/>
        <v>0</v>
      </c>
      <c r="Y178" s="69">
        <f t="shared" si="98"/>
        <v>0</v>
      </c>
      <c r="Z178" s="69">
        <f t="shared" si="98"/>
        <v>0</v>
      </c>
      <c r="AA178" s="69">
        <f t="shared" si="98"/>
        <v>0</v>
      </c>
      <c r="AB178" s="69">
        <f t="shared" si="98"/>
        <v>0</v>
      </c>
    </row>
    <row r="179" spans="1:28">
      <c r="A179" s="95">
        <f t="shared" si="45"/>
        <v>61</v>
      </c>
      <c r="B179" s="345"/>
      <c r="E179" s="351"/>
      <c r="F179" s="357"/>
      <c r="G179" s="352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  <c r="AA179" s="358"/>
      <c r="AB179" s="358"/>
    </row>
    <row r="180" spans="1:28">
      <c r="A180" s="95">
        <f t="shared" si="45"/>
        <v>62</v>
      </c>
      <c r="B180" s="345" t="s">
        <v>73</v>
      </c>
      <c r="E180" s="351"/>
      <c r="F180" s="74" t="s">
        <v>368</v>
      </c>
      <c r="G180" s="352"/>
    </row>
    <row r="181" spans="1:28">
      <c r="A181" s="95">
        <f t="shared" si="45"/>
        <v>63</v>
      </c>
      <c r="B181" s="345" t="s">
        <v>2</v>
      </c>
      <c r="E181" s="351"/>
      <c r="F181" s="351"/>
      <c r="G181" s="352"/>
      <c r="H181" s="79">
        <f>AVERAGE(Anual!Q54:R54)/100</f>
        <v>9.6263694164916522E-2</v>
      </c>
      <c r="I181" s="79">
        <f>AVERAGE(Anual!R54:S54)/100</f>
        <v>0.10753408119425531</v>
      </c>
      <c r="J181" s="79">
        <f>AVERAGE(Anual!S54:T54)/100</f>
        <v>8.9918738065839138E-2</v>
      </c>
      <c r="K181" s="79">
        <f>AVERAGE(Anual!T54:U54)/100</f>
        <v>7.1190853709230575E-2</v>
      </c>
      <c r="L181" s="79">
        <f>AVERAGE(Anual!U54:V54)/100</f>
        <v>7.747762858304813E-2</v>
      </c>
      <c r="M181" s="79">
        <f>AVERAGE(Anual!V54:W54)/100</f>
        <v>8.9988520260596519E-2</v>
      </c>
      <c r="N181" s="79">
        <f>AVERAGE(Anual!W54:X54)/100</f>
        <v>9.6667088515195121E-2</v>
      </c>
      <c r="O181" s="79">
        <f>AVERAGE(Anual!X54:Y54)/100</f>
        <v>9.7100000000000006E-2</v>
      </c>
      <c r="P181" s="79">
        <f>AVERAGE(Anual!Y54:Z54)/100</f>
        <v>9.5850000000000005E-2</v>
      </c>
      <c r="Q181" s="79">
        <f>AVERAGE(Anual!Z54:AA54)/100</f>
        <v>9.4600000000000004E-2</v>
      </c>
      <c r="R181" s="79">
        <f>AVERAGE(Anual!AA54:AB54)/100</f>
        <v>9.4600000000000004E-2</v>
      </c>
      <c r="S181" s="79">
        <f>AVERAGE(Anual!AB54:AC54)/100</f>
        <v>9.4600000000000004E-2</v>
      </c>
      <c r="T181" s="79">
        <f>AVERAGE(Anual!AC54:AD54)/100</f>
        <v>9.3350000000000002E-2</v>
      </c>
      <c r="U181" s="79">
        <f>AVERAGE(Anual!AD54:AE54)/100</f>
        <v>9.2100000000000015E-2</v>
      </c>
      <c r="V181" s="79">
        <f>AVERAGE(Anual!AE54:AF54)/100</f>
        <v>9.2100000000000015E-2</v>
      </c>
      <c r="W181" s="79">
        <f>AVERAGE(Anual!AF54:AG54)/100</f>
        <v>9.2100000000000015E-2</v>
      </c>
      <c r="X181" s="79">
        <f>AVERAGE(Anual!AG54:AH54)/100</f>
        <v>9.2100000000000015E-2</v>
      </c>
      <c r="Y181" s="79">
        <f>AVERAGE(Anual!AH54:AI54)/100</f>
        <v>9.0850000000000014E-2</v>
      </c>
      <c r="Z181" s="79">
        <f>AVERAGE(Anual!AI54:AJ54)/100</f>
        <v>8.9600000000000013E-2</v>
      </c>
      <c r="AA181" s="79">
        <f>AVERAGE(Anual!AJ54:AK54)/100</f>
        <v>8.9600000000000013E-2</v>
      </c>
      <c r="AB181" s="79">
        <f>AVERAGE(Anual!AK54:AL54)/100</f>
        <v>8.9600000000000013E-2</v>
      </c>
    </row>
    <row r="182" spans="1:28">
      <c r="A182" s="95">
        <f t="shared" si="45"/>
        <v>64</v>
      </c>
      <c r="B182" s="345" t="s">
        <v>75</v>
      </c>
      <c r="E182" s="351"/>
      <c r="F182" s="351"/>
      <c r="G182" s="352"/>
      <c r="H182" s="349">
        <v>9.6015680732510766E-2</v>
      </c>
      <c r="I182" s="349">
        <v>0.12356687221910145</v>
      </c>
      <c r="J182" s="349">
        <v>0.12290961768073827</v>
      </c>
      <c r="K182" s="349">
        <v>9.029668460419904E-2</v>
      </c>
      <c r="L182" s="349">
        <v>7.178964713973035E-2</v>
      </c>
      <c r="M182" s="349">
        <v>8.5106119086168608E-2</v>
      </c>
      <c r="N182" s="349">
        <v>8.931969810964846E-2</v>
      </c>
      <c r="O182" s="349">
        <v>9.5997229437133846E-2</v>
      </c>
      <c r="P182" s="349">
        <v>8.5146952512157092E-2</v>
      </c>
      <c r="Q182" s="349">
        <v>8.384682158841783E-2</v>
      </c>
      <c r="R182" s="349">
        <v>9.4207452154611904E-2</v>
      </c>
      <c r="S182" s="349">
        <v>9.4207452154611904E-2</v>
      </c>
      <c r="T182" s="349">
        <v>7.8127888919998556E-2</v>
      </c>
      <c r="U182" s="349">
        <v>7.4905189815073436E-2</v>
      </c>
      <c r="V182" s="349">
        <v>9.2863891509025853E-2</v>
      </c>
      <c r="W182" s="349">
        <v>9.248187898793403E-2</v>
      </c>
      <c r="X182" s="349">
        <v>9.1336642436913973E-2</v>
      </c>
      <c r="Y182" s="349">
        <v>6.9511659345038668E-2</v>
      </c>
      <c r="Z182" s="349">
        <v>6.6321477977900223E-2</v>
      </c>
      <c r="AA182" s="349">
        <v>8.8858194760175868E-2</v>
      </c>
      <c r="AB182" s="349">
        <v>8.9971092111717832E-2</v>
      </c>
    </row>
    <row r="183" spans="1:28">
      <c r="A183" s="95">
        <f t="shared" si="45"/>
        <v>65</v>
      </c>
      <c r="B183" s="345" t="s">
        <v>76</v>
      </c>
      <c r="E183" s="351"/>
      <c r="F183" s="350">
        <v>2.5000000000000001E-2</v>
      </c>
      <c r="G183" s="352"/>
      <c r="H183" s="353">
        <f>((1+H181)*(1+$F183))-1</f>
        <v>0.12367028651903933</v>
      </c>
      <c r="I183" s="353">
        <f t="shared" ref="I183:AB183" si="99">((1+I181)*(1+$F183))-1</f>
        <v>0.13522243322411165</v>
      </c>
      <c r="J183" s="353">
        <f t="shared" si="99"/>
        <v>0.11716670651748484</v>
      </c>
      <c r="K183" s="353">
        <f t="shared" si="99"/>
        <v>9.7970625051961191E-2</v>
      </c>
      <c r="L183" s="353">
        <f t="shared" si="99"/>
        <v>0.10441456929762416</v>
      </c>
      <c r="M183" s="353">
        <f t="shared" si="99"/>
        <v>0.11723823326711136</v>
      </c>
      <c r="N183" s="353">
        <f t="shared" si="99"/>
        <v>0.12408376572807511</v>
      </c>
      <c r="O183" s="353">
        <f t="shared" si="99"/>
        <v>0.1245274999999999</v>
      </c>
      <c r="P183" s="353">
        <f t="shared" si="99"/>
        <v>0.12324625</v>
      </c>
      <c r="Q183" s="353">
        <f t="shared" si="99"/>
        <v>0.12196499999999988</v>
      </c>
      <c r="R183" s="353">
        <f t="shared" si="99"/>
        <v>0.12196499999999988</v>
      </c>
      <c r="S183" s="353">
        <f t="shared" si="99"/>
        <v>0.12196499999999988</v>
      </c>
      <c r="T183" s="353">
        <f t="shared" si="99"/>
        <v>0.12068374999999998</v>
      </c>
      <c r="U183" s="353">
        <f t="shared" si="99"/>
        <v>0.11940250000000008</v>
      </c>
      <c r="V183" s="353">
        <f t="shared" si="99"/>
        <v>0.11940250000000008</v>
      </c>
      <c r="W183" s="353">
        <f t="shared" si="99"/>
        <v>0.11940250000000008</v>
      </c>
      <c r="X183" s="353">
        <f t="shared" si="99"/>
        <v>0.11940250000000008</v>
      </c>
      <c r="Y183" s="353">
        <f t="shared" si="99"/>
        <v>0.11812124999999996</v>
      </c>
      <c r="Z183" s="353">
        <f t="shared" si="99"/>
        <v>0.11683999999999983</v>
      </c>
      <c r="AA183" s="353">
        <f t="shared" si="99"/>
        <v>0.11683999999999983</v>
      </c>
      <c r="AB183" s="353">
        <f t="shared" si="99"/>
        <v>0.11683999999999983</v>
      </c>
    </row>
    <row r="184" spans="1:28">
      <c r="A184" s="95">
        <f t="shared" si="45"/>
        <v>66</v>
      </c>
      <c r="F184" s="39"/>
    </row>
    <row r="185" spans="1:28">
      <c r="A185" s="95">
        <f t="shared" si="45"/>
        <v>67</v>
      </c>
      <c r="B185" s="345" t="s">
        <v>74</v>
      </c>
      <c r="C185" s="345"/>
      <c r="D185" s="345"/>
      <c r="E185" s="357"/>
      <c r="F185" s="350">
        <v>0</v>
      </c>
      <c r="G185" s="352"/>
      <c r="H185" s="360">
        <f>F175*F185</f>
        <v>0</v>
      </c>
      <c r="I185" s="360">
        <v>0</v>
      </c>
      <c r="J185" s="360">
        <v>0</v>
      </c>
      <c r="K185" s="360">
        <v>0</v>
      </c>
      <c r="L185" s="360">
        <v>0</v>
      </c>
      <c r="M185" s="360">
        <v>0</v>
      </c>
      <c r="N185" s="360">
        <v>0</v>
      </c>
      <c r="O185" s="360">
        <v>0</v>
      </c>
      <c r="P185" s="360">
        <v>0</v>
      </c>
      <c r="Q185" s="360">
        <v>0</v>
      </c>
      <c r="R185" s="360">
        <v>0</v>
      </c>
      <c r="S185" s="360">
        <v>0</v>
      </c>
      <c r="T185" s="360">
        <v>0</v>
      </c>
      <c r="U185" s="360">
        <v>0</v>
      </c>
      <c r="V185" s="360">
        <v>0</v>
      </c>
      <c r="W185" s="360">
        <v>0</v>
      </c>
      <c r="X185" s="360">
        <v>0</v>
      </c>
      <c r="Y185" s="360">
        <v>0</v>
      </c>
      <c r="Z185" s="360">
        <v>0</v>
      </c>
      <c r="AA185" s="360">
        <v>0</v>
      </c>
      <c r="AB185" s="360">
        <v>0</v>
      </c>
    </row>
    <row r="186" spans="1:28">
      <c r="A186" s="95">
        <f t="shared" si="45"/>
        <v>68</v>
      </c>
      <c r="B186" s="2" t="s">
        <v>231</v>
      </c>
      <c r="C186" s="2"/>
      <c r="D186" s="56"/>
      <c r="E186" s="56"/>
      <c r="F186" s="56"/>
      <c r="G186" s="58"/>
      <c r="H186" s="68">
        <f>H185+AVERAGE(H175,H178)*H183</f>
        <v>0</v>
      </c>
      <c r="I186" s="68">
        <f t="shared" ref="I186" si="100">I185+AVERAGE(I175,I178)*I183</f>
        <v>0</v>
      </c>
      <c r="J186" s="68">
        <f t="shared" ref="J186" si="101">J185+AVERAGE(J175,J178)*J183</f>
        <v>0</v>
      </c>
      <c r="K186" s="68">
        <f t="shared" ref="K186" si="102">K185+AVERAGE(K175,K178)*K183</f>
        <v>0</v>
      </c>
      <c r="L186" s="68">
        <f t="shared" ref="L186" si="103">L185+AVERAGE(L175,L178)*L183</f>
        <v>0</v>
      </c>
      <c r="M186" s="68">
        <f t="shared" ref="M186" si="104">M185+AVERAGE(M175,M178)*M183</f>
        <v>0</v>
      </c>
      <c r="N186" s="68">
        <f t="shared" ref="N186" si="105">N185+AVERAGE(N175,N178)*N183</f>
        <v>0</v>
      </c>
      <c r="O186" s="68">
        <f t="shared" ref="O186" si="106">O185+AVERAGE(O175,O178)*O183</f>
        <v>0</v>
      </c>
      <c r="P186" s="68">
        <f t="shared" ref="P186" si="107">P185+AVERAGE(P175,P178)*P183</f>
        <v>0</v>
      </c>
      <c r="Q186" s="68">
        <f t="shared" ref="Q186" si="108">Q185+AVERAGE(Q175,Q178)*Q183</f>
        <v>0</v>
      </c>
      <c r="R186" s="68">
        <f t="shared" ref="R186" si="109">R185+AVERAGE(R175,R178)*R183</f>
        <v>0</v>
      </c>
      <c r="S186" s="68">
        <f t="shared" ref="S186" si="110">S185+AVERAGE(S175,S178)*S183</f>
        <v>0</v>
      </c>
      <c r="T186" s="68">
        <f t="shared" ref="T186" si="111">T185+AVERAGE(T175,T178)*T183</f>
        <v>0</v>
      </c>
      <c r="U186" s="68">
        <f t="shared" ref="U186" si="112">U185+AVERAGE(U175,U178)*U183</f>
        <v>0</v>
      </c>
      <c r="V186" s="68">
        <f t="shared" ref="V186" si="113">V185+AVERAGE(V175,V178)*V183</f>
        <v>0</v>
      </c>
      <c r="W186" s="68">
        <f t="shared" ref="W186" si="114">W185+AVERAGE(W175,W178)*W183</f>
        <v>0</v>
      </c>
      <c r="X186" s="68">
        <f t="shared" ref="X186" si="115">X185+AVERAGE(X175,X178)*X183</f>
        <v>0</v>
      </c>
      <c r="Y186" s="68">
        <f t="shared" ref="Y186" si="116">Y185+AVERAGE(Y175,Y178)*Y183</f>
        <v>0</v>
      </c>
      <c r="Z186" s="68">
        <f t="shared" ref="Z186" si="117">Z185+AVERAGE(Z175,Z178)*Z183</f>
        <v>0</v>
      </c>
      <c r="AA186" s="68">
        <f t="shared" ref="AA186" si="118">AA185+AVERAGE(AA175,AA178)*AA183</f>
        <v>0</v>
      </c>
      <c r="AB186" s="68">
        <f t="shared" ref="AB186" si="119">AB185+AVERAGE(AB175,AB178)*AB183</f>
        <v>0</v>
      </c>
    </row>
    <row r="187" spans="1:28">
      <c r="A187" s="95">
        <f t="shared" si="45"/>
        <v>69</v>
      </c>
      <c r="D187" s="351"/>
      <c r="E187" s="351"/>
      <c r="F187" s="351"/>
      <c r="G187" s="352"/>
      <c r="H187" s="351"/>
      <c r="I187" s="351"/>
      <c r="J187" s="351"/>
      <c r="K187" s="351"/>
      <c r="L187" s="351"/>
      <c r="M187" s="351"/>
    </row>
    <row r="188" spans="1:28">
      <c r="A188" s="95">
        <f t="shared" si="45"/>
        <v>70</v>
      </c>
      <c r="D188" s="351"/>
      <c r="E188" s="351"/>
      <c r="F188" s="351"/>
      <c r="G188" s="352"/>
    </row>
    <row r="189" spans="1:28">
      <c r="A189" s="95">
        <f t="shared" si="45"/>
        <v>71</v>
      </c>
      <c r="B189" s="28" t="s">
        <v>162</v>
      </c>
      <c r="C189" s="26"/>
      <c r="D189" s="134">
        <f>$G$7</f>
        <v>40908</v>
      </c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>
      <c r="A190" s="95">
        <f t="shared" si="45"/>
        <v>72</v>
      </c>
      <c r="D190" s="351"/>
      <c r="E190" s="351"/>
      <c r="F190" s="351"/>
      <c r="G190" s="352"/>
    </row>
    <row r="191" spans="1:28">
      <c r="A191" s="95">
        <f t="shared" si="45"/>
        <v>73</v>
      </c>
      <c r="B191" s="2" t="s">
        <v>104</v>
      </c>
      <c r="C191" s="2"/>
      <c r="D191" s="150"/>
      <c r="E191" s="76" t="s">
        <v>369</v>
      </c>
      <c r="F191" s="53">
        <v>0</v>
      </c>
      <c r="G191" s="50"/>
      <c r="H191" s="70">
        <f>F191*F194</f>
        <v>0</v>
      </c>
      <c r="I191" s="70">
        <f t="shared" ref="I191:AB191" si="120">H194</f>
        <v>0</v>
      </c>
      <c r="J191" s="70">
        <f t="shared" si="120"/>
        <v>0</v>
      </c>
      <c r="K191" s="70">
        <f t="shared" si="120"/>
        <v>0</v>
      </c>
      <c r="L191" s="70">
        <f t="shared" si="120"/>
        <v>0</v>
      </c>
      <c r="M191" s="70">
        <f t="shared" si="120"/>
        <v>0</v>
      </c>
      <c r="N191" s="70">
        <f t="shared" si="120"/>
        <v>0</v>
      </c>
      <c r="O191" s="70">
        <f t="shared" si="120"/>
        <v>0</v>
      </c>
      <c r="P191" s="70">
        <f t="shared" si="120"/>
        <v>0</v>
      </c>
      <c r="Q191" s="70">
        <f t="shared" si="120"/>
        <v>0</v>
      </c>
      <c r="R191" s="70">
        <f t="shared" si="120"/>
        <v>0</v>
      </c>
      <c r="S191" s="70">
        <f t="shared" si="120"/>
        <v>0</v>
      </c>
      <c r="T191" s="70">
        <f t="shared" si="120"/>
        <v>0</v>
      </c>
      <c r="U191" s="70">
        <f t="shared" si="120"/>
        <v>0</v>
      </c>
      <c r="V191" s="70">
        <f t="shared" si="120"/>
        <v>0</v>
      </c>
      <c r="W191" s="70">
        <f t="shared" si="120"/>
        <v>0</v>
      </c>
      <c r="X191" s="70">
        <f t="shared" si="120"/>
        <v>0</v>
      </c>
      <c r="Y191" s="70">
        <f t="shared" si="120"/>
        <v>0</v>
      </c>
      <c r="Z191" s="70">
        <f t="shared" si="120"/>
        <v>0</v>
      </c>
      <c r="AA191" s="70">
        <f t="shared" si="120"/>
        <v>0</v>
      </c>
      <c r="AB191" s="70">
        <f t="shared" si="120"/>
        <v>0</v>
      </c>
    </row>
    <row r="192" spans="1:28" s="39" customFormat="1">
      <c r="A192" s="95">
        <f t="shared" si="45"/>
        <v>74</v>
      </c>
      <c r="B192" s="345" t="s">
        <v>79</v>
      </c>
      <c r="C192"/>
      <c r="D192"/>
      <c r="E192" s="351"/>
      <c r="F192" s="357"/>
      <c r="G192" s="352"/>
      <c r="H192" s="361"/>
      <c r="I192" s="361"/>
      <c r="J192" s="361"/>
      <c r="K192" s="361"/>
      <c r="L192" s="361"/>
      <c r="M192" s="361"/>
      <c r="N192" s="361"/>
      <c r="O192" s="361"/>
      <c r="P192" s="361"/>
      <c r="Q192" s="361"/>
      <c r="R192" s="361"/>
      <c r="S192" s="361"/>
      <c r="T192" s="361"/>
      <c r="U192" s="361"/>
      <c r="V192" s="361"/>
      <c r="W192" s="361"/>
      <c r="X192" s="361"/>
      <c r="Y192" s="361"/>
      <c r="Z192" s="361"/>
      <c r="AA192" s="361"/>
      <c r="AB192" s="361"/>
    </row>
    <row r="193" spans="1:28">
      <c r="A193" s="95">
        <f t="shared" si="45"/>
        <v>75</v>
      </c>
      <c r="B193" s="345" t="s">
        <v>101</v>
      </c>
      <c r="E193" s="351"/>
      <c r="F193" s="357"/>
      <c r="G193" s="352"/>
      <c r="H193" s="356">
        <f>H192*$F191*H$33</f>
        <v>0</v>
      </c>
      <c r="I193" s="356">
        <f>I192*$F191*I$33</f>
        <v>0</v>
      </c>
      <c r="J193" s="356">
        <f t="shared" ref="J193:AB193" si="121">J192*$F191*J$33</f>
        <v>0</v>
      </c>
      <c r="K193" s="356">
        <f t="shared" si="121"/>
        <v>0</v>
      </c>
      <c r="L193" s="356">
        <f t="shared" si="121"/>
        <v>0</v>
      </c>
      <c r="M193" s="356">
        <f t="shared" si="121"/>
        <v>0</v>
      </c>
      <c r="N193" s="356">
        <f t="shared" si="121"/>
        <v>0</v>
      </c>
      <c r="O193" s="356">
        <f t="shared" si="121"/>
        <v>0</v>
      </c>
      <c r="P193" s="356">
        <f t="shared" si="121"/>
        <v>0</v>
      </c>
      <c r="Q193" s="356">
        <f t="shared" si="121"/>
        <v>0</v>
      </c>
      <c r="R193" s="356">
        <f t="shared" si="121"/>
        <v>0</v>
      </c>
      <c r="S193" s="356">
        <f t="shared" si="121"/>
        <v>0</v>
      </c>
      <c r="T193" s="356">
        <f t="shared" si="121"/>
        <v>0</v>
      </c>
      <c r="U193" s="356">
        <f t="shared" si="121"/>
        <v>0</v>
      </c>
      <c r="V193" s="356">
        <f t="shared" si="121"/>
        <v>0</v>
      </c>
      <c r="W193" s="356">
        <f t="shared" si="121"/>
        <v>0</v>
      </c>
      <c r="X193" s="356">
        <f t="shared" si="121"/>
        <v>0</v>
      </c>
      <c r="Y193" s="356">
        <f t="shared" si="121"/>
        <v>0</v>
      </c>
      <c r="Z193" s="356">
        <f t="shared" si="121"/>
        <v>0</v>
      </c>
      <c r="AA193" s="356">
        <f t="shared" si="121"/>
        <v>0</v>
      </c>
      <c r="AB193" s="356">
        <f t="shared" si="121"/>
        <v>0</v>
      </c>
    </row>
    <row r="194" spans="1:28">
      <c r="A194" s="95">
        <f t="shared" si="45"/>
        <v>76</v>
      </c>
      <c r="B194" s="2" t="s">
        <v>102</v>
      </c>
      <c r="C194" s="2"/>
      <c r="D194" s="2"/>
      <c r="E194" s="75" t="s">
        <v>370</v>
      </c>
      <c r="F194" s="363">
        <v>1.6</v>
      </c>
      <c r="G194" s="58"/>
      <c r="H194" s="69">
        <f>$F191*(1-SUM($H192:H192))*H$33</f>
        <v>0</v>
      </c>
      <c r="I194" s="69">
        <f>$F191*(1-SUM($H192:I192))*I$33</f>
        <v>0</v>
      </c>
      <c r="J194" s="69">
        <f>$F191*(1-SUM($H192:J192))*J$33</f>
        <v>0</v>
      </c>
      <c r="K194" s="69">
        <f>$F191*(1-SUM($H192:K192))*K$33</f>
        <v>0</v>
      </c>
      <c r="L194" s="69">
        <f>$F191*(1-SUM($H192:L192))*L$33</f>
        <v>0</v>
      </c>
      <c r="M194" s="69">
        <f>$F191*(1-SUM($H192:M192))*M$33</f>
        <v>0</v>
      </c>
      <c r="N194" s="69">
        <f>$F191*(1-SUM($H192:N192))*N$33</f>
        <v>0</v>
      </c>
      <c r="O194" s="69">
        <f>$F191*(1-SUM($H192:O192))*O$33</f>
        <v>0</v>
      </c>
      <c r="P194" s="69">
        <f>$F191*(1-SUM($H192:P192))*P$33</f>
        <v>0</v>
      </c>
      <c r="Q194" s="69">
        <f>$F191*(1-SUM($H192:Q192))*Q$33</f>
        <v>0</v>
      </c>
      <c r="R194" s="69">
        <f>$F191*(1-SUM($H192:R192))*R$33</f>
        <v>0</v>
      </c>
      <c r="S194" s="69">
        <f>$F191*(1-SUM($H192:S192))*S$33</f>
        <v>0</v>
      </c>
      <c r="T194" s="69">
        <f>$F191*(1-SUM($H192:T192))*T$33</f>
        <v>0</v>
      </c>
      <c r="U194" s="69">
        <f>$F191*(1-SUM($H192:U192))*U$33</f>
        <v>0</v>
      </c>
      <c r="V194" s="69">
        <f>$F191*(1-SUM($H192:V192))*V$33</f>
        <v>0</v>
      </c>
      <c r="W194" s="69">
        <f>$F191*(1-SUM($H192:W192))*W$33</f>
        <v>0</v>
      </c>
      <c r="X194" s="69">
        <f>$F191*(1-SUM($H192:X192))*X$33</f>
        <v>0</v>
      </c>
      <c r="Y194" s="69">
        <f>$F191*(1-SUM($H192:Y192))*Y$33</f>
        <v>0</v>
      </c>
      <c r="Z194" s="69">
        <f>$F191*(1-SUM($H192:Z192))*Z$33</f>
        <v>0</v>
      </c>
      <c r="AA194" s="69">
        <f>$F191*(1-SUM($H192:AA192))*AA$33</f>
        <v>0</v>
      </c>
      <c r="AB194" s="69">
        <f>$F191*(1-SUM($H192:AB192))*AB$33</f>
        <v>0</v>
      </c>
    </row>
    <row r="195" spans="1:28">
      <c r="A195" s="95">
        <f t="shared" si="45"/>
        <v>77</v>
      </c>
      <c r="B195" s="345"/>
      <c r="G195" s="352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  <c r="AA195" s="358"/>
      <c r="AB195" s="358"/>
    </row>
    <row r="196" spans="1:28">
      <c r="A196" s="95">
        <f t="shared" si="45"/>
        <v>78</v>
      </c>
      <c r="B196" s="345" t="s">
        <v>2</v>
      </c>
      <c r="E196" s="351"/>
      <c r="F196" s="351"/>
      <c r="G196" s="352"/>
      <c r="H196" s="79">
        <f>Anual!R86/100</f>
        <v>5.1847134073820921E-3</v>
      </c>
      <c r="I196" s="79">
        <f>Anual!S86/100</f>
        <v>9.2379200645800932E-3</v>
      </c>
      <c r="J196" s="79">
        <f>Anual!T86/100</f>
        <v>1.4999999999999999E-2</v>
      </c>
      <c r="K196" s="79">
        <f>Anual!U86/100</f>
        <v>1.4999999999999999E-2</v>
      </c>
      <c r="L196" s="79">
        <f>Anual!V86/100</f>
        <v>1.4999999999999999E-2</v>
      </c>
      <c r="M196" s="79">
        <f>Anual!W86/100</f>
        <v>1.4999999999999999E-2</v>
      </c>
      <c r="N196" s="79">
        <f>Anual!X86/100</f>
        <v>0.02</v>
      </c>
      <c r="O196" s="79">
        <f>Anual!Y86/100</f>
        <v>0.02</v>
      </c>
      <c r="P196" s="79">
        <f>Anual!Z86/100</f>
        <v>0.02</v>
      </c>
      <c r="Q196" s="79">
        <f>Anual!AA86/100</f>
        <v>0.02</v>
      </c>
      <c r="R196" s="79">
        <f>Anual!AB86/100</f>
        <v>0.04</v>
      </c>
      <c r="S196" s="79" t="e">
        <f>Anual!AC86/100</f>
        <v>#VALUE!</v>
      </c>
      <c r="T196" s="79" t="e">
        <f>Anual!AD86/100</f>
        <v>#VALUE!</v>
      </c>
      <c r="U196" s="79" t="e">
        <f>Anual!AE86/100</f>
        <v>#VALUE!</v>
      </c>
      <c r="V196" s="79" t="e">
        <f>Anual!AF86/100</f>
        <v>#VALUE!</v>
      </c>
      <c r="W196" s="79" t="e">
        <f>Anual!AG86/100</f>
        <v>#VALUE!</v>
      </c>
      <c r="X196" s="79" t="e">
        <f>Anual!AH86/100</f>
        <v>#VALUE!</v>
      </c>
      <c r="Y196" s="79" t="e">
        <f>Anual!AI86/100</f>
        <v>#VALUE!</v>
      </c>
      <c r="Z196" s="79" t="e">
        <f>Anual!AJ86/100</f>
        <v>#VALUE!</v>
      </c>
      <c r="AA196" s="79" t="e">
        <f>Anual!AK86/100</f>
        <v>#VALUE!</v>
      </c>
      <c r="AB196" s="79" t="e">
        <f>Anual!AL86/100</f>
        <v>#VALUE!</v>
      </c>
    </row>
    <row r="197" spans="1:28">
      <c r="A197" s="95">
        <f t="shared" si="45"/>
        <v>79</v>
      </c>
      <c r="B197" s="345" t="s">
        <v>75</v>
      </c>
      <c r="E197" s="351"/>
      <c r="F197" s="351"/>
      <c r="G197" s="352"/>
      <c r="H197" s="349">
        <f>H196*(H$7-$D189)/360</f>
        <v>5.2711252975051271E-3</v>
      </c>
      <c r="I197" s="349">
        <f t="shared" ref="I197:AB197" si="122">I196*(I$7-$D189)/360-H196*(H$7-$D189)/360</f>
        <v>1.3486984611406117E-2</v>
      </c>
      <c r="J197" s="349">
        <f t="shared" si="122"/>
        <v>2.6908556757755418E-2</v>
      </c>
      <c r="K197" s="349">
        <f t="shared" si="122"/>
        <v>1.5208333333333338E-2</v>
      </c>
      <c r="L197" s="349">
        <f t="shared" si="122"/>
        <v>1.525E-2</v>
      </c>
      <c r="M197" s="349">
        <f t="shared" si="122"/>
        <v>1.5208333333333324E-2</v>
      </c>
      <c r="N197" s="349">
        <f t="shared" si="122"/>
        <v>5.0722222222222224E-2</v>
      </c>
      <c r="O197" s="349">
        <f t="shared" si="122"/>
        <v>2.0277777777777783E-2</v>
      </c>
      <c r="P197" s="349">
        <f t="shared" si="122"/>
        <v>2.0333333333333342E-2</v>
      </c>
      <c r="Q197" s="349">
        <f t="shared" si="122"/>
        <v>2.0277777777777783E-2</v>
      </c>
      <c r="R197" s="349">
        <f t="shared" si="122"/>
        <v>0.24349999999999997</v>
      </c>
      <c r="S197" s="349" t="e">
        <f t="shared" ref="S197" si="123">S196*(S$7-$D189)/360-R196*(R$7-$D189)/360</f>
        <v>#VALUE!</v>
      </c>
      <c r="T197" s="349" t="e">
        <f t="shared" ref="T197" si="124">T196*(T$7-$D189)/360-S196*(S$7-$D189)/360</f>
        <v>#VALUE!</v>
      </c>
      <c r="U197" s="349" t="e">
        <f t="shared" ref="U197" si="125">U196*(U$7-$D189)/360-T196*(T$7-$D189)/360</f>
        <v>#VALUE!</v>
      </c>
      <c r="V197" s="349" t="e">
        <f t="shared" ref="V197" si="126">V196*(V$7-$D189)/360-U196*(U$7-$D189)/360</f>
        <v>#VALUE!</v>
      </c>
      <c r="W197" s="349" t="e">
        <f t="shared" si="122"/>
        <v>#VALUE!</v>
      </c>
      <c r="X197" s="349" t="e">
        <f t="shared" si="122"/>
        <v>#VALUE!</v>
      </c>
      <c r="Y197" s="349" t="e">
        <f t="shared" si="122"/>
        <v>#VALUE!</v>
      </c>
      <c r="Z197" s="349" t="e">
        <f t="shared" si="122"/>
        <v>#VALUE!</v>
      </c>
      <c r="AA197" s="349" t="e">
        <f t="shared" si="122"/>
        <v>#VALUE!</v>
      </c>
      <c r="AB197" s="349" t="e">
        <f t="shared" si="122"/>
        <v>#VALUE!</v>
      </c>
    </row>
    <row r="198" spans="1:28">
      <c r="A198" s="95">
        <f t="shared" si="45"/>
        <v>80</v>
      </c>
      <c r="B198" s="345" t="s">
        <v>76</v>
      </c>
      <c r="E198" s="351"/>
      <c r="F198" s="350">
        <v>2.5000000000000001E-2</v>
      </c>
      <c r="G198" s="352"/>
      <c r="H198" s="353">
        <f>((1+H196)*(1+$F198))-1</f>
        <v>3.0314331242566661E-2</v>
      </c>
      <c r="I198" s="353">
        <f t="shared" ref="I198:AB198" si="127">((1+I196)*(1+$F198))-1</f>
        <v>3.4468868066194425E-2</v>
      </c>
      <c r="J198" s="353">
        <f t="shared" si="127"/>
        <v>4.0374999999999828E-2</v>
      </c>
      <c r="K198" s="353">
        <f t="shared" si="127"/>
        <v>4.0374999999999828E-2</v>
      </c>
      <c r="L198" s="353">
        <f t="shared" si="127"/>
        <v>4.0374999999999828E-2</v>
      </c>
      <c r="M198" s="353">
        <f t="shared" si="127"/>
        <v>4.0374999999999828E-2</v>
      </c>
      <c r="N198" s="353">
        <f t="shared" si="127"/>
        <v>4.5499999999999874E-2</v>
      </c>
      <c r="O198" s="353">
        <f t="shared" si="127"/>
        <v>4.5499999999999874E-2</v>
      </c>
      <c r="P198" s="353">
        <f t="shared" si="127"/>
        <v>4.5499999999999874E-2</v>
      </c>
      <c r="Q198" s="353">
        <f t="shared" si="127"/>
        <v>4.5499999999999874E-2</v>
      </c>
      <c r="R198" s="353">
        <f t="shared" si="127"/>
        <v>6.5999999999999837E-2</v>
      </c>
      <c r="S198" s="353" t="e">
        <f t="shared" ref="S198:V198" si="128">((1+S196)*(1+$F198))-1</f>
        <v>#VALUE!</v>
      </c>
      <c r="T198" s="353" t="e">
        <f t="shared" si="128"/>
        <v>#VALUE!</v>
      </c>
      <c r="U198" s="353" t="e">
        <f t="shared" si="128"/>
        <v>#VALUE!</v>
      </c>
      <c r="V198" s="353" t="e">
        <f t="shared" si="128"/>
        <v>#VALUE!</v>
      </c>
      <c r="W198" s="353" t="e">
        <f t="shared" si="127"/>
        <v>#VALUE!</v>
      </c>
      <c r="X198" s="353" t="e">
        <f t="shared" si="127"/>
        <v>#VALUE!</v>
      </c>
      <c r="Y198" s="353" t="e">
        <f t="shared" si="127"/>
        <v>#VALUE!</v>
      </c>
      <c r="Z198" s="353" t="e">
        <f t="shared" si="127"/>
        <v>#VALUE!</v>
      </c>
      <c r="AA198" s="353" t="e">
        <f t="shared" si="127"/>
        <v>#VALUE!</v>
      </c>
      <c r="AB198" s="353" t="e">
        <f t="shared" si="127"/>
        <v>#VALUE!</v>
      </c>
    </row>
    <row r="199" spans="1:28">
      <c r="A199" s="95">
        <f t="shared" si="45"/>
        <v>81</v>
      </c>
      <c r="B199" s="345" t="s">
        <v>105</v>
      </c>
      <c r="E199" s="351"/>
      <c r="F199" s="351"/>
      <c r="G199" s="10"/>
      <c r="H199" s="353">
        <f>(Anual!R47-Anual!Q47)/Anual!Q47</f>
        <v>-0.11712529258537158</v>
      </c>
      <c r="I199" s="353">
        <f>(Anual!S47-Anual!R47)/Anual!R47</f>
        <v>-4.8341331917666826E-2</v>
      </c>
      <c r="J199" s="353">
        <f>(Anual!T47-Anual!S47)/Anual!S47</f>
        <v>0.16173497140413545</v>
      </c>
      <c r="K199" s="353">
        <f>(Anual!U47-Anual!T47)/Anual!T47</f>
        <v>5.3512169554724438E-2</v>
      </c>
      <c r="L199" s="353">
        <f>(Anual!V47-Anual!U47)/Anual!U47</f>
        <v>4.6987087517934609E-2</v>
      </c>
      <c r="M199" s="353">
        <f>(Anual!W47-Anual!V47)/Anual!V47</f>
        <v>4.6621526308365198E-2</v>
      </c>
      <c r="N199" s="353">
        <f>(Anual!X47-Anual!W47)/Anual!W47</f>
        <v>4.9019607843136734E-2</v>
      </c>
      <c r="O199" s="353">
        <f>(Anual!Y47-Anual!X47)/Anual!X47</f>
        <v>4.4000375269725167E-2</v>
      </c>
      <c r="P199" s="353">
        <f>(Anual!Z47-Anual!Y47)/Anual!Y47</f>
        <v>3.4219457013574747E-2</v>
      </c>
      <c r="Q199" s="353">
        <f>(Anual!AA47-Anual!Z47)/Anual!Z47</f>
        <v>2.9411764705882439E-2</v>
      </c>
      <c r="R199" s="353">
        <f>(Anual!AB47-Anual!AA47)/Anual!AA47</f>
        <v>2.9411764705882408E-2</v>
      </c>
      <c r="S199" s="353">
        <f>(Anual!AC47-Anual!AB47)/Anual!AB47</f>
        <v>2.9411764705882363E-2</v>
      </c>
      <c r="T199" s="353">
        <f>(Anual!AD47-Anual!AC47)/Anual!AC47</f>
        <v>2.9411764705882405E-2</v>
      </c>
      <c r="U199" s="353">
        <f>(Anual!AE47-Anual!AD47)/Anual!AD47</f>
        <v>2.9411764705882335E-2</v>
      </c>
      <c r="V199" s="353">
        <f>(Anual!AF47-Anual!AE47)/Anual!AE47</f>
        <v>2.9411764705882467E-2</v>
      </c>
      <c r="W199" s="353">
        <f>(Anual!AG47-Anual!AF47)/Anual!AF47</f>
        <v>2.9411764705882457E-2</v>
      </c>
      <c r="X199" s="353">
        <f>(Anual!AH47-Anual!AG47)/Anual!AG47</f>
        <v>2.9411764705882346E-2</v>
      </c>
      <c r="Y199" s="353">
        <f>(Anual!AI47-Anual!AH47)/Anual!AH47</f>
        <v>2.9411764705882387E-2</v>
      </c>
      <c r="Z199" s="353">
        <f>(Anual!AJ47-Anual!AI47)/Anual!AI47</f>
        <v>2.9411764705882425E-2</v>
      </c>
      <c r="AA199" s="353">
        <f>(Anual!AK47-Anual!AJ47)/Anual!AJ47</f>
        <v>2.9411764705882415E-2</v>
      </c>
      <c r="AB199" s="353">
        <f>(Anual!AL47-Anual!AK47)/Anual!AK47</f>
        <v>2.9411764705882332E-2</v>
      </c>
    </row>
    <row r="200" spans="1:28">
      <c r="A200" s="95">
        <f t="shared" si="45"/>
        <v>82</v>
      </c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</row>
    <row r="201" spans="1:28">
      <c r="A201" s="95">
        <f t="shared" si="45"/>
        <v>83</v>
      </c>
      <c r="B201" s="345" t="s">
        <v>103</v>
      </c>
      <c r="C201" s="345"/>
      <c r="D201" s="345"/>
      <c r="E201" s="357"/>
      <c r="F201" s="350">
        <v>0</v>
      </c>
      <c r="G201" s="352"/>
      <c r="H201" s="364">
        <f>F201*H191</f>
        <v>0</v>
      </c>
      <c r="I201" s="364">
        <v>0</v>
      </c>
      <c r="J201" s="364">
        <v>0</v>
      </c>
      <c r="K201" s="364">
        <v>0</v>
      </c>
      <c r="L201" s="364">
        <v>0</v>
      </c>
      <c r="M201" s="364">
        <v>0</v>
      </c>
      <c r="N201" s="364">
        <v>0</v>
      </c>
      <c r="O201" s="364">
        <v>0</v>
      </c>
      <c r="P201" s="364">
        <v>0</v>
      </c>
      <c r="Q201" s="364">
        <v>0</v>
      </c>
      <c r="R201" s="364">
        <v>0</v>
      </c>
      <c r="S201" s="364">
        <v>0</v>
      </c>
      <c r="T201" s="364">
        <v>0</v>
      </c>
      <c r="U201" s="364">
        <v>0</v>
      </c>
      <c r="V201" s="364">
        <v>0</v>
      </c>
      <c r="W201" s="364">
        <v>0</v>
      </c>
      <c r="X201" s="364">
        <v>0</v>
      </c>
      <c r="Y201" s="364">
        <v>0</v>
      </c>
      <c r="Z201" s="364">
        <v>0</v>
      </c>
      <c r="AA201" s="364">
        <v>0</v>
      </c>
      <c r="AB201" s="364">
        <v>0</v>
      </c>
    </row>
    <row r="202" spans="1:28">
      <c r="A202" s="95">
        <f t="shared" ref="A202:A265" si="129">1+A201</f>
        <v>84</v>
      </c>
      <c r="B202" s="2" t="s">
        <v>232</v>
      </c>
      <c r="C202" s="2"/>
      <c r="D202" s="56"/>
      <c r="E202" s="56"/>
      <c r="F202" s="56"/>
      <c r="G202" s="58"/>
      <c r="H202" s="69">
        <f t="shared" ref="H202:AB202" si="130">H201+H191*((1+H198)*(1+H199)-1)</f>
        <v>0</v>
      </c>
      <c r="I202" s="78">
        <f t="shared" si="130"/>
        <v>0</v>
      </c>
      <c r="J202" s="78">
        <f t="shared" si="130"/>
        <v>0</v>
      </c>
      <c r="K202" s="78">
        <f t="shared" si="130"/>
        <v>0</v>
      </c>
      <c r="L202" s="78">
        <f t="shared" si="130"/>
        <v>0</v>
      </c>
      <c r="M202" s="78">
        <f t="shared" si="130"/>
        <v>0</v>
      </c>
      <c r="N202" s="78">
        <f t="shared" si="130"/>
        <v>0</v>
      </c>
      <c r="O202" s="78">
        <f t="shared" si="130"/>
        <v>0</v>
      </c>
      <c r="P202" s="78">
        <f t="shared" si="130"/>
        <v>0</v>
      </c>
      <c r="Q202" s="78">
        <f t="shared" si="130"/>
        <v>0</v>
      </c>
      <c r="R202" s="78">
        <f t="shared" si="130"/>
        <v>0</v>
      </c>
      <c r="S202" s="78" t="e">
        <f t="shared" si="130"/>
        <v>#VALUE!</v>
      </c>
      <c r="T202" s="78" t="e">
        <f t="shared" si="130"/>
        <v>#VALUE!</v>
      </c>
      <c r="U202" s="78" t="e">
        <f t="shared" si="130"/>
        <v>#VALUE!</v>
      </c>
      <c r="V202" s="78" t="e">
        <f t="shared" si="130"/>
        <v>#VALUE!</v>
      </c>
      <c r="W202" s="78" t="e">
        <f t="shared" si="130"/>
        <v>#VALUE!</v>
      </c>
      <c r="X202" s="78" t="e">
        <f t="shared" si="130"/>
        <v>#VALUE!</v>
      </c>
      <c r="Y202" s="78" t="e">
        <f t="shared" si="130"/>
        <v>#VALUE!</v>
      </c>
      <c r="Z202" s="78" t="e">
        <f t="shared" si="130"/>
        <v>#VALUE!</v>
      </c>
      <c r="AA202" s="78" t="e">
        <f t="shared" si="130"/>
        <v>#VALUE!</v>
      </c>
      <c r="AB202" s="78" t="e">
        <f t="shared" si="130"/>
        <v>#VALUE!</v>
      </c>
    </row>
    <row r="203" spans="1:28">
      <c r="A203" s="95">
        <f t="shared" si="129"/>
        <v>85</v>
      </c>
      <c r="B203" s="345" t="s">
        <v>167</v>
      </c>
      <c r="C203" s="2"/>
      <c r="D203" s="56"/>
      <c r="E203" s="56"/>
      <c r="F203" s="56"/>
      <c r="G203" s="58"/>
      <c r="H203" s="365">
        <f>$F191*H$33*H192-$F191*$F194*H192</f>
        <v>0</v>
      </c>
      <c r="I203" s="365">
        <f>$F191*I$33*I192-$F191*H$33*I192</f>
        <v>0</v>
      </c>
      <c r="J203" s="365">
        <f>$F191*J$33*J192-$F191*I$33*J192</f>
        <v>0</v>
      </c>
      <c r="K203" s="365">
        <f t="shared" ref="K203:AB203" si="131">$F191*K$33*K192-$F191*J$33*K192</f>
        <v>0</v>
      </c>
      <c r="L203" s="365">
        <f t="shared" si="131"/>
        <v>0</v>
      </c>
      <c r="M203" s="365">
        <f t="shared" si="131"/>
        <v>0</v>
      </c>
      <c r="N203" s="365">
        <f t="shared" si="131"/>
        <v>0</v>
      </c>
      <c r="O203" s="365">
        <f t="shared" si="131"/>
        <v>0</v>
      </c>
      <c r="P203" s="365">
        <f t="shared" si="131"/>
        <v>0</v>
      </c>
      <c r="Q203" s="365">
        <f t="shared" si="131"/>
        <v>0</v>
      </c>
      <c r="R203" s="365">
        <f t="shared" si="131"/>
        <v>0</v>
      </c>
      <c r="S203" s="365">
        <f t="shared" si="131"/>
        <v>0</v>
      </c>
      <c r="T203" s="365">
        <f t="shared" si="131"/>
        <v>0</v>
      </c>
      <c r="U203" s="365">
        <f t="shared" si="131"/>
        <v>0</v>
      </c>
      <c r="V203" s="365">
        <f t="shared" si="131"/>
        <v>0</v>
      </c>
      <c r="W203" s="365">
        <f t="shared" si="131"/>
        <v>0</v>
      </c>
      <c r="X203" s="365">
        <f t="shared" si="131"/>
        <v>0</v>
      </c>
      <c r="Y203" s="365">
        <f t="shared" si="131"/>
        <v>0</v>
      </c>
      <c r="Z203" s="365">
        <f t="shared" si="131"/>
        <v>0</v>
      </c>
      <c r="AA203" s="365">
        <f t="shared" si="131"/>
        <v>0</v>
      </c>
      <c r="AB203" s="365">
        <f t="shared" si="131"/>
        <v>0</v>
      </c>
    </row>
    <row r="204" spans="1:28">
      <c r="A204" s="95">
        <f t="shared" si="129"/>
        <v>86</v>
      </c>
      <c r="B204" s="345" t="s">
        <v>106</v>
      </c>
      <c r="C204" s="2"/>
      <c r="D204" s="56"/>
      <c r="E204" s="56"/>
      <c r="F204" s="56"/>
      <c r="G204" s="58"/>
      <c r="H204" s="365">
        <f>$F191*H$33*(1-SUM($H192:H192))-$F191*$F194*(1-SUM($H192:H192))</f>
        <v>0</v>
      </c>
      <c r="I204" s="365">
        <f>$F191*I$33*(1-SUM($H192:I192))-$F191*H$33*(1-SUM($H192:I192))</f>
        <v>0</v>
      </c>
      <c r="J204" s="365">
        <f>$F191*J$33*(1-SUM($H192:J192))-$F191*I$33*(1-SUM($H192:J192))</f>
        <v>0</v>
      </c>
      <c r="K204" s="365">
        <f>$F191*K$33*(1-SUM($H192:K192))-$F191*J$33*(1-SUM($H192:K192))</f>
        <v>0</v>
      </c>
      <c r="L204" s="365">
        <f>$F191*L$33*(1-SUM($H192:L192))-$F191*K$33*(1-SUM($H192:L192))</f>
        <v>0</v>
      </c>
      <c r="M204" s="365">
        <f>$F191*M$33*(1-SUM($H192:M192))-$F191*L$33*(1-SUM($H192:M192))</f>
        <v>0</v>
      </c>
      <c r="N204" s="365">
        <f>$F191*N$33*(1-SUM($H192:N192))-$F191*M$33*(1-SUM($H192:N192))</f>
        <v>0</v>
      </c>
      <c r="O204" s="365">
        <f>$F191*O$33*(1-SUM($H192:O192))-$F191*N$33*(1-SUM($H192:O192))</f>
        <v>0</v>
      </c>
      <c r="P204" s="365">
        <f>$F191*P$33*(1-SUM($H192:P192))-$F191*O$33*(1-SUM($H192:P192))</f>
        <v>0</v>
      </c>
      <c r="Q204" s="365">
        <f>$F191*Q$33*(1-SUM($H192:Q192))-$F191*P$33*(1-SUM($H192:Q192))</f>
        <v>0</v>
      </c>
      <c r="R204" s="365">
        <f>$F191*R$33*(1-SUM($H192:R192))-$F191*Q$33*(1-SUM($H192:R192))</f>
        <v>0</v>
      </c>
      <c r="S204" s="365">
        <f>$F191*S$33*(1-SUM($H192:S192))-$F191*R$33*(1-SUM($H192:S192))</f>
        <v>0</v>
      </c>
      <c r="T204" s="365">
        <f>$F191*T$33*(1-SUM($H192:T192))-$F191*S$33*(1-SUM($H192:T192))</f>
        <v>0</v>
      </c>
      <c r="U204" s="365">
        <f>$F191*U$33*(1-SUM($H192:U192))-$F191*T$33*(1-SUM($H192:U192))</f>
        <v>0</v>
      </c>
      <c r="V204" s="365">
        <f>$F191*V$33*(1-SUM($H192:V192))-$F191*U$33*(1-SUM($H192:V192))</f>
        <v>0</v>
      </c>
      <c r="W204" s="365">
        <f>$F191*W$33*(1-SUM($H192:W192))-$F191*V$33*(1-SUM($H192:W192))</f>
        <v>0</v>
      </c>
      <c r="X204" s="365">
        <f>$F191*X$33*(1-SUM($H192:X192))-$F191*W$33*(1-SUM($H192:X192))</f>
        <v>0</v>
      </c>
      <c r="Y204" s="365">
        <f>$F191*Y$33*(1-SUM($H192:Y192))-$F191*X$33*(1-SUM($H192:Y192))</f>
        <v>0</v>
      </c>
      <c r="Z204" s="365">
        <f>$F191*Z$33*(1-SUM($H192:Z192))-$F191*Y$33*(1-SUM($H192:Z192))</f>
        <v>0</v>
      </c>
      <c r="AA204" s="365">
        <f>$F191*AA$33*(1-SUM($H192:AA192))-$F191*Z$33*(1-SUM($H192:AA192))</f>
        <v>0</v>
      </c>
      <c r="AB204" s="365">
        <f>$F191*AB$33*(1-SUM($H192:AB192))-$F191*AA$33*(1-SUM($H192:AB192))</f>
        <v>0</v>
      </c>
    </row>
    <row r="205" spans="1:28">
      <c r="A205" s="95">
        <f t="shared" si="129"/>
        <v>87</v>
      </c>
      <c r="D205" s="351"/>
      <c r="E205" s="351"/>
      <c r="F205" s="351"/>
      <c r="G205" s="352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</row>
    <row r="206" spans="1:28">
      <c r="A206" s="95">
        <f t="shared" si="129"/>
        <v>88</v>
      </c>
      <c r="D206" s="351"/>
      <c r="E206" s="351"/>
      <c r="F206" s="351"/>
      <c r="G206" s="352"/>
    </row>
    <row r="207" spans="1:28">
      <c r="A207" s="95">
        <f t="shared" si="129"/>
        <v>89</v>
      </c>
      <c r="B207" s="28" t="s">
        <v>163</v>
      </c>
      <c r="C207" s="26"/>
      <c r="D207" s="134">
        <f>$G$7</f>
        <v>40908</v>
      </c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>
      <c r="A208" s="95">
        <f t="shared" si="129"/>
        <v>90</v>
      </c>
      <c r="D208" s="351"/>
      <c r="E208" s="351"/>
      <c r="F208" s="351"/>
      <c r="G208" s="352"/>
    </row>
    <row r="209" spans="1:28">
      <c r="A209" s="95">
        <f t="shared" si="129"/>
        <v>91</v>
      </c>
      <c r="B209" s="2" t="s">
        <v>104</v>
      </c>
      <c r="C209" s="2"/>
      <c r="D209" s="150">
        <v>0</v>
      </c>
      <c r="E209" s="76" t="s">
        <v>369</v>
      </c>
      <c r="F209" s="53">
        <v>0</v>
      </c>
      <c r="G209" s="50"/>
      <c r="H209" s="70">
        <f>F209*F212</f>
        <v>0</v>
      </c>
      <c r="I209" s="70">
        <f t="shared" ref="I209:AB209" si="132">H212</f>
        <v>0</v>
      </c>
      <c r="J209" s="70">
        <f t="shared" si="132"/>
        <v>0</v>
      </c>
      <c r="K209" s="70">
        <f t="shared" si="132"/>
        <v>0</v>
      </c>
      <c r="L209" s="70">
        <f t="shared" si="132"/>
        <v>0</v>
      </c>
      <c r="M209" s="70">
        <f t="shared" si="132"/>
        <v>0</v>
      </c>
      <c r="N209" s="70">
        <f t="shared" si="132"/>
        <v>0</v>
      </c>
      <c r="O209" s="70">
        <f t="shared" si="132"/>
        <v>0</v>
      </c>
      <c r="P209" s="70">
        <f t="shared" si="132"/>
        <v>0</v>
      </c>
      <c r="Q209" s="70">
        <f t="shared" si="132"/>
        <v>0</v>
      </c>
      <c r="R209" s="70">
        <f t="shared" si="132"/>
        <v>0</v>
      </c>
      <c r="S209" s="70">
        <f t="shared" si="132"/>
        <v>0</v>
      </c>
      <c r="T209" s="70">
        <f t="shared" si="132"/>
        <v>0</v>
      </c>
      <c r="U209" s="70">
        <f t="shared" si="132"/>
        <v>0</v>
      </c>
      <c r="V209" s="70">
        <f t="shared" si="132"/>
        <v>0</v>
      </c>
      <c r="W209" s="70">
        <f t="shared" si="132"/>
        <v>0</v>
      </c>
      <c r="X209" s="70">
        <f t="shared" si="132"/>
        <v>0</v>
      </c>
      <c r="Y209" s="70">
        <f t="shared" si="132"/>
        <v>0</v>
      </c>
      <c r="Z209" s="70">
        <f t="shared" si="132"/>
        <v>0</v>
      </c>
      <c r="AA209" s="70">
        <f t="shared" si="132"/>
        <v>0</v>
      </c>
      <c r="AB209" s="70">
        <f t="shared" si="132"/>
        <v>0</v>
      </c>
    </row>
    <row r="210" spans="1:28" s="39" customFormat="1">
      <c r="A210" s="95">
        <f t="shared" si="129"/>
        <v>92</v>
      </c>
      <c r="B210" s="345" t="s">
        <v>79</v>
      </c>
      <c r="C210"/>
      <c r="D210"/>
      <c r="E210" s="351"/>
      <c r="F210" s="357"/>
      <c r="G210" s="352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361"/>
      <c r="AB210" s="361"/>
    </row>
    <row r="211" spans="1:28">
      <c r="A211" s="95">
        <f t="shared" si="129"/>
        <v>93</v>
      </c>
      <c r="B211" s="345" t="s">
        <v>101</v>
      </c>
      <c r="E211" s="351"/>
      <c r="F211" s="357"/>
      <c r="G211" s="352"/>
      <c r="H211" s="356">
        <f>H210*$F209*H$33</f>
        <v>0</v>
      </c>
      <c r="I211" s="356">
        <f>I210*$F209*I$33</f>
        <v>0</v>
      </c>
      <c r="J211" s="356">
        <f t="shared" ref="J211:AB211" si="133">J210*$F209*J$33</f>
        <v>0</v>
      </c>
      <c r="K211" s="356">
        <f t="shared" si="133"/>
        <v>0</v>
      </c>
      <c r="L211" s="356">
        <f t="shared" si="133"/>
        <v>0</v>
      </c>
      <c r="M211" s="356">
        <f t="shared" si="133"/>
        <v>0</v>
      </c>
      <c r="N211" s="356">
        <f t="shared" si="133"/>
        <v>0</v>
      </c>
      <c r="O211" s="356">
        <f t="shared" si="133"/>
        <v>0</v>
      </c>
      <c r="P211" s="356">
        <f t="shared" si="133"/>
        <v>0</v>
      </c>
      <c r="Q211" s="356">
        <f t="shared" si="133"/>
        <v>0</v>
      </c>
      <c r="R211" s="356">
        <f t="shared" si="133"/>
        <v>0</v>
      </c>
      <c r="S211" s="356">
        <f t="shared" si="133"/>
        <v>0</v>
      </c>
      <c r="T211" s="356">
        <f t="shared" si="133"/>
        <v>0</v>
      </c>
      <c r="U211" s="356">
        <f t="shared" si="133"/>
        <v>0</v>
      </c>
      <c r="V211" s="356">
        <f t="shared" si="133"/>
        <v>0</v>
      </c>
      <c r="W211" s="356">
        <f t="shared" si="133"/>
        <v>0</v>
      </c>
      <c r="X211" s="356">
        <f t="shared" si="133"/>
        <v>0</v>
      </c>
      <c r="Y211" s="356">
        <f t="shared" si="133"/>
        <v>0</v>
      </c>
      <c r="Z211" s="356">
        <f t="shared" si="133"/>
        <v>0</v>
      </c>
      <c r="AA211" s="356">
        <f t="shared" si="133"/>
        <v>0</v>
      </c>
      <c r="AB211" s="356">
        <f t="shared" si="133"/>
        <v>0</v>
      </c>
    </row>
    <row r="212" spans="1:28">
      <c r="A212" s="95">
        <f t="shared" si="129"/>
        <v>94</v>
      </c>
      <c r="B212" s="2" t="s">
        <v>102</v>
      </c>
      <c r="C212" s="2"/>
      <c r="D212" s="2"/>
      <c r="E212" s="75" t="s">
        <v>370</v>
      </c>
      <c r="F212" s="363">
        <v>1.6</v>
      </c>
      <c r="G212" s="58"/>
      <c r="H212" s="69">
        <f>$F209*(1-SUM($H210:H210))*H$33</f>
        <v>0</v>
      </c>
      <c r="I212" s="69">
        <f>$F209*(1-SUM($H210:I210))*I$33</f>
        <v>0</v>
      </c>
      <c r="J212" s="69">
        <f>$F209*(1-SUM($H210:J210))*J$33</f>
        <v>0</v>
      </c>
      <c r="K212" s="69">
        <f>$F209*(1-SUM($H210:K210))*K$33</f>
        <v>0</v>
      </c>
      <c r="L212" s="69">
        <f>$F209*(1-SUM($H210:L210))*L$33</f>
        <v>0</v>
      </c>
      <c r="M212" s="69">
        <f>$F209*(1-SUM($H210:M210))*M$33</f>
        <v>0</v>
      </c>
      <c r="N212" s="69">
        <f>$F209*(1-SUM($H210:N210))*N$33</f>
        <v>0</v>
      </c>
      <c r="O212" s="69">
        <f>$F209*(1-SUM($H210:O210))*O$33</f>
        <v>0</v>
      </c>
      <c r="P212" s="69">
        <f>$F209*(1-SUM($H210:P210))*P$33</f>
        <v>0</v>
      </c>
      <c r="Q212" s="69">
        <f>$F209*(1-SUM($H210:Q210))*Q$33</f>
        <v>0</v>
      </c>
      <c r="R212" s="69">
        <f>$F209*(1-SUM($H210:R210))*R$33</f>
        <v>0</v>
      </c>
      <c r="S212" s="69">
        <f>$F209*(1-SUM($H210:S210))*S$33</f>
        <v>0</v>
      </c>
      <c r="T212" s="69">
        <f>$F209*(1-SUM($H210:T210))*T$33</f>
        <v>0</v>
      </c>
      <c r="U212" s="69">
        <f>$F209*(1-SUM($H210:U210))*U$33</f>
        <v>0</v>
      </c>
      <c r="V212" s="69">
        <f>$F209*(1-SUM($H210:V210))*V$33</f>
        <v>0</v>
      </c>
      <c r="W212" s="69">
        <f>$F209*(1-SUM($H210:W210))*W$33</f>
        <v>0</v>
      </c>
      <c r="X212" s="69">
        <f>$F209*(1-SUM($H210:X210))*X$33</f>
        <v>0</v>
      </c>
      <c r="Y212" s="69">
        <f>$F209*(1-SUM($H210:Y210))*Y$33</f>
        <v>0</v>
      </c>
      <c r="Z212" s="69">
        <f>$F209*(1-SUM($H210:Z210))*Z$33</f>
        <v>0</v>
      </c>
      <c r="AA212" s="69">
        <f>$F209*(1-SUM($H210:AA210))*AA$33</f>
        <v>0</v>
      </c>
      <c r="AB212" s="69">
        <f>$F209*(1-SUM($H210:AB210))*AB$33</f>
        <v>0</v>
      </c>
    </row>
    <row r="213" spans="1:28">
      <c r="A213" s="95">
        <f t="shared" si="129"/>
        <v>95</v>
      </c>
      <c r="B213" s="345"/>
      <c r="G213" s="352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  <c r="AA213" s="358"/>
      <c r="AB213" s="358"/>
    </row>
    <row r="214" spans="1:28">
      <c r="A214" s="95">
        <f t="shared" si="129"/>
        <v>96</v>
      </c>
      <c r="B214" s="345" t="s">
        <v>2</v>
      </c>
      <c r="E214" s="351"/>
      <c r="F214" s="351"/>
      <c r="G214" s="352"/>
      <c r="H214" s="79">
        <f>Anual!R86/100</f>
        <v>5.1847134073820921E-3</v>
      </c>
      <c r="I214" s="79">
        <f>Anual!S86/100</f>
        <v>9.2379200645800932E-3</v>
      </c>
      <c r="J214" s="79">
        <f>Anual!T86/100</f>
        <v>1.4999999999999999E-2</v>
      </c>
      <c r="K214" s="79">
        <f>Anual!U86/100</f>
        <v>1.4999999999999999E-2</v>
      </c>
      <c r="L214" s="79">
        <f>Anual!V86/100</f>
        <v>1.4999999999999999E-2</v>
      </c>
      <c r="M214" s="79">
        <f>Anual!W86/100</f>
        <v>1.4999999999999999E-2</v>
      </c>
      <c r="N214" s="79">
        <f>Anual!X86/100</f>
        <v>0.02</v>
      </c>
      <c r="O214" s="79">
        <f>Anual!Y86/100</f>
        <v>0.02</v>
      </c>
      <c r="P214" s="79">
        <f>Anual!Z86/100</f>
        <v>0.02</v>
      </c>
      <c r="Q214" s="79">
        <f>Anual!AA86/100</f>
        <v>0.02</v>
      </c>
      <c r="R214" s="79">
        <f>Anual!AB86/100</f>
        <v>0.04</v>
      </c>
      <c r="S214" s="79" t="e">
        <f>Anual!AC86/100</f>
        <v>#VALUE!</v>
      </c>
      <c r="T214" s="79" t="e">
        <f>Anual!AD86/100</f>
        <v>#VALUE!</v>
      </c>
      <c r="U214" s="79" t="e">
        <f>Anual!AE86/100</f>
        <v>#VALUE!</v>
      </c>
      <c r="V214" s="79" t="e">
        <f>Anual!AF86/100</f>
        <v>#VALUE!</v>
      </c>
      <c r="W214" s="79" t="e">
        <f>Anual!AG86/100</f>
        <v>#VALUE!</v>
      </c>
      <c r="X214" s="79" t="e">
        <f>Anual!AH86/100</f>
        <v>#VALUE!</v>
      </c>
      <c r="Y214" s="79" t="e">
        <f>Anual!AI86/100</f>
        <v>#VALUE!</v>
      </c>
      <c r="Z214" s="79" t="e">
        <f>Anual!AJ86/100</f>
        <v>#VALUE!</v>
      </c>
      <c r="AA214" s="79" t="e">
        <f>Anual!AK86/100</f>
        <v>#VALUE!</v>
      </c>
      <c r="AB214" s="79" t="e">
        <f>Anual!AL86/100</f>
        <v>#VALUE!</v>
      </c>
    </row>
    <row r="215" spans="1:28">
      <c r="A215" s="95">
        <f t="shared" si="129"/>
        <v>97</v>
      </c>
      <c r="B215" s="345" t="s">
        <v>75</v>
      </c>
      <c r="E215" s="351"/>
      <c r="F215" s="351"/>
      <c r="G215" s="352"/>
      <c r="H215" s="349">
        <f>H214*(H$7-$D207)/360</f>
        <v>5.2711252975051271E-3</v>
      </c>
      <c r="I215" s="349">
        <f t="shared" ref="I215:AB215" si="134">I214*(I$7-$D207)/360-H214*(H$7-$D207)/360</f>
        <v>1.3486984611406117E-2</v>
      </c>
      <c r="J215" s="349">
        <f t="shared" si="134"/>
        <v>2.6908556757755418E-2</v>
      </c>
      <c r="K215" s="349">
        <f t="shared" si="134"/>
        <v>1.5208333333333338E-2</v>
      </c>
      <c r="L215" s="349">
        <f t="shared" si="134"/>
        <v>1.525E-2</v>
      </c>
      <c r="M215" s="349">
        <f t="shared" si="134"/>
        <v>1.5208333333333324E-2</v>
      </c>
      <c r="N215" s="349">
        <f t="shared" si="134"/>
        <v>5.0722222222222224E-2</v>
      </c>
      <c r="O215" s="349">
        <f t="shared" si="134"/>
        <v>2.0277777777777783E-2</v>
      </c>
      <c r="P215" s="349">
        <f t="shared" si="134"/>
        <v>2.0333333333333342E-2</v>
      </c>
      <c r="Q215" s="349">
        <f t="shared" si="134"/>
        <v>2.0277777777777783E-2</v>
      </c>
      <c r="R215" s="349">
        <f t="shared" si="134"/>
        <v>0.24349999999999997</v>
      </c>
      <c r="S215" s="349" t="e">
        <f t="shared" si="134"/>
        <v>#VALUE!</v>
      </c>
      <c r="T215" s="349" t="e">
        <f t="shared" si="134"/>
        <v>#VALUE!</v>
      </c>
      <c r="U215" s="349" t="e">
        <f t="shared" si="134"/>
        <v>#VALUE!</v>
      </c>
      <c r="V215" s="349" t="e">
        <f t="shared" si="134"/>
        <v>#VALUE!</v>
      </c>
      <c r="W215" s="349" t="e">
        <f t="shared" si="134"/>
        <v>#VALUE!</v>
      </c>
      <c r="X215" s="349" t="e">
        <f t="shared" si="134"/>
        <v>#VALUE!</v>
      </c>
      <c r="Y215" s="349" t="e">
        <f t="shared" si="134"/>
        <v>#VALUE!</v>
      </c>
      <c r="Z215" s="349" t="e">
        <f t="shared" si="134"/>
        <v>#VALUE!</v>
      </c>
      <c r="AA215" s="349" t="e">
        <f t="shared" si="134"/>
        <v>#VALUE!</v>
      </c>
      <c r="AB215" s="349" t="e">
        <f t="shared" si="134"/>
        <v>#VALUE!</v>
      </c>
    </row>
    <row r="216" spans="1:28">
      <c r="A216" s="95">
        <f t="shared" si="129"/>
        <v>98</v>
      </c>
      <c r="B216" s="345" t="s">
        <v>76</v>
      </c>
      <c r="E216" s="351"/>
      <c r="F216" s="350">
        <v>2.5000000000000001E-2</v>
      </c>
      <c r="G216" s="352"/>
      <c r="H216" s="353">
        <f>((1+H214)*(1+$F216))-1</f>
        <v>3.0314331242566661E-2</v>
      </c>
      <c r="I216" s="353">
        <f t="shared" ref="I216:AB216" si="135">((1+I214)*(1+$F216))-1</f>
        <v>3.4468868066194425E-2</v>
      </c>
      <c r="J216" s="353">
        <f t="shared" si="135"/>
        <v>4.0374999999999828E-2</v>
      </c>
      <c r="K216" s="353">
        <f t="shared" si="135"/>
        <v>4.0374999999999828E-2</v>
      </c>
      <c r="L216" s="353">
        <f t="shared" si="135"/>
        <v>4.0374999999999828E-2</v>
      </c>
      <c r="M216" s="353">
        <f t="shared" si="135"/>
        <v>4.0374999999999828E-2</v>
      </c>
      <c r="N216" s="353">
        <f t="shared" si="135"/>
        <v>4.5499999999999874E-2</v>
      </c>
      <c r="O216" s="353">
        <f t="shared" si="135"/>
        <v>4.5499999999999874E-2</v>
      </c>
      <c r="P216" s="353">
        <f t="shared" si="135"/>
        <v>4.5499999999999874E-2</v>
      </c>
      <c r="Q216" s="353">
        <f t="shared" si="135"/>
        <v>4.5499999999999874E-2</v>
      </c>
      <c r="R216" s="353">
        <f t="shared" si="135"/>
        <v>6.5999999999999837E-2</v>
      </c>
      <c r="S216" s="353" t="e">
        <f t="shared" si="135"/>
        <v>#VALUE!</v>
      </c>
      <c r="T216" s="353" t="e">
        <f t="shared" si="135"/>
        <v>#VALUE!</v>
      </c>
      <c r="U216" s="353" t="e">
        <f t="shared" si="135"/>
        <v>#VALUE!</v>
      </c>
      <c r="V216" s="353" t="e">
        <f t="shared" si="135"/>
        <v>#VALUE!</v>
      </c>
      <c r="W216" s="353" t="e">
        <f t="shared" si="135"/>
        <v>#VALUE!</v>
      </c>
      <c r="X216" s="353" t="e">
        <f t="shared" si="135"/>
        <v>#VALUE!</v>
      </c>
      <c r="Y216" s="353" t="e">
        <f t="shared" si="135"/>
        <v>#VALUE!</v>
      </c>
      <c r="Z216" s="353" t="e">
        <f t="shared" si="135"/>
        <v>#VALUE!</v>
      </c>
      <c r="AA216" s="353" t="e">
        <f t="shared" si="135"/>
        <v>#VALUE!</v>
      </c>
      <c r="AB216" s="353" t="e">
        <f t="shared" si="135"/>
        <v>#VALUE!</v>
      </c>
    </row>
    <row r="217" spans="1:28">
      <c r="A217" s="95">
        <f t="shared" si="129"/>
        <v>99</v>
      </c>
      <c r="B217" s="345" t="s">
        <v>105</v>
      </c>
      <c r="E217" s="351"/>
      <c r="F217" s="351"/>
      <c r="G217" s="10"/>
      <c r="H217" s="353">
        <f>H199</f>
        <v>-0.11712529258537158</v>
      </c>
      <c r="I217" s="353">
        <f t="shared" ref="I217:AB217" si="136">I199</f>
        <v>-4.8341331917666826E-2</v>
      </c>
      <c r="J217" s="353">
        <f t="shared" si="136"/>
        <v>0.16173497140413545</v>
      </c>
      <c r="K217" s="353">
        <f t="shared" si="136"/>
        <v>5.3512169554724438E-2</v>
      </c>
      <c r="L217" s="353">
        <f t="shared" si="136"/>
        <v>4.6987087517934609E-2</v>
      </c>
      <c r="M217" s="353">
        <f t="shared" si="136"/>
        <v>4.6621526308365198E-2</v>
      </c>
      <c r="N217" s="353">
        <f t="shared" si="136"/>
        <v>4.9019607843136734E-2</v>
      </c>
      <c r="O217" s="353">
        <f t="shared" si="136"/>
        <v>4.4000375269725167E-2</v>
      </c>
      <c r="P217" s="353">
        <f t="shared" si="136"/>
        <v>3.4219457013574747E-2</v>
      </c>
      <c r="Q217" s="353">
        <f t="shared" si="136"/>
        <v>2.9411764705882439E-2</v>
      </c>
      <c r="R217" s="353">
        <f t="shared" si="136"/>
        <v>2.9411764705882408E-2</v>
      </c>
      <c r="S217" s="353">
        <f t="shared" si="136"/>
        <v>2.9411764705882363E-2</v>
      </c>
      <c r="T217" s="353">
        <f t="shared" si="136"/>
        <v>2.9411764705882405E-2</v>
      </c>
      <c r="U217" s="353">
        <f t="shared" si="136"/>
        <v>2.9411764705882335E-2</v>
      </c>
      <c r="V217" s="353">
        <f t="shared" si="136"/>
        <v>2.9411764705882467E-2</v>
      </c>
      <c r="W217" s="353">
        <f t="shared" si="136"/>
        <v>2.9411764705882457E-2</v>
      </c>
      <c r="X217" s="353">
        <f t="shared" si="136"/>
        <v>2.9411764705882346E-2</v>
      </c>
      <c r="Y217" s="353">
        <f t="shared" si="136"/>
        <v>2.9411764705882387E-2</v>
      </c>
      <c r="Z217" s="353">
        <f t="shared" si="136"/>
        <v>2.9411764705882425E-2</v>
      </c>
      <c r="AA217" s="353">
        <f t="shared" si="136"/>
        <v>2.9411764705882415E-2</v>
      </c>
      <c r="AB217" s="353">
        <f t="shared" si="136"/>
        <v>2.9411764705882332E-2</v>
      </c>
    </row>
    <row r="218" spans="1:28">
      <c r="A218" s="95">
        <f t="shared" si="129"/>
        <v>100</v>
      </c>
      <c r="F218" s="39"/>
    </row>
    <row r="219" spans="1:28">
      <c r="A219" s="95">
        <f t="shared" si="129"/>
        <v>101</v>
      </c>
      <c r="B219" s="345" t="s">
        <v>103</v>
      </c>
      <c r="C219" s="345"/>
      <c r="D219" s="345"/>
      <c r="E219" s="357"/>
      <c r="F219" s="350">
        <v>0</v>
      </c>
      <c r="G219" s="352"/>
      <c r="H219" s="360">
        <f>F209*F219</f>
        <v>0</v>
      </c>
      <c r="I219" s="360">
        <v>0</v>
      </c>
      <c r="J219" s="360">
        <v>0</v>
      </c>
      <c r="K219" s="360">
        <v>0</v>
      </c>
      <c r="L219" s="360">
        <v>0</v>
      </c>
      <c r="M219" s="360">
        <v>0</v>
      </c>
      <c r="N219" s="360">
        <v>0</v>
      </c>
      <c r="O219" s="360">
        <v>0</v>
      </c>
      <c r="P219" s="360">
        <v>0</v>
      </c>
      <c r="Q219" s="360">
        <v>0</v>
      </c>
      <c r="R219" s="360">
        <v>0</v>
      </c>
      <c r="S219" s="360">
        <v>0</v>
      </c>
      <c r="T219" s="360">
        <v>0</v>
      </c>
      <c r="U219" s="360">
        <v>0</v>
      </c>
      <c r="V219" s="360">
        <v>0</v>
      </c>
      <c r="W219" s="360">
        <v>0</v>
      </c>
      <c r="X219" s="360">
        <v>0</v>
      </c>
      <c r="Y219" s="360">
        <v>0</v>
      </c>
      <c r="Z219" s="360">
        <v>0</v>
      </c>
      <c r="AA219" s="360">
        <v>0</v>
      </c>
      <c r="AB219" s="360">
        <v>0</v>
      </c>
    </row>
    <row r="220" spans="1:28">
      <c r="A220" s="95">
        <f t="shared" si="129"/>
        <v>102</v>
      </c>
      <c r="B220" s="2" t="s">
        <v>232</v>
      </c>
      <c r="C220" s="2"/>
      <c r="D220" s="56"/>
      <c r="E220" s="56"/>
      <c r="F220" s="56"/>
      <c r="G220" s="58"/>
      <c r="H220" s="68">
        <f t="shared" ref="H220:AB220" si="137">H219+H209*((1+H216)*(1+H217)-1)</f>
        <v>0</v>
      </c>
      <c r="I220" s="68">
        <f t="shared" si="137"/>
        <v>0</v>
      </c>
      <c r="J220" s="68">
        <f t="shared" si="137"/>
        <v>0</v>
      </c>
      <c r="K220" s="68">
        <f t="shared" si="137"/>
        <v>0</v>
      </c>
      <c r="L220" s="68">
        <f t="shared" si="137"/>
        <v>0</v>
      </c>
      <c r="M220" s="68">
        <f t="shared" si="137"/>
        <v>0</v>
      </c>
      <c r="N220" s="68">
        <f t="shared" si="137"/>
        <v>0</v>
      </c>
      <c r="O220" s="68">
        <f t="shared" si="137"/>
        <v>0</v>
      </c>
      <c r="P220" s="68">
        <f t="shared" si="137"/>
        <v>0</v>
      </c>
      <c r="Q220" s="68">
        <f t="shared" si="137"/>
        <v>0</v>
      </c>
      <c r="R220" s="68">
        <f t="shared" si="137"/>
        <v>0</v>
      </c>
      <c r="S220" s="68" t="e">
        <f t="shared" si="137"/>
        <v>#VALUE!</v>
      </c>
      <c r="T220" s="68" t="e">
        <f t="shared" si="137"/>
        <v>#VALUE!</v>
      </c>
      <c r="U220" s="68" t="e">
        <f t="shared" si="137"/>
        <v>#VALUE!</v>
      </c>
      <c r="V220" s="68" t="e">
        <f t="shared" si="137"/>
        <v>#VALUE!</v>
      </c>
      <c r="W220" s="68" t="e">
        <f t="shared" si="137"/>
        <v>#VALUE!</v>
      </c>
      <c r="X220" s="68" t="e">
        <f t="shared" si="137"/>
        <v>#VALUE!</v>
      </c>
      <c r="Y220" s="68" t="e">
        <f t="shared" si="137"/>
        <v>#VALUE!</v>
      </c>
      <c r="Z220" s="68" t="e">
        <f t="shared" si="137"/>
        <v>#VALUE!</v>
      </c>
      <c r="AA220" s="68" t="e">
        <f t="shared" si="137"/>
        <v>#VALUE!</v>
      </c>
      <c r="AB220" s="68" t="e">
        <f t="shared" si="137"/>
        <v>#VALUE!</v>
      </c>
    </row>
    <row r="221" spans="1:28">
      <c r="A221" s="95">
        <f t="shared" si="129"/>
        <v>103</v>
      </c>
      <c r="B221" s="345" t="s">
        <v>167</v>
      </c>
      <c r="C221" s="2"/>
      <c r="D221" s="56"/>
      <c r="E221" s="56"/>
      <c r="F221" s="56"/>
      <c r="G221" s="129"/>
      <c r="H221" s="365">
        <f>$F209*H$33*H210-$F209*$F212*H210</f>
        <v>0</v>
      </c>
      <c r="I221" s="365">
        <f>$F209*I$33*I210-$F209*H$33*I210</f>
        <v>0</v>
      </c>
      <c r="J221" s="365">
        <f>$F209*J$33*J210-$F209*I$33*J210</f>
        <v>0</v>
      </c>
      <c r="K221" s="365">
        <f t="shared" ref="K221:AB221" si="138">$F209*K$33*K210-$F209*J$33*K210</f>
        <v>0</v>
      </c>
      <c r="L221" s="365">
        <f t="shared" si="138"/>
        <v>0</v>
      </c>
      <c r="M221" s="365">
        <f t="shared" si="138"/>
        <v>0</v>
      </c>
      <c r="N221" s="365">
        <f t="shared" si="138"/>
        <v>0</v>
      </c>
      <c r="O221" s="365">
        <f t="shared" si="138"/>
        <v>0</v>
      </c>
      <c r="P221" s="365">
        <f t="shared" si="138"/>
        <v>0</v>
      </c>
      <c r="Q221" s="365">
        <f t="shared" si="138"/>
        <v>0</v>
      </c>
      <c r="R221" s="365">
        <f t="shared" si="138"/>
        <v>0</v>
      </c>
      <c r="S221" s="365">
        <f t="shared" si="138"/>
        <v>0</v>
      </c>
      <c r="T221" s="365">
        <f t="shared" si="138"/>
        <v>0</v>
      </c>
      <c r="U221" s="365">
        <f t="shared" si="138"/>
        <v>0</v>
      </c>
      <c r="V221" s="365">
        <f t="shared" si="138"/>
        <v>0</v>
      </c>
      <c r="W221" s="365">
        <f t="shared" si="138"/>
        <v>0</v>
      </c>
      <c r="X221" s="365">
        <f t="shared" si="138"/>
        <v>0</v>
      </c>
      <c r="Y221" s="365">
        <f t="shared" si="138"/>
        <v>0</v>
      </c>
      <c r="Z221" s="365">
        <f t="shared" si="138"/>
        <v>0</v>
      </c>
      <c r="AA221" s="365">
        <f t="shared" si="138"/>
        <v>0</v>
      </c>
      <c r="AB221" s="365">
        <f t="shared" si="138"/>
        <v>0</v>
      </c>
    </row>
    <row r="222" spans="1:28">
      <c r="A222" s="95">
        <f t="shared" si="129"/>
        <v>104</v>
      </c>
      <c r="B222" s="345" t="s">
        <v>106</v>
      </c>
      <c r="H222" s="365">
        <f>$F209*H$33*(1-SUM($H210:H210))-$F209*$F212*(1-SUM($H210:H210))</f>
        <v>0</v>
      </c>
      <c r="I222" s="365">
        <f>$F209*I$33*(1-SUM($H210:I210))-$F209*H$33*(1-SUM($H210:I210))</f>
        <v>0</v>
      </c>
      <c r="J222" s="365">
        <f>$F209*J$33*(1-SUM($H210:J210))-$F209*I$33*(1-SUM($H210:J210))</f>
        <v>0</v>
      </c>
      <c r="K222" s="365">
        <f>$F209*K$33*(1-SUM($H210:K210))-$F209*J$33*(1-SUM($H210:K210))</f>
        <v>0</v>
      </c>
      <c r="L222" s="365">
        <f>$F209*L$33*(1-SUM($H210:L210))-$F209*K$33*(1-SUM($H210:L210))</f>
        <v>0</v>
      </c>
      <c r="M222" s="365">
        <f>$F209*M$33*(1-SUM($H210:M210))-$F209*L$33*(1-SUM($H210:M210))</f>
        <v>0</v>
      </c>
      <c r="N222" s="365">
        <f>$F209*N$33*(1-SUM($H210:N210))-$F209*M$33*(1-SUM($H210:N210))</f>
        <v>0</v>
      </c>
      <c r="O222" s="365">
        <f>$F209*O$33*(1-SUM($H210:O210))-$F209*N$33*(1-SUM($H210:O210))</f>
        <v>0</v>
      </c>
      <c r="P222" s="365">
        <f>$F209*P$33*(1-SUM($H210:P210))-$F209*O$33*(1-SUM($H210:P210))</f>
        <v>0</v>
      </c>
      <c r="Q222" s="365">
        <f>$F209*Q$33*(1-SUM($H210:Q210))-$F209*P$33*(1-SUM($H210:Q210))</f>
        <v>0</v>
      </c>
      <c r="R222" s="365">
        <f>$F209*R$33*(1-SUM($H210:R210))-$F209*Q$33*(1-SUM($H210:R210))</f>
        <v>0</v>
      </c>
      <c r="S222" s="365">
        <f>$F209*S$33*(1-SUM($H210:S210))-$F209*R$33*(1-SUM($H210:S210))</f>
        <v>0</v>
      </c>
      <c r="T222" s="365">
        <f>$F209*T$33*(1-SUM($H210:T210))-$F209*S$33*(1-SUM($H210:T210))</f>
        <v>0</v>
      </c>
      <c r="U222" s="365">
        <f>$F209*U$33*(1-SUM($H210:U210))-$F209*T$33*(1-SUM($H210:U210))</f>
        <v>0</v>
      </c>
      <c r="V222" s="365">
        <f>$F209*V$33*(1-SUM($H210:V210))-$F209*U$33*(1-SUM($H210:V210))</f>
        <v>0</v>
      </c>
      <c r="W222" s="365">
        <f>$F209*W$33*(1-SUM($H210:W210))-$F209*V$33*(1-SUM($H210:W210))</f>
        <v>0</v>
      </c>
      <c r="X222" s="365">
        <f>$F209*X$33*(1-SUM($H210:X210))-$F209*W$33*(1-SUM($H210:X210))</f>
        <v>0</v>
      </c>
      <c r="Y222" s="365">
        <f>$F209*Y$33*(1-SUM($H210:Y210))-$F209*X$33*(1-SUM($H210:Y210))</f>
        <v>0</v>
      </c>
      <c r="Z222" s="365">
        <f>$F209*Z$33*(1-SUM($H210:Z210))-$F209*Y$33*(1-SUM($H210:Z210))</f>
        <v>0</v>
      </c>
      <c r="AA222" s="365">
        <f>$F209*AA$33*(1-SUM($H210:AA210))-$F209*Z$33*(1-SUM($H210:AA210))</f>
        <v>0</v>
      </c>
      <c r="AB222" s="365">
        <f>$F209*AB$33*(1-SUM($H210:AB210))-$F209*AA$33*(1-SUM($H210:AB210))</f>
        <v>0</v>
      </c>
    </row>
    <row r="223" spans="1:28">
      <c r="A223" s="95">
        <f t="shared" si="129"/>
        <v>105</v>
      </c>
      <c r="D223" s="351"/>
      <c r="E223" s="351"/>
      <c r="F223" s="351"/>
      <c r="G223" s="352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</row>
    <row r="224" spans="1:28">
      <c r="A224" s="95">
        <f t="shared" si="129"/>
        <v>106</v>
      </c>
      <c r="D224" s="351"/>
      <c r="E224" s="351"/>
      <c r="F224" s="351"/>
      <c r="G224" s="352"/>
    </row>
    <row r="225" spans="1:28">
      <c r="A225" s="95">
        <f t="shared" si="129"/>
        <v>107</v>
      </c>
      <c r="B225" s="28" t="s">
        <v>164</v>
      </c>
      <c r="C225" s="26"/>
      <c r="D225" s="134">
        <f>$G$7</f>
        <v>40908</v>
      </c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>
      <c r="A226" s="95">
        <f t="shared" si="129"/>
        <v>108</v>
      </c>
      <c r="D226" s="351"/>
      <c r="E226" s="351"/>
      <c r="F226" s="351"/>
      <c r="G226" s="352"/>
    </row>
    <row r="227" spans="1:28">
      <c r="A227" s="95">
        <f t="shared" si="129"/>
        <v>109</v>
      </c>
      <c r="B227" s="2" t="s">
        <v>104</v>
      </c>
      <c r="C227" s="2"/>
      <c r="D227" s="150">
        <v>0</v>
      </c>
      <c r="E227" s="76" t="s">
        <v>369</v>
      </c>
      <c r="F227" s="53">
        <v>0</v>
      </c>
      <c r="G227" s="50"/>
      <c r="H227" s="70">
        <f>F227*F230</f>
        <v>0</v>
      </c>
      <c r="I227" s="70">
        <f t="shared" ref="I227:AB227" si="139">H230</f>
        <v>0</v>
      </c>
      <c r="J227" s="70">
        <f t="shared" si="139"/>
        <v>0</v>
      </c>
      <c r="K227" s="70">
        <f t="shared" si="139"/>
        <v>0</v>
      </c>
      <c r="L227" s="70">
        <f t="shared" si="139"/>
        <v>0</v>
      </c>
      <c r="M227" s="70">
        <f t="shared" si="139"/>
        <v>0</v>
      </c>
      <c r="N227" s="70">
        <f t="shared" si="139"/>
        <v>0</v>
      </c>
      <c r="O227" s="70">
        <f t="shared" si="139"/>
        <v>0</v>
      </c>
      <c r="P227" s="70">
        <f t="shared" si="139"/>
        <v>0</v>
      </c>
      <c r="Q227" s="70">
        <f t="shared" si="139"/>
        <v>0</v>
      </c>
      <c r="R227" s="70">
        <f t="shared" si="139"/>
        <v>0</v>
      </c>
      <c r="S227" s="70">
        <f t="shared" si="139"/>
        <v>0</v>
      </c>
      <c r="T227" s="70">
        <f t="shared" si="139"/>
        <v>0</v>
      </c>
      <c r="U227" s="70">
        <f t="shared" si="139"/>
        <v>0</v>
      </c>
      <c r="V227" s="70">
        <f t="shared" si="139"/>
        <v>0</v>
      </c>
      <c r="W227" s="70">
        <f t="shared" si="139"/>
        <v>0</v>
      </c>
      <c r="X227" s="70">
        <f t="shared" si="139"/>
        <v>0</v>
      </c>
      <c r="Y227" s="70">
        <f t="shared" si="139"/>
        <v>0</v>
      </c>
      <c r="Z227" s="70">
        <f t="shared" si="139"/>
        <v>0</v>
      </c>
      <c r="AA227" s="70">
        <f t="shared" si="139"/>
        <v>0</v>
      </c>
      <c r="AB227" s="70">
        <f t="shared" si="139"/>
        <v>0</v>
      </c>
    </row>
    <row r="228" spans="1:28" s="39" customFormat="1">
      <c r="A228" s="95">
        <f t="shared" si="129"/>
        <v>110</v>
      </c>
      <c r="B228" s="345" t="s">
        <v>79</v>
      </c>
      <c r="C228"/>
      <c r="D228"/>
      <c r="E228" s="351"/>
      <c r="F228" s="357"/>
      <c r="G228" s="352"/>
      <c r="H228" s="361"/>
      <c r="I228" s="361"/>
      <c r="J228" s="361"/>
      <c r="K228" s="361"/>
      <c r="L228" s="361"/>
      <c r="M228" s="361"/>
      <c r="N228" s="361"/>
      <c r="O228" s="361"/>
      <c r="P228" s="361"/>
      <c r="Q228" s="361"/>
      <c r="R228" s="361"/>
      <c r="S228" s="361"/>
      <c r="T228" s="361"/>
      <c r="U228" s="361"/>
      <c r="V228" s="361"/>
      <c r="W228" s="361"/>
      <c r="X228" s="361"/>
      <c r="Y228" s="361"/>
      <c r="Z228" s="361"/>
      <c r="AA228" s="361"/>
      <c r="AB228" s="361"/>
    </row>
    <row r="229" spans="1:28">
      <c r="A229" s="95">
        <f t="shared" si="129"/>
        <v>111</v>
      </c>
      <c r="B229" s="345" t="s">
        <v>101</v>
      </c>
      <c r="E229" s="351"/>
      <c r="F229" s="357"/>
      <c r="G229" s="352"/>
      <c r="H229" s="356">
        <f>H228*$F227*H$33</f>
        <v>0</v>
      </c>
      <c r="I229" s="356">
        <f>I228*$F227*I$33</f>
        <v>0</v>
      </c>
      <c r="J229" s="356">
        <f t="shared" ref="J229:AB229" si="140">J228*$F227*J$33</f>
        <v>0</v>
      </c>
      <c r="K229" s="356">
        <f t="shared" si="140"/>
        <v>0</v>
      </c>
      <c r="L229" s="356">
        <f t="shared" si="140"/>
        <v>0</v>
      </c>
      <c r="M229" s="356">
        <f t="shared" si="140"/>
        <v>0</v>
      </c>
      <c r="N229" s="356">
        <f t="shared" si="140"/>
        <v>0</v>
      </c>
      <c r="O229" s="356">
        <f t="shared" si="140"/>
        <v>0</v>
      </c>
      <c r="P229" s="356">
        <f t="shared" si="140"/>
        <v>0</v>
      </c>
      <c r="Q229" s="356">
        <f t="shared" si="140"/>
        <v>0</v>
      </c>
      <c r="R229" s="356">
        <f t="shared" si="140"/>
        <v>0</v>
      </c>
      <c r="S229" s="356">
        <f t="shared" si="140"/>
        <v>0</v>
      </c>
      <c r="T229" s="356">
        <f t="shared" si="140"/>
        <v>0</v>
      </c>
      <c r="U229" s="356">
        <f t="shared" si="140"/>
        <v>0</v>
      </c>
      <c r="V229" s="356">
        <f t="shared" si="140"/>
        <v>0</v>
      </c>
      <c r="W229" s="356">
        <f t="shared" si="140"/>
        <v>0</v>
      </c>
      <c r="X229" s="356">
        <f t="shared" si="140"/>
        <v>0</v>
      </c>
      <c r="Y229" s="356">
        <f t="shared" si="140"/>
        <v>0</v>
      </c>
      <c r="Z229" s="356">
        <f t="shared" si="140"/>
        <v>0</v>
      </c>
      <c r="AA229" s="356">
        <f t="shared" si="140"/>
        <v>0</v>
      </c>
      <c r="AB229" s="356">
        <f t="shared" si="140"/>
        <v>0</v>
      </c>
    </row>
    <row r="230" spans="1:28">
      <c r="A230" s="95">
        <f t="shared" si="129"/>
        <v>112</v>
      </c>
      <c r="B230" s="2" t="s">
        <v>102</v>
      </c>
      <c r="C230" s="2"/>
      <c r="D230" s="2"/>
      <c r="E230" s="75" t="s">
        <v>370</v>
      </c>
      <c r="F230" s="363">
        <v>1.6</v>
      </c>
      <c r="G230" s="58"/>
      <c r="H230" s="69">
        <f>$F227*(1-SUM($H228:H228))*H$33</f>
        <v>0</v>
      </c>
      <c r="I230" s="69">
        <f>$F227*(1-SUM($H228:I228))*I$33</f>
        <v>0</v>
      </c>
      <c r="J230" s="69">
        <f>$F227*(1-SUM($H228:J228))*J$33</f>
        <v>0</v>
      </c>
      <c r="K230" s="69">
        <f>$F227*(1-SUM($H228:K228))*K$33</f>
        <v>0</v>
      </c>
      <c r="L230" s="69">
        <f>$F227*(1-SUM($H228:L228))*L$33</f>
        <v>0</v>
      </c>
      <c r="M230" s="69">
        <f>$F227*(1-SUM($H228:M228))*M$33</f>
        <v>0</v>
      </c>
      <c r="N230" s="69">
        <f>$F227*(1-SUM($H228:N228))*N$33</f>
        <v>0</v>
      </c>
      <c r="O230" s="69">
        <f>$F227*(1-SUM($H228:O228))*O$33</f>
        <v>0</v>
      </c>
      <c r="P230" s="69">
        <f>$F227*(1-SUM($H228:P228))*P$33</f>
        <v>0</v>
      </c>
      <c r="Q230" s="69">
        <f>$F227*(1-SUM($H228:Q228))*Q$33</f>
        <v>0</v>
      </c>
      <c r="R230" s="69">
        <f>$F227*(1-SUM($H228:R228))*R$33</f>
        <v>0</v>
      </c>
      <c r="S230" s="69">
        <f>$F227*(1-SUM($H228:S228))*S$33</f>
        <v>0</v>
      </c>
      <c r="T230" s="69">
        <f>$F227*(1-SUM($H228:T228))*T$33</f>
        <v>0</v>
      </c>
      <c r="U230" s="69">
        <f>$F227*(1-SUM($H228:U228))*U$33</f>
        <v>0</v>
      </c>
      <c r="V230" s="69">
        <f>$F227*(1-SUM($H228:V228))*V$33</f>
        <v>0</v>
      </c>
      <c r="W230" s="69">
        <f>$F227*(1-SUM($H228:W228))*W$33</f>
        <v>0</v>
      </c>
      <c r="X230" s="69">
        <f>$F227*(1-SUM($H228:X228))*X$33</f>
        <v>0</v>
      </c>
      <c r="Y230" s="69">
        <f>$F227*(1-SUM($H228:Y228))*Y$33</f>
        <v>0</v>
      </c>
      <c r="Z230" s="69">
        <f>$F227*(1-SUM($H228:Z228))*Z$33</f>
        <v>0</v>
      </c>
      <c r="AA230" s="69">
        <f>$F227*(1-SUM($H228:AA228))*AA$33</f>
        <v>0</v>
      </c>
      <c r="AB230" s="69">
        <f>$F227*(1-SUM($H228:AB228))*AB$33</f>
        <v>0</v>
      </c>
    </row>
    <row r="231" spans="1:28">
      <c r="A231" s="95">
        <f t="shared" si="129"/>
        <v>113</v>
      </c>
      <c r="B231" s="345"/>
      <c r="G231" s="352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  <c r="AA231" s="358"/>
      <c r="AB231" s="358"/>
    </row>
    <row r="232" spans="1:28">
      <c r="A232" s="95">
        <f t="shared" si="129"/>
        <v>114</v>
      </c>
      <c r="B232" s="345" t="s">
        <v>2</v>
      </c>
      <c r="E232" s="351"/>
      <c r="F232" s="351"/>
      <c r="G232" s="352"/>
      <c r="H232" s="79">
        <f>Anual!R86/100</f>
        <v>5.1847134073820921E-3</v>
      </c>
      <c r="I232" s="79">
        <f>Anual!S86/100</f>
        <v>9.2379200645800932E-3</v>
      </c>
      <c r="J232" s="79">
        <f>Anual!T86/100</f>
        <v>1.4999999999999999E-2</v>
      </c>
      <c r="K232" s="79">
        <f>Anual!U86/100</f>
        <v>1.4999999999999999E-2</v>
      </c>
      <c r="L232" s="79">
        <f>Anual!V86/100</f>
        <v>1.4999999999999999E-2</v>
      </c>
      <c r="M232" s="79">
        <f>Anual!W86/100</f>
        <v>1.4999999999999999E-2</v>
      </c>
      <c r="N232" s="79">
        <f>Anual!X86/100</f>
        <v>0.02</v>
      </c>
      <c r="O232" s="79">
        <f>Anual!Y86/100</f>
        <v>0.02</v>
      </c>
      <c r="P232" s="79">
        <f>Anual!Z86/100</f>
        <v>0.02</v>
      </c>
      <c r="Q232" s="79">
        <f>Anual!AA86/100</f>
        <v>0.02</v>
      </c>
      <c r="R232" s="79">
        <f>Anual!AB86/100</f>
        <v>0.04</v>
      </c>
      <c r="S232" s="79" t="e">
        <f>Anual!AC86/100</f>
        <v>#VALUE!</v>
      </c>
      <c r="T232" s="79" t="e">
        <f>Anual!AD86/100</f>
        <v>#VALUE!</v>
      </c>
      <c r="U232" s="79" t="e">
        <f>Anual!AE86/100</f>
        <v>#VALUE!</v>
      </c>
      <c r="V232" s="79" t="e">
        <f>Anual!AF86/100</f>
        <v>#VALUE!</v>
      </c>
      <c r="W232" s="79" t="e">
        <f>Anual!AG86/100</f>
        <v>#VALUE!</v>
      </c>
      <c r="X232" s="79" t="e">
        <f>Anual!AH86/100</f>
        <v>#VALUE!</v>
      </c>
      <c r="Y232" s="79" t="e">
        <f>Anual!AI86/100</f>
        <v>#VALUE!</v>
      </c>
      <c r="Z232" s="79" t="e">
        <f>Anual!AJ86/100</f>
        <v>#VALUE!</v>
      </c>
      <c r="AA232" s="79" t="e">
        <f>Anual!AK86/100</f>
        <v>#VALUE!</v>
      </c>
      <c r="AB232" s="79" t="e">
        <f>Anual!AL86/100</f>
        <v>#VALUE!</v>
      </c>
    </row>
    <row r="233" spans="1:28">
      <c r="A233" s="95">
        <f t="shared" si="129"/>
        <v>115</v>
      </c>
      <c r="B233" s="345" t="s">
        <v>75</v>
      </c>
      <c r="E233" s="351"/>
      <c r="F233" s="351"/>
      <c r="G233" s="352"/>
      <c r="H233" s="349">
        <f>H232*(H$7-$D225)/360</f>
        <v>5.2711252975051271E-3</v>
      </c>
      <c r="I233" s="349">
        <f t="shared" ref="I233:AB233" si="141">I232*(I$7-$D225)/360-H232*(H$7-$D225)/360</f>
        <v>1.3486984611406117E-2</v>
      </c>
      <c r="J233" s="349">
        <f t="shared" si="141"/>
        <v>2.6908556757755418E-2</v>
      </c>
      <c r="K233" s="349">
        <f t="shared" si="141"/>
        <v>1.5208333333333338E-2</v>
      </c>
      <c r="L233" s="349">
        <f t="shared" si="141"/>
        <v>1.525E-2</v>
      </c>
      <c r="M233" s="349">
        <f t="shared" si="141"/>
        <v>1.5208333333333324E-2</v>
      </c>
      <c r="N233" s="349">
        <f t="shared" si="141"/>
        <v>5.0722222222222224E-2</v>
      </c>
      <c r="O233" s="349">
        <f t="shared" si="141"/>
        <v>2.0277777777777783E-2</v>
      </c>
      <c r="P233" s="349">
        <f t="shared" si="141"/>
        <v>2.0333333333333342E-2</v>
      </c>
      <c r="Q233" s="349">
        <f t="shared" si="141"/>
        <v>2.0277777777777783E-2</v>
      </c>
      <c r="R233" s="349">
        <f t="shared" si="141"/>
        <v>0.24349999999999997</v>
      </c>
      <c r="S233" s="349" t="e">
        <f t="shared" si="141"/>
        <v>#VALUE!</v>
      </c>
      <c r="T233" s="349" t="e">
        <f t="shared" si="141"/>
        <v>#VALUE!</v>
      </c>
      <c r="U233" s="349" t="e">
        <f t="shared" si="141"/>
        <v>#VALUE!</v>
      </c>
      <c r="V233" s="349" t="e">
        <f t="shared" si="141"/>
        <v>#VALUE!</v>
      </c>
      <c r="W233" s="349" t="e">
        <f t="shared" si="141"/>
        <v>#VALUE!</v>
      </c>
      <c r="X233" s="349" t="e">
        <f t="shared" si="141"/>
        <v>#VALUE!</v>
      </c>
      <c r="Y233" s="349" t="e">
        <f t="shared" si="141"/>
        <v>#VALUE!</v>
      </c>
      <c r="Z233" s="349" t="e">
        <f t="shared" si="141"/>
        <v>#VALUE!</v>
      </c>
      <c r="AA233" s="349" t="e">
        <f t="shared" si="141"/>
        <v>#VALUE!</v>
      </c>
      <c r="AB233" s="349" t="e">
        <f t="shared" si="141"/>
        <v>#VALUE!</v>
      </c>
    </row>
    <row r="234" spans="1:28">
      <c r="A234" s="95">
        <f t="shared" si="129"/>
        <v>116</v>
      </c>
      <c r="B234" s="345" t="s">
        <v>76</v>
      </c>
      <c r="E234" s="351"/>
      <c r="F234" s="350">
        <v>2.5000000000000001E-2</v>
      </c>
      <c r="G234" s="352"/>
      <c r="H234" s="353">
        <f>((1+H232)*(1+$F234))-1</f>
        <v>3.0314331242566661E-2</v>
      </c>
      <c r="I234" s="353">
        <f t="shared" ref="I234:AB234" si="142">((1+I232)*(1+$F234))-1</f>
        <v>3.4468868066194425E-2</v>
      </c>
      <c r="J234" s="353">
        <f t="shared" si="142"/>
        <v>4.0374999999999828E-2</v>
      </c>
      <c r="K234" s="353">
        <f t="shared" si="142"/>
        <v>4.0374999999999828E-2</v>
      </c>
      <c r="L234" s="353">
        <f t="shared" si="142"/>
        <v>4.0374999999999828E-2</v>
      </c>
      <c r="M234" s="353">
        <f t="shared" si="142"/>
        <v>4.0374999999999828E-2</v>
      </c>
      <c r="N234" s="353">
        <f t="shared" si="142"/>
        <v>4.5499999999999874E-2</v>
      </c>
      <c r="O234" s="353">
        <f t="shared" si="142"/>
        <v>4.5499999999999874E-2</v>
      </c>
      <c r="P234" s="353">
        <f t="shared" si="142"/>
        <v>4.5499999999999874E-2</v>
      </c>
      <c r="Q234" s="353">
        <f t="shared" si="142"/>
        <v>4.5499999999999874E-2</v>
      </c>
      <c r="R234" s="353">
        <f t="shared" si="142"/>
        <v>6.5999999999999837E-2</v>
      </c>
      <c r="S234" s="353" t="e">
        <f t="shared" si="142"/>
        <v>#VALUE!</v>
      </c>
      <c r="T234" s="353" t="e">
        <f t="shared" si="142"/>
        <v>#VALUE!</v>
      </c>
      <c r="U234" s="353" t="e">
        <f t="shared" si="142"/>
        <v>#VALUE!</v>
      </c>
      <c r="V234" s="353" t="e">
        <f t="shared" si="142"/>
        <v>#VALUE!</v>
      </c>
      <c r="W234" s="353" t="e">
        <f t="shared" si="142"/>
        <v>#VALUE!</v>
      </c>
      <c r="X234" s="353" t="e">
        <f t="shared" si="142"/>
        <v>#VALUE!</v>
      </c>
      <c r="Y234" s="353" t="e">
        <f t="shared" si="142"/>
        <v>#VALUE!</v>
      </c>
      <c r="Z234" s="353" t="e">
        <f t="shared" si="142"/>
        <v>#VALUE!</v>
      </c>
      <c r="AA234" s="353" t="e">
        <f t="shared" si="142"/>
        <v>#VALUE!</v>
      </c>
      <c r="AB234" s="353" t="e">
        <f t="shared" si="142"/>
        <v>#VALUE!</v>
      </c>
    </row>
    <row r="235" spans="1:28">
      <c r="A235" s="95">
        <f t="shared" si="129"/>
        <v>117</v>
      </c>
      <c r="B235" s="345" t="s">
        <v>105</v>
      </c>
      <c r="E235" s="351"/>
      <c r="F235" s="351"/>
      <c r="G235" s="10"/>
      <c r="H235" s="353">
        <f>H217</f>
        <v>-0.11712529258537158</v>
      </c>
      <c r="I235" s="353">
        <f t="shared" ref="I235:AB235" si="143">I217</f>
        <v>-4.8341331917666826E-2</v>
      </c>
      <c r="J235" s="353">
        <f t="shared" si="143"/>
        <v>0.16173497140413545</v>
      </c>
      <c r="K235" s="353">
        <f t="shared" si="143"/>
        <v>5.3512169554724438E-2</v>
      </c>
      <c r="L235" s="353">
        <f t="shared" si="143"/>
        <v>4.6987087517934609E-2</v>
      </c>
      <c r="M235" s="353">
        <f t="shared" si="143"/>
        <v>4.6621526308365198E-2</v>
      </c>
      <c r="N235" s="353">
        <f t="shared" si="143"/>
        <v>4.9019607843136734E-2</v>
      </c>
      <c r="O235" s="353">
        <f t="shared" si="143"/>
        <v>4.4000375269725167E-2</v>
      </c>
      <c r="P235" s="353">
        <f t="shared" si="143"/>
        <v>3.4219457013574747E-2</v>
      </c>
      <c r="Q235" s="353">
        <f t="shared" si="143"/>
        <v>2.9411764705882439E-2</v>
      </c>
      <c r="R235" s="353">
        <f t="shared" si="143"/>
        <v>2.9411764705882408E-2</v>
      </c>
      <c r="S235" s="353">
        <f t="shared" si="143"/>
        <v>2.9411764705882363E-2</v>
      </c>
      <c r="T235" s="353">
        <f t="shared" si="143"/>
        <v>2.9411764705882405E-2</v>
      </c>
      <c r="U235" s="353">
        <f t="shared" si="143"/>
        <v>2.9411764705882335E-2</v>
      </c>
      <c r="V235" s="353">
        <f t="shared" si="143"/>
        <v>2.9411764705882467E-2</v>
      </c>
      <c r="W235" s="353">
        <f t="shared" si="143"/>
        <v>2.9411764705882457E-2</v>
      </c>
      <c r="X235" s="353">
        <f t="shared" si="143"/>
        <v>2.9411764705882346E-2</v>
      </c>
      <c r="Y235" s="353">
        <f t="shared" si="143"/>
        <v>2.9411764705882387E-2</v>
      </c>
      <c r="Z235" s="353">
        <f t="shared" si="143"/>
        <v>2.9411764705882425E-2</v>
      </c>
      <c r="AA235" s="353">
        <f t="shared" si="143"/>
        <v>2.9411764705882415E-2</v>
      </c>
      <c r="AB235" s="353">
        <f t="shared" si="143"/>
        <v>2.9411764705882332E-2</v>
      </c>
    </row>
    <row r="236" spans="1:28">
      <c r="A236" s="95">
        <f t="shared" si="129"/>
        <v>118</v>
      </c>
      <c r="F236" s="39"/>
    </row>
    <row r="237" spans="1:28">
      <c r="A237" s="95">
        <f t="shared" si="129"/>
        <v>119</v>
      </c>
      <c r="B237" s="345" t="s">
        <v>103</v>
      </c>
      <c r="C237" s="345"/>
      <c r="D237" s="345"/>
      <c r="E237" s="357"/>
      <c r="F237" s="350">
        <v>0</v>
      </c>
      <c r="G237" s="352"/>
      <c r="H237" s="360">
        <f>F227*F237</f>
        <v>0</v>
      </c>
      <c r="I237" s="360">
        <v>0</v>
      </c>
      <c r="J237" s="360">
        <v>0</v>
      </c>
      <c r="K237" s="360">
        <v>0</v>
      </c>
      <c r="L237" s="360">
        <v>0</v>
      </c>
      <c r="M237" s="360">
        <v>0</v>
      </c>
      <c r="N237" s="360">
        <v>0</v>
      </c>
      <c r="O237" s="360">
        <v>0</v>
      </c>
      <c r="P237" s="360">
        <v>0</v>
      </c>
      <c r="Q237" s="360">
        <v>0</v>
      </c>
      <c r="R237" s="360">
        <v>0</v>
      </c>
      <c r="S237" s="360">
        <v>0</v>
      </c>
      <c r="T237" s="360">
        <v>0</v>
      </c>
      <c r="U237" s="360">
        <v>0</v>
      </c>
      <c r="V237" s="360">
        <v>0</v>
      </c>
      <c r="W237" s="360">
        <v>0</v>
      </c>
      <c r="X237" s="360">
        <v>0</v>
      </c>
      <c r="Y237" s="360">
        <v>0</v>
      </c>
      <c r="Z237" s="360">
        <v>0</v>
      </c>
      <c r="AA237" s="360">
        <v>0</v>
      </c>
      <c r="AB237" s="360">
        <v>0</v>
      </c>
    </row>
    <row r="238" spans="1:28">
      <c r="A238" s="95">
        <f t="shared" si="129"/>
        <v>120</v>
      </c>
      <c r="B238" s="2" t="s">
        <v>232</v>
      </c>
      <c r="C238" s="2"/>
      <c r="D238" s="56"/>
      <c r="E238" s="56"/>
      <c r="F238" s="56"/>
      <c r="G238" s="58"/>
      <c r="H238" s="68">
        <f t="shared" ref="H238:AB238" si="144">H237+H227*((1+H234)*(1+H235)-1)</f>
        <v>0</v>
      </c>
      <c r="I238" s="68">
        <f t="shared" si="144"/>
        <v>0</v>
      </c>
      <c r="J238" s="68">
        <f t="shared" si="144"/>
        <v>0</v>
      </c>
      <c r="K238" s="68">
        <f t="shared" si="144"/>
        <v>0</v>
      </c>
      <c r="L238" s="68">
        <f t="shared" si="144"/>
        <v>0</v>
      </c>
      <c r="M238" s="68">
        <f t="shared" si="144"/>
        <v>0</v>
      </c>
      <c r="N238" s="68">
        <f t="shared" si="144"/>
        <v>0</v>
      </c>
      <c r="O238" s="68">
        <f t="shared" si="144"/>
        <v>0</v>
      </c>
      <c r="P238" s="68">
        <f t="shared" si="144"/>
        <v>0</v>
      </c>
      <c r="Q238" s="68">
        <f t="shared" si="144"/>
        <v>0</v>
      </c>
      <c r="R238" s="68">
        <f t="shared" si="144"/>
        <v>0</v>
      </c>
      <c r="S238" s="68" t="e">
        <f t="shared" si="144"/>
        <v>#VALUE!</v>
      </c>
      <c r="T238" s="68" t="e">
        <f t="shared" si="144"/>
        <v>#VALUE!</v>
      </c>
      <c r="U238" s="68" t="e">
        <f t="shared" si="144"/>
        <v>#VALUE!</v>
      </c>
      <c r="V238" s="68" t="e">
        <f t="shared" si="144"/>
        <v>#VALUE!</v>
      </c>
      <c r="W238" s="68" t="e">
        <f t="shared" si="144"/>
        <v>#VALUE!</v>
      </c>
      <c r="X238" s="68" t="e">
        <f t="shared" si="144"/>
        <v>#VALUE!</v>
      </c>
      <c r="Y238" s="68" t="e">
        <f t="shared" si="144"/>
        <v>#VALUE!</v>
      </c>
      <c r="Z238" s="68" t="e">
        <f t="shared" si="144"/>
        <v>#VALUE!</v>
      </c>
      <c r="AA238" s="68" t="e">
        <f t="shared" si="144"/>
        <v>#VALUE!</v>
      </c>
      <c r="AB238" s="68" t="e">
        <f t="shared" si="144"/>
        <v>#VALUE!</v>
      </c>
    </row>
    <row r="239" spans="1:28">
      <c r="A239" s="95">
        <f t="shared" si="129"/>
        <v>121</v>
      </c>
      <c r="B239" s="345" t="s">
        <v>167</v>
      </c>
      <c r="C239" s="2"/>
      <c r="D239" s="56"/>
      <c r="E239" s="56"/>
      <c r="F239" s="56"/>
      <c r="G239" s="129"/>
      <c r="H239" s="365">
        <f>$F227*H$33*H228-$F227*$F230*H228</f>
        <v>0</v>
      </c>
      <c r="I239" s="365">
        <f>$F227*I$33*I228-$F227*H$33*I228</f>
        <v>0</v>
      </c>
      <c r="J239" s="365">
        <f>$F227*J$33*J228-$F227*I$33*J228</f>
        <v>0</v>
      </c>
      <c r="K239" s="365">
        <f t="shared" ref="K239:AB239" si="145">$F227*K$33*K228-$F227*J$33*K228</f>
        <v>0</v>
      </c>
      <c r="L239" s="365">
        <f t="shared" si="145"/>
        <v>0</v>
      </c>
      <c r="M239" s="365">
        <f t="shared" si="145"/>
        <v>0</v>
      </c>
      <c r="N239" s="365">
        <f t="shared" si="145"/>
        <v>0</v>
      </c>
      <c r="O239" s="365">
        <f t="shared" si="145"/>
        <v>0</v>
      </c>
      <c r="P239" s="365">
        <f t="shared" si="145"/>
        <v>0</v>
      </c>
      <c r="Q239" s="365">
        <f t="shared" si="145"/>
        <v>0</v>
      </c>
      <c r="R239" s="365">
        <f t="shared" si="145"/>
        <v>0</v>
      </c>
      <c r="S239" s="365">
        <f t="shared" si="145"/>
        <v>0</v>
      </c>
      <c r="T239" s="365">
        <f t="shared" si="145"/>
        <v>0</v>
      </c>
      <c r="U239" s="365">
        <f t="shared" si="145"/>
        <v>0</v>
      </c>
      <c r="V239" s="365">
        <f t="shared" si="145"/>
        <v>0</v>
      </c>
      <c r="W239" s="365">
        <f t="shared" si="145"/>
        <v>0</v>
      </c>
      <c r="X239" s="365">
        <f t="shared" si="145"/>
        <v>0</v>
      </c>
      <c r="Y239" s="365">
        <f t="shared" si="145"/>
        <v>0</v>
      </c>
      <c r="Z239" s="365">
        <f t="shared" si="145"/>
        <v>0</v>
      </c>
      <c r="AA239" s="365">
        <f t="shared" si="145"/>
        <v>0</v>
      </c>
      <c r="AB239" s="365">
        <f t="shared" si="145"/>
        <v>0</v>
      </c>
    </row>
    <row r="240" spans="1:28">
      <c r="A240" s="95">
        <f t="shared" si="129"/>
        <v>122</v>
      </c>
      <c r="B240" s="345" t="s">
        <v>106</v>
      </c>
      <c r="H240" s="365">
        <f>$F227*H$33*(1-SUM($H228:H228))-$F227*$F230*(1-SUM($H228:H228))</f>
        <v>0</v>
      </c>
      <c r="I240" s="365">
        <f>$F227*I$33*(1-SUM($H228:I228))-$F227*H$33*(1-SUM($H228:I228))</f>
        <v>0</v>
      </c>
      <c r="J240" s="365">
        <f>$F227*J$33*(1-SUM($H228:J228))-$F227*I$33*(1-SUM($H228:J228))</f>
        <v>0</v>
      </c>
      <c r="K240" s="365">
        <f>$F227*K$33*(1-SUM($H228:K228))-$F227*J$33*(1-SUM($H228:K228))</f>
        <v>0</v>
      </c>
      <c r="L240" s="365">
        <f>$F227*L$33*(1-SUM($H228:L228))-$F227*K$33*(1-SUM($H228:L228))</f>
        <v>0</v>
      </c>
      <c r="M240" s="365">
        <f>$F227*M$33*(1-SUM($H228:M228))-$F227*L$33*(1-SUM($H228:M228))</f>
        <v>0</v>
      </c>
      <c r="N240" s="365">
        <f>$F227*N$33*(1-SUM($H228:N228))-$F227*M$33*(1-SUM($H228:N228))</f>
        <v>0</v>
      </c>
      <c r="O240" s="365">
        <f>$F227*O$33*(1-SUM($H228:O228))-$F227*N$33*(1-SUM($H228:O228))</f>
        <v>0</v>
      </c>
      <c r="P240" s="365">
        <f>$F227*P$33*(1-SUM($H228:P228))-$F227*O$33*(1-SUM($H228:P228))</f>
        <v>0</v>
      </c>
      <c r="Q240" s="365">
        <f>$F227*Q$33*(1-SUM($H228:Q228))-$F227*P$33*(1-SUM($H228:Q228))</f>
        <v>0</v>
      </c>
      <c r="R240" s="365">
        <f>$F227*R$33*(1-SUM($H228:R228))-$F227*Q$33*(1-SUM($H228:R228))</f>
        <v>0</v>
      </c>
      <c r="S240" s="365">
        <f>$F227*S$33*(1-SUM($H228:S228))-$F227*R$33*(1-SUM($H228:S228))</f>
        <v>0</v>
      </c>
      <c r="T240" s="365">
        <f>$F227*T$33*(1-SUM($H228:T228))-$F227*S$33*(1-SUM($H228:T228))</f>
        <v>0</v>
      </c>
      <c r="U240" s="365">
        <f>$F227*U$33*(1-SUM($H228:U228))-$F227*T$33*(1-SUM($H228:U228))</f>
        <v>0</v>
      </c>
      <c r="V240" s="365">
        <f>$F227*V$33*(1-SUM($H228:V228))-$F227*U$33*(1-SUM($H228:V228))</f>
        <v>0</v>
      </c>
      <c r="W240" s="365">
        <f>$F227*W$33*(1-SUM($H228:W228))-$F227*V$33*(1-SUM($H228:W228))</f>
        <v>0</v>
      </c>
      <c r="X240" s="365">
        <f>$F227*X$33*(1-SUM($H228:X228))-$F227*W$33*(1-SUM($H228:X228))</f>
        <v>0</v>
      </c>
      <c r="Y240" s="365">
        <f>$F227*Y$33*(1-SUM($H228:Y228))-$F227*X$33*(1-SUM($H228:Y228))</f>
        <v>0</v>
      </c>
      <c r="Z240" s="365">
        <f>$F227*Z$33*(1-SUM($H228:Z228))-$F227*Y$33*(1-SUM($H228:Z228))</f>
        <v>0</v>
      </c>
      <c r="AA240" s="365">
        <f>$F227*AA$33*(1-SUM($H228:AA228))-$F227*Z$33*(1-SUM($H228:AA228))</f>
        <v>0</v>
      </c>
      <c r="AB240" s="365">
        <f>$F227*AB$33*(1-SUM($H228:AB228))-$F227*AA$33*(1-SUM($H228:AB228))</f>
        <v>0</v>
      </c>
    </row>
    <row r="241" spans="1:28">
      <c r="A241" s="95">
        <f t="shared" si="129"/>
        <v>123</v>
      </c>
      <c r="D241" s="351"/>
      <c r="E241" s="351"/>
      <c r="F241" s="351"/>
      <c r="G241" s="352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</row>
    <row r="242" spans="1:28">
      <c r="A242" s="95">
        <f t="shared" si="129"/>
        <v>124</v>
      </c>
      <c r="D242" s="351"/>
      <c r="E242" s="351"/>
      <c r="F242" s="351"/>
      <c r="G242" s="352"/>
    </row>
    <row r="243" spans="1:28">
      <c r="A243" s="95">
        <f t="shared" si="129"/>
        <v>125</v>
      </c>
      <c r="B243" s="28" t="s">
        <v>165</v>
      </c>
      <c r="C243" s="26"/>
      <c r="D243" s="134">
        <f>$G$7</f>
        <v>40908</v>
      </c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>
      <c r="A244" s="95">
        <f t="shared" si="129"/>
        <v>126</v>
      </c>
      <c r="D244" s="351"/>
      <c r="E244" s="351"/>
      <c r="F244" s="351"/>
      <c r="G244" s="352"/>
    </row>
    <row r="245" spans="1:28">
      <c r="A245" s="95">
        <f t="shared" si="129"/>
        <v>127</v>
      </c>
      <c r="B245" s="2" t="s">
        <v>104</v>
      </c>
      <c r="C245" s="2"/>
      <c r="D245" s="150">
        <v>0</v>
      </c>
      <c r="E245" s="76" t="s">
        <v>369</v>
      </c>
      <c r="F245" s="53">
        <v>0</v>
      </c>
      <c r="G245" s="50"/>
      <c r="H245" s="70">
        <f>F245*F248</f>
        <v>0</v>
      </c>
      <c r="I245" s="70">
        <f t="shared" ref="I245:AB245" si="146">H248</f>
        <v>0</v>
      </c>
      <c r="J245" s="70">
        <f t="shared" si="146"/>
        <v>0</v>
      </c>
      <c r="K245" s="70">
        <f t="shared" si="146"/>
        <v>0</v>
      </c>
      <c r="L245" s="70">
        <f t="shared" si="146"/>
        <v>0</v>
      </c>
      <c r="M245" s="70">
        <f t="shared" si="146"/>
        <v>0</v>
      </c>
      <c r="N245" s="70">
        <f t="shared" si="146"/>
        <v>0</v>
      </c>
      <c r="O245" s="70">
        <f t="shared" si="146"/>
        <v>0</v>
      </c>
      <c r="P245" s="70">
        <f t="shared" si="146"/>
        <v>0</v>
      </c>
      <c r="Q245" s="70">
        <f t="shared" si="146"/>
        <v>0</v>
      </c>
      <c r="R245" s="70">
        <f t="shared" si="146"/>
        <v>0</v>
      </c>
      <c r="S245" s="70">
        <f t="shared" si="146"/>
        <v>0</v>
      </c>
      <c r="T245" s="70">
        <f t="shared" si="146"/>
        <v>0</v>
      </c>
      <c r="U245" s="70">
        <f t="shared" si="146"/>
        <v>0</v>
      </c>
      <c r="V245" s="70">
        <f t="shared" si="146"/>
        <v>0</v>
      </c>
      <c r="W245" s="70">
        <f t="shared" si="146"/>
        <v>0</v>
      </c>
      <c r="X245" s="70">
        <f t="shared" si="146"/>
        <v>0</v>
      </c>
      <c r="Y245" s="70">
        <f t="shared" si="146"/>
        <v>0</v>
      </c>
      <c r="Z245" s="70">
        <f t="shared" si="146"/>
        <v>0</v>
      </c>
      <c r="AA245" s="70">
        <f t="shared" si="146"/>
        <v>0</v>
      </c>
      <c r="AB245" s="70">
        <f t="shared" si="146"/>
        <v>0</v>
      </c>
    </row>
    <row r="246" spans="1:28" s="39" customFormat="1">
      <c r="A246" s="95">
        <f t="shared" si="129"/>
        <v>128</v>
      </c>
      <c r="B246" s="345" t="s">
        <v>79</v>
      </c>
      <c r="C246"/>
      <c r="D246"/>
      <c r="E246" s="351"/>
      <c r="F246" s="357"/>
      <c r="G246" s="352"/>
      <c r="H246" s="361"/>
      <c r="I246" s="361"/>
      <c r="J246" s="361"/>
      <c r="K246" s="361"/>
      <c r="L246" s="361"/>
      <c r="M246" s="361"/>
      <c r="N246" s="361"/>
      <c r="O246" s="361"/>
      <c r="P246" s="361"/>
      <c r="Q246" s="361"/>
      <c r="R246" s="361"/>
      <c r="S246" s="361"/>
      <c r="T246" s="361"/>
      <c r="U246" s="361"/>
      <c r="V246" s="361"/>
      <c r="W246" s="361"/>
      <c r="X246" s="361"/>
      <c r="Y246" s="361"/>
      <c r="Z246" s="361"/>
      <c r="AA246" s="361"/>
      <c r="AB246" s="361"/>
    </row>
    <row r="247" spans="1:28">
      <c r="A247" s="95">
        <f t="shared" si="129"/>
        <v>129</v>
      </c>
      <c r="B247" s="345" t="s">
        <v>101</v>
      </c>
      <c r="E247" s="351"/>
      <c r="F247" s="357"/>
      <c r="G247" s="352"/>
      <c r="H247" s="356">
        <f>H246*$F245*H$33</f>
        <v>0</v>
      </c>
      <c r="I247" s="356">
        <f>I246*$F245*I$33</f>
        <v>0</v>
      </c>
      <c r="J247" s="356">
        <f t="shared" ref="J247:AB247" si="147">J246*$F245*J$33</f>
        <v>0</v>
      </c>
      <c r="K247" s="356">
        <f t="shared" si="147"/>
        <v>0</v>
      </c>
      <c r="L247" s="356">
        <f t="shared" si="147"/>
        <v>0</v>
      </c>
      <c r="M247" s="356">
        <f t="shared" si="147"/>
        <v>0</v>
      </c>
      <c r="N247" s="356">
        <f t="shared" si="147"/>
        <v>0</v>
      </c>
      <c r="O247" s="356">
        <f t="shared" si="147"/>
        <v>0</v>
      </c>
      <c r="P247" s="356">
        <f t="shared" si="147"/>
        <v>0</v>
      </c>
      <c r="Q247" s="356">
        <f t="shared" si="147"/>
        <v>0</v>
      </c>
      <c r="R247" s="356">
        <f t="shared" si="147"/>
        <v>0</v>
      </c>
      <c r="S247" s="356">
        <f t="shared" si="147"/>
        <v>0</v>
      </c>
      <c r="T247" s="356">
        <f t="shared" si="147"/>
        <v>0</v>
      </c>
      <c r="U247" s="356">
        <f t="shared" si="147"/>
        <v>0</v>
      </c>
      <c r="V247" s="356">
        <f t="shared" si="147"/>
        <v>0</v>
      </c>
      <c r="W247" s="356">
        <f t="shared" si="147"/>
        <v>0</v>
      </c>
      <c r="X247" s="356">
        <f t="shared" si="147"/>
        <v>0</v>
      </c>
      <c r="Y247" s="356">
        <f t="shared" si="147"/>
        <v>0</v>
      </c>
      <c r="Z247" s="356">
        <f t="shared" si="147"/>
        <v>0</v>
      </c>
      <c r="AA247" s="356">
        <f t="shared" si="147"/>
        <v>0</v>
      </c>
      <c r="AB247" s="356">
        <f t="shared" si="147"/>
        <v>0</v>
      </c>
    </row>
    <row r="248" spans="1:28">
      <c r="A248" s="95">
        <f t="shared" si="129"/>
        <v>130</v>
      </c>
      <c r="B248" s="2" t="s">
        <v>102</v>
      </c>
      <c r="C248" s="2"/>
      <c r="D248" s="2"/>
      <c r="E248" s="75" t="s">
        <v>370</v>
      </c>
      <c r="F248" s="363">
        <v>1.6</v>
      </c>
      <c r="G248" s="58"/>
      <c r="H248" s="69">
        <f>$F245*(1-SUM($H246:H246))*H$33</f>
        <v>0</v>
      </c>
      <c r="I248" s="69">
        <f>$F245*(1-SUM($H246:I246))*I$33</f>
        <v>0</v>
      </c>
      <c r="J248" s="69">
        <f>$F245*(1-SUM($H246:J246))*J$33</f>
        <v>0</v>
      </c>
      <c r="K248" s="69">
        <f>$F245*(1-SUM($H246:K246))*K$33</f>
        <v>0</v>
      </c>
      <c r="L248" s="69">
        <f>$F245*(1-SUM($H246:L246))*L$33</f>
        <v>0</v>
      </c>
      <c r="M248" s="69">
        <f>$F245*(1-SUM($H246:M246))*M$33</f>
        <v>0</v>
      </c>
      <c r="N248" s="69">
        <f>$F245*(1-SUM($H246:N246))*N$33</f>
        <v>0</v>
      </c>
      <c r="O248" s="69">
        <f>$F245*(1-SUM($H246:O246))*O$33</f>
        <v>0</v>
      </c>
      <c r="P248" s="69">
        <f>$F245*(1-SUM($H246:P246))*P$33</f>
        <v>0</v>
      </c>
      <c r="Q248" s="69">
        <f>$F245*(1-SUM($H246:Q246))*Q$33</f>
        <v>0</v>
      </c>
      <c r="R248" s="69">
        <f>$F245*(1-SUM($H246:R246))*R$33</f>
        <v>0</v>
      </c>
      <c r="S248" s="69">
        <f>$F245*(1-SUM($H246:S246))*S$33</f>
        <v>0</v>
      </c>
      <c r="T248" s="69">
        <f>$F245*(1-SUM($H246:T246))*T$33</f>
        <v>0</v>
      </c>
      <c r="U248" s="69">
        <f>$F245*(1-SUM($H246:U246))*U$33</f>
        <v>0</v>
      </c>
      <c r="V248" s="69">
        <f>$F245*(1-SUM($H246:V246))*V$33</f>
        <v>0</v>
      </c>
      <c r="W248" s="69">
        <f>$F245*(1-SUM($H246:W246))*W$33</f>
        <v>0</v>
      </c>
      <c r="X248" s="69">
        <f>$F245*(1-SUM($H246:X246))*X$33</f>
        <v>0</v>
      </c>
      <c r="Y248" s="69">
        <f>$F245*(1-SUM($H246:Y246))*Y$33</f>
        <v>0</v>
      </c>
      <c r="Z248" s="69">
        <f>$F245*(1-SUM($H246:Z246))*Z$33</f>
        <v>0</v>
      </c>
      <c r="AA248" s="69">
        <f>$F245*(1-SUM($H246:AA246))*AA$33</f>
        <v>0</v>
      </c>
      <c r="AB248" s="69">
        <f>$F245*(1-SUM($H246:AB246))*AB$33</f>
        <v>0</v>
      </c>
    </row>
    <row r="249" spans="1:28">
      <c r="A249" s="95">
        <f t="shared" si="129"/>
        <v>131</v>
      </c>
      <c r="B249" s="345"/>
      <c r="G249" s="352"/>
      <c r="H249" s="358"/>
      <c r="I249" s="358"/>
      <c r="J249" s="358"/>
      <c r="K249" s="358"/>
      <c r="L249" s="358"/>
      <c r="M249" s="358"/>
      <c r="N249" s="358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358"/>
      <c r="AA249" s="358"/>
      <c r="AB249" s="358"/>
    </row>
    <row r="250" spans="1:28">
      <c r="A250" s="95">
        <f t="shared" si="129"/>
        <v>132</v>
      </c>
      <c r="B250" s="345" t="s">
        <v>2</v>
      </c>
      <c r="E250" s="351"/>
      <c r="F250" s="351"/>
      <c r="G250" s="352"/>
      <c r="H250" s="79">
        <f>Anual!R86/100</f>
        <v>5.1847134073820921E-3</v>
      </c>
      <c r="I250" s="79">
        <f>Anual!S86/100</f>
        <v>9.2379200645800932E-3</v>
      </c>
      <c r="J250" s="79">
        <f>Anual!T86/100</f>
        <v>1.4999999999999999E-2</v>
      </c>
      <c r="K250" s="79">
        <f>Anual!U86/100</f>
        <v>1.4999999999999999E-2</v>
      </c>
      <c r="L250" s="79">
        <f>Anual!V86/100</f>
        <v>1.4999999999999999E-2</v>
      </c>
      <c r="M250" s="79">
        <f>Anual!W86/100</f>
        <v>1.4999999999999999E-2</v>
      </c>
      <c r="N250" s="79">
        <f>Anual!X86/100</f>
        <v>0.02</v>
      </c>
      <c r="O250" s="79">
        <f>Anual!Y86/100</f>
        <v>0.02</v>
      </c>
      <c r="P250" s="79">
        <f>Anual!Z86/100</f>
        <v>0.02</v>
      </c>
      <c r="Q250" s="79">
        <f>Anual!AA86/100</f>
        <v>0.02</v>
      </c>
      <c r="R250" s="79">
        <f>Anual!AB86/100</f>
        <v>0.04</v>
      </c>
      <c r="S250" s="79" t="e">
        <f>Anual!AC86/100</f>
        <v>#VALUE!</v>
      </c>
      <c r="T250" s="79" t="e">
        <f>Anual!AD86/100</f>
        <v>#VALUE!</v>
      </c>
      <c r="U250" s="79" t="e">
        <f>Anual!AE86/100</f>
        <v>#VALUE!</v>
      </c>
      <c r="V250" s="79" t="e">
        <f>Anual!AF86/100</f>
        <v>#VALUE!</v>
      </c>
      <c r="W250" s="79" t="e">
        <f>Anual!AG86/100</f>
        <v>#VALUE!</v>
      </c>
      <c r="X250" s="79" t="e">
        <f>Anual!AH86/100</f>
        <v>#VALUE!</v>
      </c>
      <c r="Y250" s="79" t="e">
        <f>Anual!AI86/100</f>
        <v>#VALUE!</v>
      </c>
      <c r="Z250" s="79" t="e">
        <f>Anual!AJ86/100</f>
        <v>#VALUE!</v>
      </c>
      <c r="AA250" s="79" t="e">
        <f>Anual!AK86/100</f>
        <v>#VALUE!</v>
      </c>
      <c r="AB250" s="79" t="e">
        <f>Anual!AL86/100</f>
        <v>#VALUE!</v>
      </c>
    </row>
    <row r="251" spans="1:28">
      <c r="A251" s="95">
        <f t="shared" si="129"/>
        <v>133</v>
      </c>
      <c r="B251" s="345" t="s">
        <v>75</v>
      </c>
      <c r="E251" s="351"/>
      <c r="F251" s="351"/>
      <c r="G251" s="352"/>
      <c r="H251" s="349">
        <f>H250*(H$7-$D243)/360</f>
        <v>5.2711252975051271E-3</v>
      </c>
      <c r="I251" s="349">
        <f t="shared" ref="I251:AB251" si="148">I250*(I$7-$D243)/360-H250*(H$7-$D243)/360</f>
        <v>1.3486984611406117E-2</v>
      </c>
      <c r="J251" s="349">
        <f t="shared" si="148"/>
        <v>2.6908556757755418E-2</v>
      </c>
      <c r="K251" s="349">
        <f t="shared" si="148"/>
        <v>1.5208333333333338E-2</v>
      </c>
      <c r="L251" s="349">
        <f t="shared" si="148"/>
        <v>1.525E-2</v>
      </c>
      <c r="M251" s="349">
        <f t="shared" si="148"/>
        <v>1.5208333333333324E-2</v>
      </c>
      <c r="N251" s="349">
        <f t="shared" si="148"/>
        <v>5.0722222222222224E-2</v>
      </c>
      <c r="O251" s="349">
        <f t="shared" si="148"/>
        <v>2.0277777777777783E-2</v>
      </c>
      <c r="P251" s="349">
        <f t="shared" si="148"/>
        <v>2.0333333333333342E-2</v>
      </c>
      <c r="Q251" s="349">
        <f t="shared" si="148"/>
        <v>2.0277777777777783E-2</v>
      </c>
      <c r="R251" s="349">
        <f t="shared" si="148"/>
        <v>0.24349999999999997</v>
      </c>
      <c r="S251" s="349" t="e">
        <f t="shared" si="148"/>
        <v>#VALUE!</v>
      </c>
      <c r="T251" s="349" t="e">
        <f t="shared" si="148"/>
        <v>#VALUE!</v>
      </c>
      <c r="U251" s="349" t="e">
        <f t="shared" si="148"/>
        <v>#VALUE!</v>
      </c>
      <c r="V251" s="349" t="e">
        <f t="shared" si="148"/>
        <v>#VALUE!</v>
      </c>
      <c r="W251" s="349" t="e">
        <f t="shared" si="148"/>
        <v>#VALUE!</v>
      </c>
      <c r="X251" s="349" t="e">
        <f t="shared" si="148"/>
        <v>#VALUE!</v>
      </c>
      <c r="Y251" s="349" t="e">
        <f t="shared" si="148"/>
        <v>#VALUE!</v>
      </c>
      <c r="Z251" s="349" t="e">
        <f t="shared" si="148"/>
        <v>#VALUE!</v>
      </c>
      <c r="AA251" s="349" t="e">
        <f t="shared" si="148"/>
        <v>#VALUE!</v>
      </c>
      <c r="AB251" s="349" t="e">
        <f t="shared" si="148"/>
        <v>#VALUE!</v>
      </c>
    </row>
    <row r="252" spans="1:28">
      <c r="A252" s="95">
        <f t="shared" si="129"/>
        <v>134</v>
      </c>
      <c r="B252" s="345" t="s">
        <v>76</v>
      </c>
      <c r="E252" s="351"/>
      <c r="F252" s="350">
        <v>2.5000000000000001E-2</v>
      </c>
      <c r="G252" s="352"/>
      <c r="H252" s="353">
        <f>((1+H250)*(1+$F252))-1</f>
        <v>3.0314331242566661E-2</v>
      </c>
      <c r="I252" s="353">
        <f t="shared" ref="I252:AB252" si="149">((1+I250)*(1+$F252))-1</f>
        <v>3.4468868066194425E-2</v>
      </c>
      <c r="J252" s="353">
        <f t="shared" si="149"/>
        <v>4.0374999999999828E-2</v>
      </c>
      <c r="K252" s="353">
        <f t="shared" si="149"/>
        <v>4.0374999999999828E-2</v>
      </c>
      <c r="L252" s="353">
        <f t="shared" si="149"/>
        <v>4.0374999999999828E-2</v>
      </c>
      <c r="M252" s="353">
        <f t="shared" si="149"/>
        <v>4.0374999999999828E-2</v>
      </c>
      <c r="N252" s="353">
        <f t="shared" si="149"/>
        <v>4.5499999999999874E-2</v>
      </c>
      <c r="O252" s="353">
        <f t="shared" si="149"/>
        <v>4.5499999999999874E-2</v>
      </c>
      <c r="P252" s="353">
        <f t="shared" si="149"/>
        <v>4.5499999999999874E-2</v>
      </c>
      <c r="Q252" s="353">
        <f t="shared" si="149"/>
        <v>4.5499999999999874E-2</v>
      </c>
      <c r="R252" s="353">
        <f t="shared" si="149"/>
        <v>6.5999999999999837E-2</v>
      </c>
      <c r="S252" s="353" t="e">
        <f t="shared" si="149"/>
        <v>#VALUE!</v>
      </c>
      <c r="T252" s="353" t="e">
        <f t="shared" si="149"/>
        <v>#VALUE!</v>
      </c>
      <c r="U252" s="353" t="e">
        <f t="shared" si="149"/>
        <v>#VALUE!</v>
      </c>
      <c r="V252" s="353" t="e">
        <f t="shared" si="149"/>
        <v>#VALUE!</v>
      </c>
      <c r="W252" s="353" t="e">
        <f t="shared" si="149"/>
        <v>#VALUE!</v>
      </c>
      <c r="X252" s="353" t="e">
        <f t="shared" si="149"/>
        <v>#VALUE!</v>
      </c>
      <c r="Y252" s="353" t="e">
        <f t="shared" si="149"/>
        <v>#VALUE!</v>
      </c>
      <c r="Z252" s="353" t="e">
        <f t="shared" si="149"/>
        <v>#VALUE!</v>
      </c>
      <c r="AA252" s="353" t="e">
        <f t="shared" si="149"/>
        <v>#VALUE!</v>
      </c>
      <c r="AB252" s="353" t="e">
        <f t="shared" si="149"/>
        <v>#VALUE!</v>
      </c>
    </row>
    <row r="253" spans="1:28">
      <c r="A253" s="95">
        <f t="shared" si="129"/>
        <v>135</v>
      </c>
      <c r="B253" s="345" t="s">
        <v>105</v>
      </c>
      <c r="E253" s="351"/>
      <c r="F253" s="351"/>
      <c r="G253" s="10"/>
      <c r="H253" s="353">
        <f t="shared" ref="H253:M253" si="150">H235</f>
        <v>-0.11712529258537158</v>
      </c>
      <c r="I253" s="353">
        <f t="shared" si="150"/>
        <v>-4.8341331917666826E-2</v>
      </c>
      <c r="J253" s="353">
        <f t="shared" si="150"/>
        <v>0.16173497140413545</v>
      </c>
      <c r="K253" s="353">
        <f t="shared" si="150"/>
        <v>5.3512169554724438E-2</v>
      </c>
      <c r="L253" s="353">
        <f t="shared" si="150"/>
        <v>4.6987087517934609E-2</v>
      </c>
      <c r="M253" s="353">
        <f t="shared" si="150"/>
        <v>4.6621526308365198E-2</v>
      </c>
      <c r="N253" s="353">
        <f t="shared" ref="N253:AB253" si="151">N$33/M$33-1</f>
        <v>3.9215686274509887E-2</v>
      </c>
      <c r="O253" s="353">
        <f t="shared" si="151"/>
        <v>2.941176470588247E-2</v>
      </c>
      <c r="P253" s="353">
        <f t="shared" si="151"/>
        <v>2.941176470588247E-2</v>
      </c>
      <c r="Q253" s="353">
        <f t="shared" si="151"/>
        <v>2.9411764705882248E-2</v>
      </c>
      <c r="R253" s="353">
        <f t="shared" si="151"/>
        <v>2.941176470588247E-2</v>
      </c>
      <c r="S253" s="353">
        <f t="shared" si="151"/>
        <v>2.941176470588247E-2</v>
      </c>
      <c r="T253" s="353">
        <f t="shared" si="151"/>
        <v>2.941176470588247E-2</v>
      </c>
      <c r="U253" s="353">
        <f t="shared" si="151"/>
        <v>2.941176470588247E-2</v>
      </c>
      <c r="V253" s="353">
        <f t="shared" si="151"/>
        <v>2.941176470588247E-2</v>
      </c>
      <c r="W253" s="353">
        <f t="shared" si="151"/>
        <v>2.9411764705882248E-2</v>
      </c>
      <c r="X253" s="353">
        <f t="shared" si="151"/>
        <v>2.941176470588247E-2</v>
      </c>
      <c r="Y253" s="353">
        <f t="shared" si="151"/>
        <v>2.941176470588247E-2</v>
      </c>
      <c r="Z253" s="353">
        <f t="shared" si="151"/>
        <v>2.941176470588247E-2</v>
      </c>
      <c r="AA253" s="353">
        <f t="shared" si="151"/>
        <v>2.9411764705882248E-2</v>
      </c>
      <c r="AB253" s="353">
        <f t="shared" si="151"/>
        <v>-1</v>
      </c>
    </row>
    <row r="254" spans="1:28">
      <c r="A254" s="95">
        <f t="shared" si="129"/>
        <v>136</v>
      </c>
      <c r="F254" s="39"/>
    </row>
    <row r="255" spans="1:28">
      <c r="A255" s="95">
        <f t="shared" si="129"/>
        <v>137</v>
      </c>
      <c r="B255" s="345" t="s">
        <v>103</v>
      </c>
      <c r="C255" s="345"/>
      <c r="D255" s="345"/>
      <c r="E255" s="357"/>
      <c r="F255" s="350">
        <v>0</v>
      </c>
      <c r="G255" s="352"/>
      <c r="H255" s="360">
        <f>F245*F255</f>
        <v>0</v>
      </c>
      <c r="I255" s="360">
        <v>0</v>
      </c>
      <c r="J255" s="360">
        <v>0</v>
      </c>
      <c r="K255" s="360">
        <v>0</v>
      </c>
      <c r="L255" s="360">
        <v>0</v>
      </c>
      <c r="M255" s="360">
        <v>0</v>
      </c>
      <c r="N255" s="360">
        <v>0</v>
      </c>
      <c r="O255" s="360">
        <v>0</v>
      </c>
      <c r="P255" s="360">
        <v>0</v>
      </c>
      <c r="Q255" s="360">
        <v>0</v>
      </c>
      <c r="R255" s="360">
        <v>0</v>
      </c>
      <c r="S255" s="360">
        <v>0</v>
      </c>
      <c r="T255" s="360">
        <v>0</v>
      </c>
      <c r="U255" s="360">
        <v>0</v>
      </c>
      <c r="V255" s="360">
        <v>0</v>
      </c>
      <c r="W255" s="360">
        <v>0</v>
      </c>
      <c r="X255" s="360">
        <v>0</v>
      </c>
      <c r="Y255" s="360">
        <v>0</v>
      </c>
      <c r="Z255" s="360">
        <v>0</v>
      </c>
      <c r="AA255" s="360">
        <v>0</v>
      </c>
      <c r="AB255" s="360">
        <v>0</v>
      </c>
    </row>
    <row r="256" spans="1:28">
      <c r="A256" s="95">
        <f t="shared" si="129"/>
        <v>138</v>
      </c>
      <c r="B256" s="2" t="s">
        <v>232</v>
      </c>
      <c r="C256" s="2"/>
      <c r="D256" s="56"/>
      <c r="E256" s="56"/>
      <c r="F256" s="56"/>
      <c r="G256" s="58"/>
      <c r="H256" s="68">
        <f t="shared" ref="H256:AB256" si="152">H255+H245*((1+H252)*(1+H253)-1)</f>
        <v>0</v>
      </c>
      <c r="I256" s="68">
        <f t="shared" si="152"/>
        <v>0</v>
      </c>
      <c r="J256" s="68">
        <f t="shared" si="152"/>
        <v>0</v>
      </c>
      <c r="K256" s="68">
        <f t="shared" si="152"/>
        <v>0</v>
      </c>
      <c r="L256" s="68">
        <f t="shared" si="152"/>
        <v>0</v>
      </c>
      <c r="M256" s="68">
        <f t="shared" si="152"/>
        <v>0</v>
      </c>
      <c r="N256" s="68">
        <f t="shared" si="152"/>
        <v>0</v>
      </c>
      <c r="O256" s="68">
        <f t="shared" si="152"/>
        <v>0</v>
      </c>
      <c r="P256" s="68">
        <f t="shared" si="152"/>
        <v>0</v>
      </c>
      <c r="Q256" s="68">
        <f t="shared" si="152"/>
        <v>0</v>
      </c>
      <c r="R256" s="68">
        <f t="shared" si="152"/>
        <v>0</v>
      </c>
      <c r="S256" s="68" t="e">
        <f t="shared" si="152"/>
        <v>#VALUE!</v>
      </c>
      <c r="T256" s="68" t="e">
        <f t="shared" si="152"/>
        <v>#VALUE!</v>
      </c>
      <c r="U256" s="68" t="e">
        <f t="shared" si="152"/>
        <v>#VALUE!</v>
      </c>
      <c r="V256" s="68" t="e">
        <f t="shared" si="152"/>
        <v>#VALUE!</v>
      </c>
      <c r="W256" s="68" t="e">
        <f t="shared" si="152"/>
        <v>#VALUE!</v>
      </c>
      <c r="X256" s="68" t="e">
        <f t="shared" si="152"/>
        <v>#VALUE!</v>
      </c>
      <c r="Y256" s="68" t="e">
        <f t="shared" si="152"/>
        <v>#VALUE!</v>
      </c>
      <c r="Z256" s="68" t="e">
        <f t="shared" si="152"/>
        <v>#VALUE!</v>
      </c>
      <c r="AA256" s="68" t="e">
        <f t="shared" si="152"/>
        <v>#VALUE!</v>
      </c>
      <c r="AB256" s="68" t="e">
        <f t="shared" si="152"/>
        <v>#VALUE!</v>
      </c>
    </row>
    <row r="257" spans="1:28">
      <c r="A257" s="95">
        <f t="shared" si="129"/>
        <v>139</v>
      </c>
      <c r="B257" s="345" t="s">
        <v>167</v>
      </c>
      <c r="C257" s="2"/>
      <c r="D257" s="56"/>
      <c r="E257" s="56"/>
      <c r="F257" s="56"/>
      <c r="G257" s="129"/>
      <c r="H257" s="365">
        <f>$F245*H$33*H246-$F245*$F248*H246</f>
        <v>0</v>
      </c>
      <c r="I257" s="365">
        <f>$F245*I$33*I246-$F245*H$33*I246</f>
        <v>0</v>
      </c>
      <c r="J257" s="365">
        <f>$F245*J$33*J246-$F245*I$33*J246</f>
        <v>0</v>
      </c>
      <c r="K257" s="365">
        <f t="shared" ref="K257:AB257" si="153">$F245*K$33*K246-$F245*J$33*K246</f>
        <v>0</v>
      </c>
      <c r="L257" s="365">
        <f t="shared" si="153"/>
        <v>0</v>
      </c>
      <c r="M257" s="365">
        <f t="shared" si="153"/>
        <v>0</v>
      </c>
      <c r="N257" s="365">
        <f t="shared" si="153"/>
        <v>0</v>
      </c>
      <c r="O257" s="365">
        <f t="shared" si="153"/>
        <v>0</v>
      </c>
      <c r="P257" s="365">
        <f t="shared" si="153"/>
        <v>0</v>
      </c>
      <c r="Q257" s="365">
        <f t="shared" si="153"/>
        <v>0</v>
      </c>
      <c r="R257" s="365">
        <f t="shared" si="153"/>
        <v>0</v>
      </c>
      <c r="S257" s="365">
        <f t="shared" si="153"/>
        <v>0</v>
      </c>
      <c r="T257" s="365">
        <f t="shared" si="153"/>
        <v>0</v>
      </c>
      <c r="U257" s="365">
        <f t="shared" si="153"/>
        <v>0</v>
      </c>
      <c r="V257" s="365">
        <f t="shared" si="153"/>
        <v>0</v>
      </c>
      <c r="W257" s="365">
        <f t="shared" si="153"/>
        <v>0</v>
      </c>
      <c r="X257" s="365">
        <f t="shared" si="153"/>
        <v>0</v>
      </c>
      <c r="Y257" s="365">
        <f t="shared" si="153"/>
        <v>0</v>
      </c>
      <c r="Z257" s="365">
        <f t="shared" si="153"/>
        <v>0</v>
      </c>
      <c r="AA257" s="365">
        <f t="shared" si="153"/>
        <v>0</v>
      </c>
      <c r="AB257" s="365">
        <f t="shared" si="153"/>
        <v>0</v>
      </c>
    </row>
    <row r="258" spans="1:28">
      <c r="A258" s="95">
        <f t="shared" si="129"/>
        <v>140</v>
      </c>
      <c r="B258" s="345" t="s">
        <v>106</v>
      </c>
      <c r="H258" s="365">
        <f>$F245*H$33*(1-SUM($H246:H246))-$F245*$F248*(1-SUM($H246:H246))</f>
        <v>0</v>
      </c>
      <c r="I258" s="365">
        <f>$F245*I$33*(1-SUM($H246:I246))-$F245*H$33*(1-SUM($H246:I246))</f>
        <v>0</v>
      </c>
      <c r="J258" s="365">
        <f>$F245*J$33*(1-SUM($H246:J246))-$F245*I$33*(1-SUM($H246:J246))</f>
        <v>0</v>
      </c>
      <c r="K258" s="365">
        <f>$F245*K$33*(1-SUM($H246:K246))-$F245*J$33*(1-SUM($H246:K246))</f>
        <v>0</v>
      </c>
      <c r="L258" s="365">
        <f>$F245*L$33*(1-SUM($H246:L246))-$F245*K$33*(1-SUM($H246:L246))</f>
        <v>0</v>
      </c>
      <c r="M258" s="365">
        <f>$F245*M$33*(1-SUM($H246:M246))-$F245*L$33*(1-SUM($H246:M246))</f>
        <v>0</v>
      </c>
      <c r="N258" s="365">
        <f>$F245*N$33*(1-SUM($H246:N246))-$F245*M$33*(1-SUM($H246:N246))</f>
        <v>0</v>
      </c>
      <c r="O258" s="365">
        <f>$F245*O$33*(1-SUM($H246:O246))-$F245*N$33*(1-SUM($H246:O246))</f>
        <v>0</v>
      </c>
      <c r="P258" s="365">
        <f>$F245*P$33*(1-SUM($H246:P246))-$F245*O$33*(1-SUM($H246:P246))</f>
        <v>0</v>
      </c>
      <c r="Q258" s="365">
        <f>$F245*Q$33*(1-SUM($H246:Q246))-$F245*P$33*(1-SUM($H246:Q246))</f>
        <v>0</v>
      </c>
      <c r="R258" s="365">
        <f>$F245*R$33*(1-SUM($H246:R246))-$F245*Q$33*(1-SUM($H246:R246))</f>
        <v>0</v>
      </c>
      <c r="S258" s="365">
        <f>$F245*S$33*(1-SUM($H246:S246))-$F245*R$33*(1-SUM($H246:S246))</f>
        <v>0</v>
      </c>
      <c r="T258" s="365">
        <f>$F245*T$33*(1-SUM($H246:T246))-$F245*S$33*(1-SUM($H246:T246))</f>
        <v>0</v>
      </c>
      <c r="U258" s="365">
        <f>$F245*U$33*(1-SUM($H246:U246))-$F245*T$33*(1-SUM($H246:U246))</f>
        <v>0</v>
      </c>
      <c r="V258" s="365">
        <f>$F245*V$33*(1-SUM($H246:V246))-$F245*U$33*(1-SUM($H246:V246))</f>
        <v>0</v>
      </c>
      <c r="W258" s="365">
        <f>$F245*W$33*(1-SUM($H246:W246))-$F245*V$33*(1-SUM($H246:W246))</f>
        <v>0</v>
      </c>
      <c r="X258" s="365">
        <f>$F245*X$33*(1-SUM($H246:X246))-$F245*W$33*(1-SUM($H246:X246))</f>
        <v>0</v>
      </c>
      <c r="Y258" s="365">
        <f>$F245*Y$33*(1-SUM($H246:Y246))-$F245*X$33*(1-SUM($H246:Y246))</f>
        <v>0</v>
      </c>
      <c r="Z258" s="365">
        <f>$F245*Z$33*(1-SUM($H246:Z246))-$F245*Y$33*(1-SUM($H246:Z246))</f>
        <v>0</v>
      </c>
      <c r="AA258" s="365">
        <f>$F245*AA$33*(1-SUM($H246:AA246))-$F245*Z$33*(1-SUM($H246:AA246))</f>
        <v>0</v>
      </c>
      <c r="AB258" s="365">
        <f>$F245*AB$33*(1-SUM($H246:AB246))-$F245*AA$33*(1-SUM($H246:AB246))</f>
        <v>0</v>
      </c>
    </row>
    <row r="259" spans="1:28">
      <c r="A259" s="95">
        <f t="shared" si="129"/>
        <v>141</v>
      </c>
      <c r="D259" s="351"/>
      <c r="E259" s="351"/>
      <c r="F259" s="351"/>
      <c r="G259" s="352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 spans="1:28">
      <c r="A260" s="95">
        <f t="shared" si="129"/>
        <v>142</v>
      </c>
      <c r="D260" s="351"/>
      <c r="E260" s="351"/>
      <c r="F260" s="351"/>
      <c r="G260" s="352"/>
      <c r="H260" s="29"/>
    </row>
    <row r="261" spans="1:28">
      <c r="A261" s="95">
        <f t="shared" si="129"/>
        <v>143</v>
      </c>
      <c r="B261" s="28" t="s">
        <v>166</v>
      </c>
      <c r="C261" s="26"/>
      <c r="D261" s="134">
        <f>$G$7</f>
        <v>40908</v>
      </c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>
      <c r="A262" s="95">
        <f t="shared" si="129"/>
        <v>144</v>
      </c>
      <c r="D262" s="351"/>
      <c r="E262" s="351"/>
      <c r="F262" s="351"/>
      <c r="G262" s="352"/>
    </row>
    <row r="263" spans="1:28">
      <c r="A263" s="95">
        <f t="shared" si="129"/>
        <v>145</v>
      </c>
      <c r="B263" s="2" t="s">
        <v>104</v>
      </c>
      <c r="C263" s="2"/>
      <c r="D263" s="150">
        <v>0</v>
      </c>
      <c r="E263" s="76" t="s">
        <v>369</v>
      </c>
      <c r="F263" s="53">
        <f>+D263</f>
        <v>0</v>
      </c>
      <c r="G263" s="50"/>
      <c r="H263" s="70">
        <f>F263*F266</f>
        <v>0</v>
      </c>
      <c r="I263" s="70">
        <f t="shared" ref="I263:AB263" si="154">H266</f>
        <v>0</v>
      </c>
      <c r="J263" s="70">
        <f t="shared" si="154"/>
        <v>0</v>
      </c>
      <c r="K263" s="70">
        <f t="shared" si="154"/>
        <v>0</v>
      </c>
      <c r="L263" s="70">
        <f t="shared" si="154"/>
        <v>0</v>
      </c>
      <c r="M263" s="70">
        <f t="shared" si="154"/>
        <v>0</v>
      </c>
      <c r="N263" s="70">
        <f t="shared" si="154"/>
        <v>0</v>
      </c>
      <c r="O263" s="70">
        <f t="shared" si="154"/>
        <v>0</v>
      </c>
      <c r="P263" s="70">
        <f t="shared" si="154"/>
        <v>0</v>
      </c>
      <c r="Q263" s="70">
        <f t="shared" si="154"/>
        <v>0</v>
      </c>
      <c r="R263" s="70">
        <f t="shared" si="154"/>
        <v>0</v>
      </c>
      <c r="S263" s="70">
        <f t="shared" si="154"/>
        <v>0</v>
      </c>
      <c r="T263" s="70">
        <f t="shared" si="154"/>
        <v>0</v>
      </c>
      <c r="U263" s="70">
        <f t="shared" si="154"/>
        <v>0</v>
      </c>
      <c r="V263" s="70">
        <f t="shared" si="154"/>
        <v>0</v>
      </c>
      <c r="W263" s="70">
        <f t="shared" si="154"/>
        <v>0</v>
      </c>
      <c r="X263" s="70">
        <f t="shared" si="154"/>
        <v>0</v>
      </c>
      <c r="Y263" s="70">
        <f t="shared" si="154"/>
        <v>0</v>
      </c>
      <c r="Z263" s="70">
        <f t="shared" si="154"/>
        <v>0</v>
      </c>
      <c r="AA263" s="70">
        <f t="shared" si="154"/>
        <v>0</v>
      </c>
      <c r="AB263" s="70">
        <f t="shared" si="154"/>
        <v>0</v>
      </c>
    </row>
    <row r="264" spans="1:28" s="39" customFormat="1">
      <c r="A264" s="95">
        <f t="shared" si="129"/>
        <v>146</v>
      </c>
      <c r="B264" s="345" t="s">
        <v>79</v>
      </c>
      <c r="C264"/>
      <c r="D264"/>
      <c r="E264" s="351"/>
      <c r="F264" s="357"/>
      <c r="G264" s="352"/>
      <c r="H264" s="361">
        <v>0</v>
      </c>
      <c r="I264" s="361"/>
      <c r="J264" s="361"/>
      <c r="K264" s="361"/>
      <c r="L264" s="361"/>
      <c r="M264" s="361"/>
      <c r="N264" s="361"/>
      <c r="O264" s="361"/>
      <c r="P264" s="361"/>
      <c r="Q264" s="361"/>
      <c r="R264" s="361"/>
      <c r="S264" s="361"/>
      <c r="T264" s="361"/>
      <c r="U264" s="361"/>
      <c r="V264" s="361"/>
      <c r="W264" s="361"/>
      <c r="X264" s="361"/>
      <c r="Y264" s="361"/>
      <c r="Z264" s="361"/>
      <c r="AA264" s="361"/>
      <c r="AB264" s="361"/>
    </row>
    <row r="265" spans="1:28">
      <c r="A265" s="95">
        <f t="shared" si="129"/>
        <v>147</v>
      </c>
      <c r="B265" s="345" t="s">
        <v>101</v>
      </c>
      <c r="E265" s="351"/>
      <c r="F265" s="357"/>
      <c r="G265" s="352"/>
      <c r="H265" s="356">
        <f t="shared" ref="H265:AB265" si="155">H264*$F263*H$34</f>
        <v>0</v>
      </c>
      <c r="I265" s="356">
        <f t="shared" si="155"/>
        <v>0</v>
      </c>
      <c r="J265" s="356">
        <f t="shared" si="155"/>
        <v>0</v>
      </c>
      <c r="K265" s="356">
        <f t="shared" si="155"/>
        <v>0</v>
      </c>
      <c r="L265" s="356">
        <f t="shared" si="155"/>
        <v>0</v>
      </c>
      <c r="M265" s="356">
        <f t="shared" si="155"/>
        <v>0</v>
      </c>
      <c r="N265" s="356">
        <f t="shared" si="155"/>
        <v>0</v>
      </c>
      <c r="O265" s="356">
        <f t="shared" si="155"/>
        <v>0</v>
      </c>
      <c r="P265" s="356">
        <f t="shared" si="155"/>
        <v>0</v>
      </c>
      <c r="Q265" s="356">
        <f t="shared" si="155"/>
        <v>0</v>
      </c>
      <c r="R265" s="356">
        <f t="shared" si="155"/>
        <v>0</v>
      </c>
      <c r="S265" s="356">
        <f t="shared" si="155"/>
        <v>0</v>
      </c>
      <c r="T265" s="356">
        <f t="shared" si="155"/>
        <v>0</v>
      </c>
      <c r="U265" s="356">
        <f t="shared" si="155"/>
        <v>0</v>
      </c>
      <c r="V265" s="356">
        <f t="shared" si="155"/>
        <v>0</v>
      </c>
      <c r="W265" s="356">
        <f t="shared" si="155"/>
        <v>0</v>
      </c>
      <c r="X265" s="356">
        <f t="shared" si="155"/>
        <v>0</v>
      </c>
      <c r="Y265" s="356">
        <f t="shared" si="155"/>
        <v>0</v>
      </c>
      <c r="Z265" s="356">
        <f t="shared" si="155"/>
        <v>0</v>
      </c>
      <c r="AA265" s="356">
        <f t="shared" si="155"/>
        <v>0</v>
      </c>
      <c r="AB265" s="356">
        <f t="shared" si="155"/>
        <v>0</v>
      </c>
    </row>
    <row r="266" spans="1:28">
      <c r="A266" s="95">
        <f t="shared" ref="A266:A331" si="156">1+A265</f>
        <v>148</v>
      </c>
      <c r="B266" s="2" t="s">
        <v>102</v>
      </c>
      <c r="C266" s="2"/>
      <c r="D266" s="2"/>
      <c r="E266" s="75" t="s">
        <v>370</v>
      </c>
      <c r="F266" s="363">
        <v>2.5499999999999998</v>
      </c>
      <c r="G266" s="58"/>
      <c r="H266" s="69">
        <f>$F263*(1-SUM($H264:H264))*H$34</f>
        <v>0</v>
      </c>
      <c r="I266" s="69">
        <f>$F263*(1-SUM($H264:I264))*I$34</f>
        <v>0</v>
      </c>
      <c r="J266" s="69">
        <f>$F263*(1-SUM($H264:J264))*J$34</f>
        <v>0</v>
      </c>
      <c r="K266" s="69">
        <f>$F263*(1-SUM($H264:K264))*K$34</f>
        <v>0</v>
      </c>
      <c r="L266" s="69">
        <f>$F263*(1-SUM($H264:L264))*L$34</f>
        <v>0</v>
      </c>
      <c r="M266" s="69">
        <f>$F263*(1-SUM($H264:M264))*M$34</f>
        <v>0</v>
      </c>
      <c r="N266" s="69">
        <f>$F263*(1-SUM($H264:N264))*N$34</f>
        <v>0</v>
      </c>
      <c r="O266" s="69">
        <f>$F263*(1-SUM($H264:O264))*O$34</f>
        <v>0</v>
      </c>
      <c r="P266" s="69">
        <f>$F263*(1-SUM($H264:P264))*P$34</f>
        <v>0</v>
      </c>
      <c r="Q266" s="69">
        <f>$F263*(1-SUM($H264:Q264))*Q$34</f>
        <v>0</v>
      </c>
      <c r="R266" s="69">
        <f>$F263*(1-SUM($H264:R264))*R$34</f>
        <v>0</v>
      </c>
      <c r="S266" s="69">
        <f>$F263*(1-SUM($H264:S264))*S$34</f>
        <v>0</v>
      </c>
      <c r="T266" s="69">
        <f>$F263*(1-SUM($H264:T264))*T$34</f>
        <v>0</v>
      </c>
      <c r="U266" s="69">
        <f>$F263*(1-SUM($H264:U264))*U$34</f>
        <v>0</v>
      </c>
      <c r="V266" s="69">
        <f>$F263*(1-SUM($H264:V264))*V$34</f>
        <v>0</v>
      </c>
      <c r="W266" s="69">
        <f>$F263*(1-SUM($H264:W264))*W$34</f>
        <v>0</v>
      </c>
      <c r="X266" s="69">
        <f>$F263*(1-SUM($H264:X264))*X$34</f>
        <v>0</v>
      </c>
      <c r="Y266" s="69">
        <f>$F263*(1-SUM($H264:Y264))*Y$34</f>
        <v>0</v>
      </c>
      <c r="Z266" s="69">
        <f>$F263*(1-SUM($H264:Z264))*Z$34</f>
        <v>0</v>
      </c>
      <c r="AA266" s="69">
        <f>$F263*(1-SUM($H264:AA264))*AA$34</f>
        <v>0</v>
      </c>
      <c r="AB266" s="69">
        <f>$F263*(1-SUM($H264:AB264))*AB$34</f>
        <v>0</v>
      </c>
    </row>
    <row r="267" spans="1:28">
      <c r="A267" s="95">
        <f t="shared" si="156"/>
        <v>149</v>
      </c>
      <c r="B267" s="345"/>
      <c r="G267" s="352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358"/>
      <c r="AB267" s="358"/>
    </row>
    <row r="268" spans="1:28">
      <c r="A268" s="95">
        <f t="shared" si="156"/>
        <v>150</v>
      </c>
      <c r="B268" s="345" t="s">
        <v>2</v>
      </c>
      <c r="E268" s="351"/>
      <c r="F268" s="351"/>
      <c r="G268" s="352"/>
      <c r="H268" s="79">
        <f>Anual!R86/100</f>
        <v>5.1847134073820921E-3</v>
      </c>
      <c r="I268" s="79">
        <f>Anual!S86/100</f>
        <v>9.2379200645800932E-3</v>
      </c>
      <c r="J268" s="79">
        <f>Anual!T86/100</f>
        <v>1.4999999999999999E-2</v>
      </c>
      <c r="K268" s="79">
        <f>Anual!U86/100</f>
        <v>1.4999999999999999E-2</v>
      </c>
      <c r="L268" s="79">
        <f>Anual!V86/100</f>
        <v>1.4999999999999999E-2</v>
      </c>
      <c r="M268" s="79">
        <f>Anual!W86/100</f>
        <v>1.4999999999999999E-2</v>
      </c>
      <c r="N268" s="79">
        <f>Anual!X86/100</f>
        <v>0.02</v>
      </c>
      <c r="O268" s="79">
        <f>Anual!Y86/100</f>
        <v>0.02</v>
      </c>
      <c r="P268" s="79">
        <f>Anual!Z86/100</f>
        <v>0.02</v>
      </c>
      <c r="Q268" s="79">
        <f>Anual!AA86/100</f>
        <v>0.02</v>
      </c>
      <c r="R268" s="79">
        <f>Anual!AB86/100</f>
        <v>0.04</v>
      </c>
      <c r="S268" s="79" t="e">
        <f>Anual!AC86/100</f>
        <v>#VALUE!</v>
      </c>
      <c r="T268" s="79" t="e">
        <f>Anual!AD86/100</f>
        <v>#VALUE!</v>
      </c>
      <c r="U268" s="79" t="e">
        <f>Anual!AE86/100</f>
        <v>#VALUE!</v>
      </c>
      <c r="V268" s="79" t="e">
        <f>Anual!AF86/100</f>
        <v>#VALUE!</v>
      </c>
      <c r="W268" s="79" t="e">
        <f>Anual!AG86/100</f>
        <v>#VALUE!</v>
      </c>
      <c r="X268" s="79" t="e">
        <f>Anual!AH86/100</f>
        <v>#VALUE!</v>
      </c>
      <c r="Y268" s="79" t="e">
        <f>Anual!AI86/100</f>
        <v>#VALUE!</v>
      </c>
      <c r="Z268" s="79" t="e">
        <f>Anual!AJ86/100</f>
        <v>#VALUE!</v>
      </c>
      <c r="AA268" s="79" t="e">
        <f>Anual!AK86/100</f>
        <v>#VALUE!</v>
      </c>
      <c r="AB268" s="79" t="e">
        <f>Anual!AL86/100</f>
        <v>#VALUE!</v>
      </c>
    </row>
    <row r="269" spans="1:28">
      <c r="A269" s="95">
        <f t="shared" si="156"/>
        <v>151</v>
      </c>
      <c r="B269" s="345" t="s">
        <v>75</v>
      </c>
      <c r="E269" s="351"/>
      <c r="F269" s="351"/>
      <c r="G269" s="352"/>
      <c r="H269" s="349">
        <f>H268*(H$7-$D261)/360</f>
        <v>5.2711252975051271E-3</v>
      </c>
      <c r="I269" s="349">
        <f t="shared" ref="I269:AB269" si="157">I268*(I$7-$D261)/360-H268*(H$7-$D261)/360</f>
        <v>1.3486984611406117E-2</v>
      </c>
      <c r="J269" s="349">
        <f t="shared" si="157"/>
        <v>2.6908556757755418E-2</v>
      </c>
      <c r="K269" s="349">
        <f t="shared" si="157"/>
        <v>1.5208333333333338E-2</v>
      </c>
      <c r="L269" s="349">
        <f t="shared" si="157"/>
        <v>1.525E-2</v>
      </c>
      <c r="M269" s="349">
        <f t="shared" si="157"/>
        <v>1.5208333333333324E-2</v>
      </c>
      <c r="N269" s="349">
        <f t="shared" si="157"/>
        <v>5.0722222222222224E-2</v>
      </c>
      <c r="O269" s="349">
        <f t="shared" si="157"/>
        <v>2.0277777777777783E-2</v>
      </c>
      <c r="P269" s="349">
        <f t="shared" si="157"/>
        <v>2.0333333333333342E-2</v>
      </c>
      <c r="Q269" s="349">
        <f t="shared" si="157"/>
        <v>2.0277777777777783E-2</v>
      </c>
      <c r="R269" s="349">
        <f t="shared" si="157"/>
        <v>0.24349999999999997</v>
      </c>
      <c r="S269" s="349" t="e">
        <f t="shared" si="157"/>
        <v>#VALUE!</v>
      </c>
      <c r="T269" s="349" t="e">
        <f t="shared" si="157"/>
        <v>#VALUE!</v>
      </c>
      <c r="U269" s="349" t="e">
        <f t="shared" si="157"/>
        <v>#VALUE!</v>
      </c>
      <c r="V269" s="349" t="e">
        <f t="shared" si="157"/>
        <v>#VALUE!</v>
      </c>
      <c r="W269" s="349" t="e">
        <f t="shared" si="157"/>
        <v>#VALUE!</v>
      </c>
      <c r="X269" s="349" t="e">
        <f t="shared" si="157"/>
        <v>#VALUE!</v>
      </c>
      <c r="Y269" s="349" t="e">
        <f t="shared" si="157"/>
        <v>#VALUE!</v>
      </c>
      <c r="Z269" s="349" t="e">
        <f t="shared" si="157"/>
        <v>#VALUE!</v>
      </c>
      <c r="AA269" s="349" t="e">
        <f t="shared" si="157"/>
        <v>#VALUE!</v>
      </c>
      <c r="AB269" s="349" t="e">
        <f t="shared" si="157"/>
        <v>#VALUE!</v>
      </c>
    </row>
    <row r="270" spans="1:28">
      <c r="A270" s="95">
        <f t="shared" si="156"/>
        <v>152</v>
      </c>
      <c r="B270" s="345" t="s">
        <v>76</v>
      </c>
      <c r="E270" s="351"/>
      <c r="F270" s="350">
        <v>2.5000000000000001E-2</v>
      </c>
      <c r="G270" s="352"/>
      <c r="H270" s="353">
        <f>((1+H268)*(1+$F270))-1</f>
        <v>3.0314331242566661E-2</v>
      </c>
      <c r="I270" s="353">
        <f t="shared" ref="I270:AB270" si="158">((1+I268)*(1+$F270))-1</f>
        <v>3.4468868066194425E-2</v>
      </c>
      <c r="J270" s="353">
        <f t="shared" si="158"/>
        <v>4.0374999999999828E-2</v>
      </c>
      <c r="K270" s="353">
        <f t="shared" si="158"/>
        <v>4.0374999999999828E-2</v>
      </c>
      <c r="L270" s="353">
        <f t="shared" si="158"/>
        <v>4.0374999999999828E-2</v>
      </c>
      <c r="M270" s="353">
        <f t="shared" si="158"/>
        <v>4.0374999999999828E-2</v>
      </c>
      <c r="N270" s="353">
        <f t="shared" si="158"/>
        <v>4.5499999999999874E-2</v>
      </c>
      <c r="O270" s="353">
        <f t="shared" si="158"/>
        <v>4.5499999999999874E-2</v>
      </c>
      <c r="P270" s="353">
        <f t="shared" si="158"/>
        <v>4.5499999999999874E-2</v>
      </c>
      <c r="Q270" s="353">
        <f t="shared" si="158"/>
        <v>4.5499999999999874E-2</v>
      </c>
      <c r="R270" s="353">
        <f t="shared" si="158"/>
        <v>6.5999999999999837E-2</v>
      </c>
      <c r="S270" s="353" t="e">
        <f t="shared" si="158"/>
        <v>#VALUE!</v>
      </c>
      <c r="T270" s="353" t="e">
        <f t="shared" si="158"/>
        <v>#VALUE!</v>
      </c>
      <c r="U270" s="353" t="e">
        <f t="shared" si="158"/>
        <v>#VALUE!</v>
      </c>
      <c r="V270" s="353" t="e">
        <f t="shared" si="158"/>
        <v>#VALUE!</v>
      </c>
      <c r="W270" s="353" t="e">
        <f t="shared" si="158"/>
        <v>#VALUE!</v>
      </c>
      <c r="X270" s="353" t="e">
        <f t="shared" si="158"/>
        <v>#VALUE!</v>
      </c>
      <c r="Y270" s="353" t="e">
        <f t="shared" si="158"/>
        <v>#VALUE!</v>
      </c>
      <c r="Z270" s="353" t="e">
        <f t="shared" si="158"/>
        <v>#VALUE!</v>
      </c>
      <c r="AA270" s="353" t="e">
        <f t="shared" si="158"/>
        <v>#VALUE!</v>
      </c>
      <c r="AB270" s="353" t="e">
        <f t="shared" si="158"/>
        <v>#VALUE!</v>
      </c>
    </row>
    <row r="271" spans="1:28">
      <c r="A271" s="95">
        <f t="shared" si="156"/>
        <v>153</v>
      </c>
      <c r="B271" s="345" t="s">
        <v>105</v>
      </c>
      <c r="E271" s="351"/>
      <c r="F271" s="351"/>
      <c r="G271" s="10"/>
      <c r="H271" s="353">
        <f t="shared" ref="H271:M271" si="159">H253</f>
        <v>-0.11712529258537158</v>
      </c>
      <c r="I271" s="353">
        <f t="shared" si="159"/>
        <v>-4.8341331917666826E-2</v>
      </c>
      <c r="J271" s="353">
        <f t="shared" si="159"/>
        <v>0.16173497140413545</v>
      </c>
      <c r="K271" s="353">
        <f t="shared" si="159"/>
        <v>5.3512169554724438E-2</v>
      </c>
      <c r="L271" s="353">
        <f t="shared" si="159"/>
        <v>4.6987087517934609E-2</v>
      </c>
      <c r="M271" s="353">
        <f t="shared" si="159"/>
        <v>4.6621526308365198E-2</v>
      </c>
      <c r="N271" s="353">
        <f t="shared" ref="N271:AB271" si="160">N$34/M$34-1</f>
        <v>3.9215686274509887E-2</v>
      </c>
      <c r="O271" s="353">
        <f t="shared" si="160"/>
        <v>2.941176470588247E-2</v>
      </c>
      <c r="P271" s="353">
        <f t="shared" si="160"/>
        <v>2.941176470588247E-2</v>
      </c>
      <c r="Q271" s="353">
        <f t="shared" si="160"/>
        <v>2.9411764705882248E-2</v>
      </c>
      <c r="R271" s="353">
        <f t="shared" si="160"/>
        <v>2.9411764705882248E-2</v>
      </c>
      <c r="S271" s="353">
        <f t="shared" si="160"/>
        <v>2.941176470588247E-2</v>
      </c>
      <c r="T271" s="353">
        <f t="shared" si="160"/>
        <v>2.941176470588247E-2</v>
      </c>
      <c r="U271" s="353">
        <f t="shared" si="160"/>
        <v>2.9411764705882248E-2</v>
      </c>
      <c r="V271" s="353">
        <f t="shared" si="160"/>
        <v>2.941176470588247E-2</v>
      </c>
      <c r="W271" s="353">
        <f t="shared" si="160"/>
        <v>2.941176470588247E-2</v>
      </c>
      <c r="X271" s="353">
        <f t="shared" si="160"/>
        <v>2.9411764705882248E-2</v>
      </c>
      <c r="Y271" s="353">
        <f t="shared" si="160"/>
        <v>2.941176470588247E-2</v>
      </c>
      <c r="Z271" s="353">
        <f t="shared" si="160"/>
        <v>2.941176470588247E-2</v>
      </c>
      <c r="AA271" s="353">
        <f t="shared" si="160"/>
        <v>2.9411764705882248E-2</v>
      </c>
      <c r="AB271" s="353">
        <f t="shared" si="160"/>
        <v>-1</v>
      </c>
    </row>
    <row r="272" spans="1:28">
      <c r="A272" s="95">
        <f t="shared" si="156"/>
        <v>154</v>
      </c>
      <c r="F272" s="39"/>
    </row>
    <row r="273" spans="1:28">
      <c r="A273" s="95">
        <f t="shared" si="156"/>
        <v>155</v>
      </c>
      <c r="B273" s="345" t="s">
        <v>103</v>
      </c>
      <c r="C273" s="345"/>
      <c r="D273" s="345"/>
      <c r="E273" s="357"/>
      <c r="F273" s="350">
        <v>0</v>
      </c>
      <c r="G273" s="352"/>
      <c r="H273" s="360">
        <f>F263*F273</f>
        <v>0</v>
      </c>
      <c r="I273" s="360">
        <v>0</v>
      </c>
      <c r="J273" s="360">
        <v>0</v>
      </c>
      <c r="K273" s="360">
        <v>0</v>
      </c>
      <c r="L273" s="360">
        <v>0</v>
      </c>
      <c r="M273" s="360">
        <v>0</v>
      </c>
      <c r="N273" s="360">
        <v>0</v>
      </c>
      <c r="O273" s="360">
        <v>0</v>
      </c>
      <c r="P273" s="360">
        <v>0</v>
      </c>
      <c r="Q273" s="360">
        <v>0</v>
      </c>
      <c r="R273" s="360">
        <v>0</v>
      </c>
      <c r="S273" s="360">
        <v>0</v>
      </c>
      <c r="T273" s="360">
        <v>0</v>
      </c>
      <c r="U273" s="360">
        <v>0</v>
      </c>
      <c r="V273" s="360">
        <v>0</v>
      </c>
      <c r="W273" s="360">
        <v>0</v>
      </c>
      <c r="X273" s="360">
        <v>0</v>
      </c>
      <c r="Y273" s="360">
        <v>0</v>
      </c>
      <c r="Z273" s="360">
        <v>0</v>
      </c>
      <c r="AA273" s="360">
        <v>0</v>
      </c>
      <c r="AB273" s="360">
        <v>0</v>
      </c>
    </row>
    <row r="274" spans="1:28">
      <c r="A274" s="95">
        <f t="shared" si="156"/>
        <v>156</v>
      </c>
      <c r="B274" s="2" t="s">
        <v>232</v>
      </c>
      <c r="C274" s="2"/>
      <c r="D274" s="56"/>
      <c r="E274" s="56"/>
      <c r="F274" s="56"/>
      <c r="G274" s="58"/>
      <c r="H274" s="68">
        <f t="shared" ref="H274:AB274" si="161">H273+H263*((1+H270)*(1+H271)-1)</f>
        <v>0</v>
      </c>
      <c r="I274" s="68">
        <f t="shared" si="161"/>
        <v>0</v>
      </c>
      <c r="J274" s="68">
        <f t="shared" si="161"/>
        <v>0</v>
      </c>
      <c r="K274" s="68">
        <f t="shared" si="161"/>
        <v>0</v>
      </c>
      <c r="L274" s="68">
        <f t="shared" si="161"/>
        <v>0</v>
      </c>
      <c r="M274" s="68">
        <f t="shared" si="161"/>
        <v>0</v>
      </c>
      <c r="N274" s="68">
        <f t="shared" si="161"/>
        <v>0</v>
      </c>
      <c r="O274" s="68">
        <f t="shared" si="161"/>
        <v>0</v>
      </c>
      <c r="P274" s="68">
        <f t="shared" si="161"/>
        <v>0</v>
      </c>
      <c r="Q274" s="68">
        <f t="shared" si="161"/>
        <v>0</v>
      </c>
      <c r="R274" s="68">
        <f t="shared" si="161"/>
        <v>0</v>
      </c>
      <c r="S274" s="68" t="e">
        <f t="shared" si="161"/>
        <v>#VALUE!</v>
      </c>
      <c r="T274" s="68" t="e">
        <f t="shared" si="161"/>
        <v>#VALUE!</v>
      </c>
      <c r="U274" s="68" t="e">
        <f t="shared" si="161"/>
        <v>#VALUE!</v>
      </c>
      <c r="V274" s="68" t="e">
        <f t="shared" si="161"/>
        <v>#VALUE!</v>
      </c>
      <c r="W274" s="68" t="e">
        <f t="shared" si="161"/>
        <v>#VALUE!</v>
      </c>
      <c r="X274" s="68" t="e">
        <f t="shared" si="161"/>
        <v>#VALUE!</v>
      </c>
      <c r="Y274" s="68" t="e">
        <f t="shared" si="161"/>
        <v>#VALUE!</v>
      </c>
      <c r="Z274" s="68" t="e">
        <f t="shared" si="161"/>
        <v>#VALUE!</v>
      </c>
      <c r="AA274" s="68" t="e">
        <f t="shared" si="161"/>
        <v>#VALUE!</v>
      </c>
      <c r="AB274" s="68" t="e">
        <f t="shared" si="161"/>
        <v>#VALUE!</v>
      </c>
    </row>
    <row r="275" spans="1:28">
      <c r="A275" s="95">
        <f t="shared" si="156"/>
        <v>157</v>
      </c>
      <c r="B275" s="345" t="s">
        <v>167</v>
      </c>
      <c r="C275" s="2"/>
      <c r="D275" s="56"/>
      <c r="E275" s="56"/>
      <c r="F275" s="56"/>
      <c r="G275" s="129"/>
      <c r="H275" s="365">
        <f>$F263*H$34*H264-$F263*$F266*H264</f>
        <v>0</v>
      </c>
      <c r="I275" s="365">
        <f t="shared" ref="I275:AB275" si="162">$F263*I$34*I264-$F263*H$34*I264</f>
        <v>0</v>
      </c>
      <c r="J275" s="365">
        <f t="shared" si="162"/>
        <v>0</v>
      </c>
      <c r="K275" s="365">
        <f t="shared" si="162"/>
        <v>0</v>
      </c>
      <c r="L275" s="365">
        <f t="shared" si="162"/>
        <v>0</v>
      </c>
      <c r="M275" s="365">
        <f t="shared" si="162"/>
        <v>0</v>
      </c>
      <c r="N275" s="365">
        <f t="shared" si="162"/>
        <v>0</v>
      </c>
      <c r="O275" s="365">
        <f t="shared" si="162"/>
        <v>0</v>
      </c>
      <c r="P275" s="365">
        <f t="shared" si="162"/>
        <v>0</v>
      </c>
      <c r="Q275" s="365">
        <f t="shared" si="162"/>
        <v>0</v>
      </c>
      <c r="R275" s="365">
        <f t="shared" si="162"/>
        <v>0</v>
      </c>
      <c r="S275" s="365">
        <f t="shared" si="162"/>
        <v>0</v>
      </c>
      <c r="T275" s="365">
        <f t="shared" si="162"/>
        <v>0</v>
      </c>
      <c r="U275" s="365">
        <f t="shared" si="162"/>
        <v>0</v>
      </c>
      <c r="V275" s="365">
        <f t="shared" si="162"/>
        <v>0</v>
      </c>
      <c r="W275" s="365">
        <f t="shared" si="162"/>
        <v>0</v>
      </c>
      <c r="X275" s="365">
        <f t="shared" si="162"/>
        <v>0</v>
      </c>
      <c r="Y275" s="365">
        <f t="shared" si="162"/>
        <v>0</v>
      </c>
      <c r="Z275" s="365">
        <f t="shared" si="162"/>
        <v>0</v>
      </c>
      <c r="AA275" s="365">
        <f t="shared" si="162"/>
        <v>0</v>
      </c>
      <c r="AB275" s="365">
        <f t="shared" si="162"/>
        <v>0</v>
      </c>
    </row>
    <row r="276" spans="1:28">
      <c r="A276" s="95">
        <f t="shared" si="156"/>
        <v>158</v>
      </c>
      <c r="B276" s="345" t="s">
        <v>106</v>
      </c>
      <c r="H276" s="365">
        <f>$F263*H$34*(1-SUM($H264:H264))-$F263*$F266*(1-SUM($H264:H264))</f>
        <v>0</v>
      </c>
      <c r="I276" s="365">
        <f>$F263*I$34*(1-SUM($H264:I264))-$F263*H$34*(1-SUM($H264:I264))</f>
        <v>0</v>
      </c>
      <c r="J276" s="365">
        <f>$F263*J$34*(1-SUM($H264:J264))-$F263*I$34*(1-SUM($H264:J264))</f>
        <v>0</v>
      </c>
      <c r="K276" s="365">
        <f>$F263*K$34*(1-SUM($H264:K264))-$F263*J$34*(1-SUM($H264:K264))</f>
        <v>0</v>
      </c>
      <c r="L276" s="365">
        <f>$F263*L$34*(1-SUM($H264:L264))-$F263*K$34*(1-SUM($H264:L264))</f>
        <v>0</v>
      </c>
      <c r="M276" s="365">
        <f>$F263*M$34*(1-SUM($H264:M264))-$F263*L$34*(1-SUM($H264:M264))</f>
        <v>0</v>
      </c>
      <c r="N276" s="365">
        <f>$F263*N$34*(1-SUM($H264:N264))-$F263*M$34*(1-SUM($H264:N264))</f>
        <v>0</v>
      </c>
      <c r="O276" s="365">
        <f>$F263*O$34*(1-SUM($H264:O264))-$F263*N$34*(1-SUM($H264:O264))</f>
        <v>0</v>
      </c>
      <c r="P276" s="365">
        <f>$F263*P$34*(1-SUM($H264:P264))-$F263*O$34*(1-SUM($H264:P264))</f>
        <v>0</v>
      </c>
      <c r="Q276" s="365">
        <f>$F263*Q$34*(1-SUM($H264:Q264))-$F263*P$34*(1-SUM($H264:Q264))</f>
        <v>0</v>
      </c>
      <c r="R276" s="365">
        <f>$F263*R$34*(1-SUM($H264:R264))-$F263*Q$34*(1-SUM($H264:R264))</f>
        <v>0</v>
      </c>
      <c r="S276" s="365">
        <f>$F263*S$34*(1-SUM($H264:S264))-$F263*R$34*(1-SUM($H264:S264))</f>
        <v>0</v>
      </c>
      <c r="T276" s="365">
        <f>$F263*T$34*(1-SUM($H264:T264))-$F263*S$34*(1-SUM($H264:T264))</f>
        <v>0</v>
      </c>
      <c r="U276" s="365">
        <f>$F263*U$34*(1-SUM($H264:U264))-$F263*T$34*(1-SUM($H264:U264))</f>
        <v>0</v>
      </c>
      <c r="V276" s="365">
        <f>$F263*V$34*(1-SUM($H264:V264))-$F263*U$34*(1-SUM($H264:V264))</f>
        <v>0</v>
      </c>
      <c r="W276" s="365">
        <f>$F263*W$34*(1-SUM($H264:W264))-$F263*V$34*(1-SUM($H264:W264))</f>
        <v>0</v>
      </c>
      <c r="X276" s="365">
        <f>$F263*X$34*(1-SUM($H264:X264))-$F263*W$34*(1-SUM($H264:X264))</f>
        <v>0</v>
      </c>
      <c r="Y276" s="365">
        <f>$F263*Y$34*(1-SUM($H264:Y264))-$F263*X$34*(1-SUM($H264:Y264))</f>
        <v>0</v>
      </c>
      <c r="Z276" s="365">
        <f>$F263*Z$34*(1-SUM($H264:Z264))-$F263*Y$34*(1-SUM($H264:Z264))</f>
        <v>0</v>
      </c>
      <c r="AA276" s="365">
        <f>$F263*AA$34*(1-SUM($H264:AA264))-$F263*Z$34*(1-SUM($H264:AA264))</f>
        <v>0</v>
      </c>
      <c r="AB276" s="365">
        <f>$F263*AB$34*(1-SUM($H264:AB264))-$F263*AA$34*(1-SUM($H264:AB264))</f>
        <v>0</v>
      </c>
    </row>
    <row r="277" spans="1:28">
      <c r="A277" s="95">
        <f t="shared" si="156"/>
        <v>159</v>
      </c>
      <c r="B277" s="4"/>
      <c r="D277" s="54"/>
      <c r="E277" s="54"/>
      <c r="F277" s="54"/>
      <c r="G277" s="5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>
      <c r="A278" s="95">
        <f t="shared" si="156"/>
        <v>160</v>
      </c>
      <c r="B278" s="4"/>
      <c r="D278" s="54"/>
      <c r="E278" s="54"/>
      <c r="F278" s="54"/>
      <c r="G278" s="5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>
      <c r="A279" s="95">
        <f t="shared" si="156"/>
        <v>161</v>
      </c>
      <c r="B279" s="28" t="s">
        <v>223</v>
      </c>
      <c r="C279" s="26"/>
      <c r="D279" s="134" t="s">
        <v>399</v>
      </c>
      <c r="E279" s="26"/>
      <c r="F279" s="26"/>
      <c r="G279" s="26"/>
      <c r="H279" s="26">
        <v>0</v>
      </c>
      <c r="I279" s="26">
        <v>1</v>
      </c>
      <c r="J279" s="26">
        <v>2</v>
      </c>
      <c r="K279" s="26">
        <v>3</v>
      </c>
      <c r="L279" s="26">
        <v>4</v>
      </c>
      <c r="M279" s="26">
        <v>5</v>
      </c>
      <c r="N279" s="26">
        <v>6</v>
      </c>
      <c r="O279" s="26">
        <v>7</v>
      </c>
      <c r="P279" s="26">
        <v>8</v>
      </c>
      <c r="Q279" s="26">
        <v>9</v>
      </c>
      <c r="R279" s="26">
        <v>10</v>
      </c>
      <c r="S279" s="26">
        <v>11</v>
      </c>
      <c r="T279" s="26">
        <v>12</v>
      </c>
      <c r="U279" s="26">
        <v>13</v>
      </c>
      <c r="V279" s="26">
        <v>14</v>
      </c>
      <c r="W279" s="26">
        <v>15</v>
      </c>
      <c r="X279" s="26">
        <v>16</v>
      </c>
      <c r="Y279" s="26">
        <v>17</v>
      </c>
      <c r="Z279" s="26">
        <v>18</v>
      </c>
      <c r="AA279" s="26">
        <v>19</v>
      </c>
      <c r="AB279" s="26">
        <v>20</v>
      </c>
    </row>
    <row r="280" spans="1:28">
      <c r="A280" s="95">
        <f t="shared" si="156"/>
        <v>162</v>
      </c>
      <c r="D280" s="351"/>
      <c r="E280" s="351"/>
      <c r="F280" s="351"/>
      <c r="G280" s="352"/>
    </row>
    <row r="281" spans="1:28">
      <c r="A281" s="95">
        <f t="shared" si="156"/>
        <v>163</v>
      </c>
      <c r="B281" s="2" t="s">
        <v>225</v>
      </c>
      <c r="D281" s="351"/>
      <c r="E281" s="351"/>
      <c r="F281" s="351"/>
      <c r="G281" s="352"/>
      <c r="H281" s="139">
        <v>0.3</v>
      </c>
      <c r="I281" s="366">
        <f t="shared" ref="I281:AB281" si="163">+H281</f>
        <v>0.3</v>
      </c>
      <c r="J281" s="366">
        <v>0.5</v>
      </c>
      <c r="K281" s="366">
        <f t="shared" si="163"/>
        <v>0.5</v>
      </c>
      <c r="L281" s="366">
        <f t="shared" si="163"/>
        <v>0.5</v>
      </c>
      <c r="M281" s="366">
        <f t="shared" si="163"/>
        <v>0.5</v>
      </c>
      <c r="N281" s="366">
        <f t="shared" si="163"/>
        <v>0.5</v>
      </c>
      <c r="O281" s="366">
        <f t="shared" si="163"/>
        <v>0.5</v>
      </c>
      <c r="P281" s="366">
        <f t="shared" si="163"/>
        <v>0.5</v>
      </c>
      <c r="Q281" s="366">
        <f t="shared" si="163"/>
        <v>0.5</v>
      </c>
      <c r="R281" s="366">
        <f t="shared" si="163"/>
        <v>0.5</v>
      </c>
      <c r="S281" s="366">
        <f t="shared" si="163"/>
        <v>0.5</v>
      </c>
      <c r="T281" s="366">
        <f t="shared" si="163"/>
        <v>0.5</v>
      </c>
      <c r="U281" s="366">
        <f t="shared" si="163"/>
        <v>0.5</v>
      </c>
      <c r="V281" s="366">
        <f t="shared" si="163"/>
        <v>0.5</v>
      </c>
      <c r="W281" s="366">
        <f t="shared" si="163"/>
        <v>0.5</v>
      </c>
      <c r="X281" s="366">
        <f t="shared" si="163"/>
        <v>0.5</v>
      </c>
      <c r="Y281" s="366">
        <f t="shared" si="163"/>
        <v>0.5</v>
      </c>
      <c r="Z281" s="366">
        <f t="shared" si="163"/>
        <v>0.5</v>
      </c>
      <c r="AA281" s="366">
        <f t="shared" si="163"/>
        <v>0.5</v>
      </c>
      <c r="AB281" s="366">
        <f t="shared" si="163"/>
        <v>0.5</v>
      </c>
    </row>
    <row r="282" spans="1:28">
      <c r="A282" s="95">
        <f t="shared" si="156"/>
        <v>164</v>
      </c>
      <c r="B282" s="2" t="s">
        <v>224</v>
      </c>
      <c r="C282" s="2"/>
      <c r="D282" s="2"/>
      <c r="E282" s="2"/>
      <c r="F282" s="2"/>
      <c r="G282" s="50"/>
      <c r="H282" s="140">
        <f>'Fixed Assets &amp; CAPEX'!H104*H281</f>
        <v>41700</v>
      </c>
      <c r="I282" s="140">
        <f ca="1">'Fixed Assets &amp; CAPEX'!I104*I281</f>
        <v>32359.122857142851</v>
      </c>
      <c r="J282" s="140">
        <f ca="1">'Fixed Assets &amp; CAPEX'!J104*J281</f>
        <v>31636.424489795914</v>
      </c>
      <c r="K282" s="140">
        <f ca="1">'Fixed Assets &amp; CAPEX'!K104*K281</f>
        <v>36155.913702623904</v>
      </c>
      <c r="L282" s="140">
        <f ca="1">'Fixed Assets &amp; CAPEX'!L104*L281</f>
        <v>41321.04423157018</v>
      </c>
      <c r="M282" s="140">
        <f ca="1">'Fixed Assets &amp; CAPEX'!M104*M281</f>
        <v>47224.050550365922</v>
      </c>
      <c r="N282" s="140">
        <f ca="1">'Fixed Assets &amp; CAPEX'!N104*N281</f>
        <v>53970.343486132479</v>
      </c>
      <c r="O282" s="140">
        <f ca="1">'Fixed Assets &amp; CAPEX'!O104*O281</f>
        <v>61680.39255557998</v>
      </c>
      <c r="P282" s="140">
        <f ca="1">'Fixed Assets &amp; CAPEX'!P104*P281</f>
        <v>60563.305777805697</v>
      </c>
      <c r="Q282" s="140">
        <f ca="1">'Fixed Assets &amp; CAPEX'!Q104*Q281</f>
        <v>61510.653541982014</v>
      </c>
      <c r="R282" s="140">
        <f ca="1">'Fixed Assets &amp; CAPEX'!R104*R281</f>
        <v>65778.400549437167</v>
      </c>
      <c r="S282" s="140">
        <f ca="1">'Fixed Assets &amp; CAPEX'!S104*S281</f>
        <v>70010.1843846962</v>
      </c>
      <c r="T282" s="140">
        <f ca="1">'Fixed Assets &amp; CAPEX'!T104*T281</f>
        <v>60105.332977999911</v>
      </c>
      <c r="U282" s="140">
        <f ca="1">'Fixed Assets &amp; CAPEX'!U104*U281</f>
        <v>61945.516181947627</v>
      </c>
      <c r="V282" s="140">
        <f ca="1">'Fixed Assets &amp; CAPEX'!V104*V281</f>
        <v>63084.826567064076</v>
      </c>
      <c r="W282" s="140">
        <f ca="1">'Fixed Assets &amp; CAPEX'!W104*W281</f>
        <v>63285.459997276099</v>
      </c>
      <c r="X282" s="140">
        <f ca="1">'Fixed Assets &amp; CAPEX'!X104*X281</f>
        <v>63674.339171486157</v>
      </c>
      <c r="Y282" s="140">
        <f ca="1">'Fixed Assets &amp; CAPEX'!Y104*Y281</f>
        <v>63983.437118558169</v>
      </c>
      <c r="Z282" s="140">
        <f ca="1">'Fixed Assets &amp; CAPEX'!Z104*Z281</f>
        <v>63727.013771289741</v>
      </c>
      <c r="AA282" s="140">
        <f ca="1">'Fixed Assets &amp; CAPEX'!AA104*AA281</f>
        <v>62829.417969374532</v>
      </c>
      <c r="AB282" s="140">
        <f ca="1">'Fixed Assets &amp; CAPEX'!AB104*AB281</f>
        <v>63218.57296814234</v>
      </c>
    </row>
    <row r="283" spans="1:28" s="39" customFormat="1" hidden="1" outlineLevel="1">
      <c r="A283" s="95">
        <f t="shared" si="156"/>
        <v>165</v>
      </c>
      <c r="B283" s="25" t="s">
        <v>179</v>
      </c>
      <c r="C283"/>
      <c r="D283"/>
      <c r="E283" s="351"/>
      <c r="F283" s="354">
        <f t="shared" ref="F283:F325" si="164">$F$326</f>
        <v>0.2</v>
      </c>
      <c r="G283" s="352"/>
      <c r="H283" s="355">
        <f>$H282*$F283/2</f>
        <v>4170</v>
      </c>
      <c r="I283" s="355">
        <f>IF(SUM($H283:H283)&gt;=$H282,0,IF($H282-SUM($H283:H283)&lt;$H282*$F283,$H282-SUM($H283:H283),$H282*$F283))</f>
        <v>8340</v>
      </c>
      <c r="J283" s="355">
        <f>IF(SUM($H283:I283)&gt;=$H282,0,IF($H282-SUM($H283:I283)&lt;$H282*$F283,$H282-SUM($H283:I283),$H282*$F283))</f>
        <v>8340</v>
      </c>
      <c r="K283" s="355">
        <f>IF(SUM($H283:J283)&gt;=$H282,0,IF($H282-SUM($H283:J283)&lt;$H282*$F283,$H282-SUM($H283:J283),$H282*$F283))</f>
        <v>8340</v>
      </c>
      <c r="L283" s="355">
        <f>IF(SUM($H283:K283)&gt;=$H282,0,IF($H282-SUM($H283:K283)&lt;$H282*$F283,$H282-SUM($H283:K283),$H282*$F283))</f>
        <v>8340</v>
      </c>
      <c r="M283" s="355">
        <f>IF(SUM($H283:L283)&gt;=$H282,0,IF($H282-SUM($H283:L283)&lt;$H282*$F283,$H282-SUM($H283:L283),$H282*$F283))</f>
        <v>4170</v>
      </c>
      <c r="N283" s="355">
        <f>IF(SUM($H283:M283)&gt;=$H282,0,IF($H282-SUM($H283:M283)&lt;$H282*$F283,$H282-SUM($H283:M283),$H282*$F283))</f>
        <v>0</v>
      </c>
      <c r="O283" s="355">
        <f>IF(SUM($H283:N283)&gt;=$H282,0,IF($H282-SUM($H283:N283)&lt;$H282*$F283,$H282-SUM($H283:N283),$H282*$F283))</f>
        <v>0</v>
      </c>
      <c r="P283" s="355">
        <f>IF(SUM($H283:O283)&gt;=$H282,0,IF($H282-SUM($H283:O283)&lt;$H282*$F283,$H282-SUM($H283:O283),$H282*$F283))</f>
        <v>0</v>
      </c>
      <c r="Q283" s="355">
        <f>IF(SUM($H283:P283)&gt;=$H282,0,IF($H282-SUM($H283:P283)&lt;$H282*$F283,$H282-SUM($H283:P283),$H282*$F283))</f>
        <v>0</v>
      </c>
      <c r="R283" s="355">
        <f>IF(SUM($H283:Q283)&gt;=$H282,0,IF($H282-SUM($H283:Q283)&lt;$H282*$F283,$H282-SUM($H283:Q283),$H282*$F283))</f>
        <v>0</v>
      </c>
      <c r="S283" s="355">
        <f>IF(SUM($H283:R283)&gt;=$H282,0,IF($H282-SUM($H283:R283)&lt;$H282*$F283,$H282-SUM($H283:R283),$H282*$F283))</f>
        <v>0</v>
      </c>
      <c r="T283" s="355">
        <f>IF(SUM($H283:S283)&gt;=$H282,0,IF($H282-SUM($H283:S283)&lt;$H282*$F283,$H282-SUM($H283:S283),$H282*$F283))</f>
        <v>0</v>
      </c>
      <c r="U283" s="355">
        <f>IF(SUM($H283:T283)&gt;=$H282,0,IF($H282-SUM($H283:T283)&lt;$H282*$F283,$H282-SUM($H283:T283),$H282*$F283))</f>
        <v>0</v>
      </c>
      <c r="V283" s="355">
        <f>IF(SUM($H283:U283)&gt;=$H282,0,IF($H282-SUM($H283:U283)&lt;$H282*$F283,$H282-SUM($H283:U283),$H282*$F283))</f>
        <v>0</v>
      </c>
      <c r="W283" s="355">
        <f>IF(SUM($H283:V283)&gt;=$H282,0,IF($H282-SUM($H283:V283)&lt;$H282*$F283,$H282-SUM($H283:V283),$H282*$F283))</f>
        <v>0</v>
      </c>
      <c r="X283" s="355">
        <f>IF(SUM($H283:W283)&gt;=$H282,0,IF($H282-SUM($H283:W283)&lt;$H282*$F283,$H282-SUM($H283:W283),$H282*$F283))</f>
        <v>0</v>
      </c>
      <c r="Y283" s="355">
        <f>IF(SUM($H283:X283)&gt;=$H282,0,IF($H282-SUM($H283:X283)&lt;$H282*$F283,$H282-SUM($H283:X283),$H282*$F283))</f>
        <v>0</v>
      </c>
      <c r="Z283" s="355">
        <f>IF(SUM($H283:Y283)&gt;=$H282,0,IF($H282-SUM($H283:Y283)&lt;$H282*$F283,$H282-SUM($H283:Y283),$H282*$F283))</f>
        <v>0</v>
      </c>
      <c r="AA283" s="355">
        <f>IF(SUM($H283:Z283)&gt;=$H282,0,IF($H282-SUM($H283:Z283)&lt;$H282*$F283,$H282-SUM($H283:Z283),$H282*$F283))</f>
        <v>0</v>
      </c>
      <c r="AB283" s="355">
        <f>IF(SUM($H283:AA283)&gt;=$H282,0,IF($H282-SUM($H283:AA283)&lt;$H282*$F283,$H282-SUM($H283:AA283),$H282*$F283))</f>
        <v>0</v>
      </c>
    </row>
    <row r="284" spans="1:28" s="39" customFormat="1" hidden="1" outlineLevel="1">
      <c r="A284" s="95">
        <f t="shared" si="156"/>
        <v>166</v>
      </c>
      <c r="B284" s="25" t="s">
        <v>180</v>
      </c>
      <c r="C284"/>
      <c r="D284"/>
      <c r="E284" s="351"/>
      <c r="F284" s="354">
        <f t="shared" si="164"/>
        <v>0.2</v>
      </c>
      <c r="G284" s="352"/>
      <c r="H284" s="355"/>
      <c r="I284" s="355">
        <f ca="1">IF(SUM($H284:H284)&gt;=$I282,0,IF($I282-SUM($H284:H284)&lt;$I282*$F284,$I282-SUM($H284:H284),$I282*$F284))/2</f>
        <v>3235.9122857142852</v>
      </c>
      <c r="J284" s="355">
        <f ca="1">IF(SUM($H284:I284)&gt;=$I282,0,IF($I282-SUM($H284:I284)&lt;$I282*$F284,$I282-SUM($H284:I284),$I282*$F284))</f>
        <v>6471.8245714285704</v>
      </c>
      <c r="K284" s="355">
        <f ca="1">IF(SUM($H284:J284)&gt;=$I282,0,IF($I282-SUM($H284:J284)&lt;$I282*$F284,$I282-SUM($H284:J284),$I282*$F284))</f>
        <v>6471.8245714285704</v>
      </c>
      <c r="L284" s="355">
        <f ca="1">IF(SUM($H284:K284)&gt;=$I282,0,IF($I282-SUM($H284:K284)&lt;$I282*$F284,$I282-SUM($H284:K284),$I282*$F284))</f>
        <v>6471.8245714285704</v>
      </c>
      <c r="M284" s="355">
        <f ca="1">IF(SUM($H284:L284)&gt;=$I282,0,IF($I282-SUM($H284:L284)&lt;$I282*$F284,$I282-SUM($H284:L284),$I282*$F284))</f>
        <v>6471.8245714285704</v>
      </c>
      <c r="N284" s="355">
        <f ca="1">IF(SUM($H284:M284)&gt;=$I282,0,IF($I282-SUM($H284:M284)&lt;$I282*$F284,$I282-SUM($H284:M284),$I282*$F284))</f>
        <v>3235.9122857142866</v>
      </c>
      <c r="O284" s="355">
        <f ca="1">IF(SUM($H284:N284)&gt;=$I282,0,IF($I282-SUM($H284:N284)&lt;$I282*$F284,$I282-SUM($H284:N284),$I282*$F284))</f>
        <v>0</v>
      </c>
      <c r="P284" s="355">
        <f ca="1">IF(SUM($H284:O284)&gt;=$I282,0,IF($I282-SUM($H284:O284)&lt;$I282*$F284,$I282-SUM($H284:O284),$I282*$F284))</f>
        <v>0</v>
      </c>
      <c r="Q284" s="355">
        <f ca="1">IF(SUM($H284:P284)&gt;=$I282,0,IF($I282-SUM($H284:P284)&lt;$I282*$F284,$I282-SUM($H284:P284),$I282*$F284))</f>
        <v>0</v>
      </c>
      <c r="R284" s="355">
        <f ca="1">IF(SUM($H284:Q284)&gt;=$I282,0,IF($I282-SUM($H284:Q284)&lt;$I282*$F284,$I282-SUM($H284:Q284),$I282*$F284))</f>
        <v>0</v>
      </c>
      <c r="S284" s="355">
        <f ca="1">IF(SUM($H284:R284)&gt;=$I282,0,IF($I282-SUM($H284:R284)&lt;$I282*$F284,$I282-SUM($H284:R284),$I282*$F284))</f>
        <v>0</v>
      </c>
      <c r="T284" s="355">
        <f ca="1">IF(SUM($H284:S284)&gt;=$I282,0,IF($I282-SUM($H284:S284)&lt;$I282*$F284,$I282-SUM($H284:S284),$I282*$F284))</f>
        <v>0</v>
      </c>
      <c r="U284" s="355">
        <f ca="1">IF(SUM($H284:T284)&gt;=$I282,0,IF($I282-SUM($H284:T284)&lt;$I282*$F284,$I282-SUM($H284:T284),$I282*$F284))</f>
        <v>0</v>
      </c>
      <c r="V284" s="355">
        <f ca="1">IF(SUM($H284:U284)&gt;=$I282,0,IF($I282-SUM($H284:U284)&lt;$I282*$F284,$I282-SUM($H284:U284),$I282*$F284))</f>
        <v>0</v>
      </c>
      <c r="W284" s="355">
        <f ca="1">IF(SUM($H284:V284)&gt;=$I282,0,IF($I282-SUM($H284:V284)&lt;$I282*$F284,$I282-SUM($H284:V284),$I282*$F284))</f>
        <v>0</v>
      </c>
      <c r="X284" s="355">
        <f ca="1">IF(SUM($H284:W284)&gt;=$I282,0,IF($I282-SUM($H284:W284)&lt;$I282*$F284,$I282-SUM($H284:W284),$I282*$F284))</f>
        <v>0</v>
      </c>
      <c r="Y284" s="355">
        <f ca="1">IF(SUM($H284:X284)&gt;=$I282,0,IF($I282-SUM($H284:X284)&lt;$I282*$F284,$I282-SUM($H284:X284),$I282*$F284))</f>
        <v>0</v>
      </c>
      <c r="Z284" s="355">
        <f ca="1">IF(SUM($H284:Y284)&gt;=$I282,0,IF($I282-SUM($H284:Y284)&lt;$I282*$F284,$I282-SUM($H284:Y284),$I282*$F284))</f>
        <v>0</v>
      </c>
      <c r="AA284" s="355">
        <f ca="1">IF(SUM($H284:Z284)&gt;=$I282,0,IF($I282-SUM($H284:Z284)&lt;$I282*$F284,$I282-SUM($H284:Z284),$I282*$F284))</f>
        <v>0</v>
      </c>
      <c r="AB284" s="355">
        <f ca="1">IF(SUM($H284:AA284)&gt;=$I282,0,IF($I282-SUM($H284:AA284)&lt;$I282*$F284,$I282-SUM($H284:AA284),$I282*$F284))</f>
        <v>0</v>
      </c>
    </row>
    <row r="285" spans="1:28" s="39" customFormat="1" hidden="1" outlineLevel="1">
      <c r="A285" s="95">
        <f t="shared" si="156"/>
        <v>167</v>
      </c>
      <c r="B285" s="25" t="s">
        <v>181</v>
      </c>
      <c r="C285"/>
      <c r="D285"/>
      <c r="E285" s="351"/>
      <c r="F285" s="354">
        <f t="shared" si="164"/>
        <v>0.2</v>
      </c>
      <c r="G285" s="352"/>
      <c r="H285" s="355"/>
      <c r="I285" s="355"/>
      <c r="J285" s="355">
        <f ca="1">IF(SUM($H285:I285)&gt;=$J282,0,IF($J282-SUM($H285:I285)&lt;$J282*$F285,$J282-SUM($H285:I285),$J282*$F285))/2</f>
        <v>3163.6424489795918</v>
      </c>
      <c r="K285" s="355">
        <f ca="1">IF(SUM($H285:J285)&gt;=$J282,0,IF($J282-SUM($H285:J285)&lt;$J282*$F285,$J282-SUM($H285:J285),$J282*$F285))</f>
        <v>6327.2848979591836</v>
      </c>
      <c r="L285" s="355">
        <f ca="1">IF(SUM($H285:K285)&gt;=$J282,0,IF($J282-SUM($H285:K285)&lt;$J282*$F285,$J282-SUM($H285:K285),$J282*$F285))</f>
        <v>6327.2848979591836</v>
      </c>
      <c r="M285" s="355">
        <f ca="1">IF(SUM($H285:L285)&gt;=$J282,0,IF($J282-SUM($H285:L285)&lt;$J282*$F285,$J282-SUM($H285:L285),$J282*$F285))</f>
        <v>6327.2848979591836</v>
      </c>
      <c r="N285" s="355">
        <f ca="1">IF(SUM($H285:M285)&gt;=$J282,0,IF($J282-SUM($H285:M285)&lt;$J282*$F285,$J282-SUM($H285:M285),$J282*$F285))</f>
        <v>6327.2848979591836</v>
      </c>
      <c r="O285" s="355">
        <f ca="1">IF(SUM($H285:N285)&gt;=$J282,0,IF($J282-SUM($H285:N285)&lt;$J282*$F285,$J282-SUM($H285:N285),$J282*$F285))</f>
        <v>3163.6424489795863</v>
      </c>
      <c r="P285" s="355">
        <f ca="1">IF(SUM($H285:O285)&gt;=$J282,0,IF($J282-SUM($H285:O285)&lt;$J282*$F285,$J282-SUM($H285:O285),$J282*$F285))</f>
        <v>0</v>
      </c>
      <c r="Q285" s="355">
        <f ca="1">IF(SUM($H285:P285)&gt;=$J282,0,IF($J282-SUM($H285:P285)&lt;$J282*$F285,$J282-SUM($H285:P285),$J282*$F285))</f>
        <v>0</v>
      </c>
      <c r="R285" s="355">
        <f ca="1">IF(SUM($H285:Q285)&gt;=$J282,0,IF($J282-SUM($H285:Q285)&lt;$J282*$F285,$J282-SUM($H285:Q285),$J282*$F285))</f>
        <v>0</v>
      </c>
      <c r="S285" s="355">
        <f ca="1">IF(SUM($H285:R285)&gt;=$J282,0,IF($J282-SUM($H285:R285)&lt;$J282*$F285,$J282-SUM($H285:R285),$J282*$F285))</f>
        <v>0</v>
      </c>
      <c r="T285" s="355">
        <f ca="1">IF(SUM($H285:S285)&gt;=$J282,0,IF($J282-SUM($H285:S285)&lt;$J282*$F285,$J282-SUM($H285:S285),$J282*$F285))</f>
        <v>0</v>
      </c>
      <c r="U285" s="355">
        <f ca="1">IF(SUM($H285:T285)&gt;=$J282,0,IF($J282-SUM($H285:T285)&lt;$J282*$F285,$J282-SUM($H285:T285),$J282*$F285))</f>
        <v>0</v>
      </c>
      <c r="V285" s="355">
        <f ca="1">IF(SUM($H285:U285)&gt;=$J282,0,IF($J282-SUM($H285:U285)&lt;$J282*$F285,$J282-SUM($H285:U285),$J282*$F285))</f>
        <v>0</v>
      </c>
      <c r="W285" s="355">
        <f ca="1">IF(SUM($H285:V285)&gt;=$J282,0,IF($J282-SUM($H285:V285)&lt;$J282*$F285,$J282-SUM($H285:V285),$J282*$F285))</f>
        <v>0</v>
      </c>
      <c r="X285" s="355">
        <f ca="1">IF(SUM($H285:W285)&gt;=$J282,0,IF($J282-SUM($H285:W285)&lt;$J282*$F285,$J282-SUM($H285:W285),$J282*$F285))</f>
        <v>0</v>
      </c>
      <c r="Y285" s="355">
        <f ca="1">IF(SUM($H285:X285)&gt;=$J282,0,IF($J282-SUM($H285:X285)&lt;$J282*$F285,$J282-SUM($H285:X285),$J282*$F285))</f>
        <v>0</v>
      </c>
      <c r="Z285" s="355">
        <f ca="1">IF(SUM($H285:Y285)&gt;=$J282,0,IF($J282-SUM($H285:Y285)&lt;$J282*$F285,$J282-SUM($H285:Y285),$J282*$F285))</f>
        <v>0</v>
      </c>
      <c r="AA285" s="355">
        <f ca="1">IF(SUM($H285:Z285)&gt;=$J282,0,IF($J282-SUM($H285:Z285)&lt;$J282*$F285,$J282-SUM($H285:Z285),$J282*$F285))</f>
        <v>0</v>
      </c>
      <c r="AB285" s="355">
        <f ca="1">IF(SUM($H285:AA285)&gt;=$J282,0,IF($J282-SUM($H285:AA285)&lt;$J282*$F285,$J282-SUM($H285:AA285),$J282*$F285))</f>
        <v>0</v>
      </c>
    </row>
    <row r="286" spans="1:28" s="39" customFormat="1" hidden="1" outlineLevel="1">
      <c r="A286" s="95">
        <f t="shared" si="156"/>
        <v>168</v>
      </c>
      <c r="B286" s="25" t="s">
        <v>182</v>
      </c>
      <c r="C286"/>
      <c r="D286"/>
      <c r="E286" s="351"/>
      <c r="F286" s="354">
        <f t="shared" si="164"/>
        <v>0.2</v>
      </c>
      <c r="G286" s="352"/>
      <c r="H286" s="355"/>
      <c r="I286" s="355"/>
      <c r="J286" s="355"/>
      <c r="K286" s="355">
        <f ca="1">IF(SUM($H286:J286)&gt;=$K282,0,IF($K282-SUM($H286:J286)&lt;$K282*$F286,$K282-SUM($H286:J286),$K282*$F286))/2</f>
        <v>3615.5913702623907</v>
      </c>
      <c r="L286" s="355">
        <f ca="1">IF(SUM($H286:K286)&gt;=$K282,0,IF($K282-SUM($H286:K286)&lt;$K282*$F286,$K282-SUM($H286:K286),$K282*$F286))</f>
        <v>7231.1827405247814</v>
      </c>
      <c r="M286" s="355">
        <f ca="1">IF(SUM($H286:L286)&gt;=$K282,0,IF($K282-SUM($H286:L286)&lt;$K282*$F286,$K282-SUM($H286:L286),$K282*$F286))</f>
        <v>7231.1827405247814</v>
      </c>
      <c r="N286" s="355">
        <f ca="1">IF(SUM($H286:M286)&gt;=$K282,0,IF($K282-SUM($H286:M286)&lt;$K282*$F286,$K282-SUM($H286:M286),$K282*$F286))</f>
        <v>7231.1827405247814</v>
      </c>
      <c r="O286" s="355">
        <f ca="1">IF(SUM($H286:N286)&gt;=$K282,0,IF($K282-SUM($H286:N286)&lt;$K282*$F286,$K282-SUM($H286:N286),$K282*$F286))</f>
        <v>7231.1827405247814</v>
      </c>
      <c r="P286" s="355">
        <f ca="1">IF(SUM($H286:O286)&gt;=$K282,0,IF($K282-SUM($H286:O286)&lt;$K282*$F286,$K282-SUM($H286:O286),$K282*$F286))</f>
        <v>3615.5913702623875</v>
      </c>
      <c r="Q286" s="355">
        <f ca="1">IF(SUM($H286:P286)&gt;=$K282,0,IF($K282-SUM($H286:P286)&lt;$K282*$F286,$K282-SUM($H286:P286),$K282*$F286))</f>
        <v>0</v>
      </c>
      <c r="R286" s="355">
        <f ca="1">IF(SUM($H286:Q286)&gt;=$K282,0,IF($K282-SUM($H286:Q286)&lt;$K282*$F286,$K282-SUM($H286:Q286),$K282*$F286))</f>
        <v>0</v>
      </c>
      <c r="S286" s="355">
        <f ca="1">IF(SUM($H286:R286)&gt;=$K282,0,IF($K282-SUM($H286:R286)&lt;$K282*$F286,$K282-SUM($H286:R286),$K282*$F286))</f>
        <v>0</v>
      </c>
      <c r="T286" s="355">
        <f ca="1">IF(SUM($H286:S286)&gt;=$K282,0,IF($K282-SUM($H286:S286)&lt;$K282*$F286,$K282-SUM($H286:S286),$K282*$F286))</f>
        <v>0</v>
      </c>
      <c r="U286" s="355">
        <f ca="1">IF(SUM($H286:T286)&gt;=$K282,0,IF($K282-SUM($H286:T286)&lt;$K282*$F286,$K282-SUM($H286:T286),$K282*$F286))</f>
        <v>0</v>
      </c>
      <c r="V286" s="355">
        <f ca="1">IF(SUM($H286:U286)&gt;=$K282,0,IF($K282-SUM($H286:U286)&lt;$K282*$F286,$K282-SUM($H286:U286),$K282*$F286))</f>
        <v>0</v>
      </c>
      <c r="W286" s="355">
        <f ca="1">IF(SUM($H286:V286)&gt;=$K282,0,IF($K282-SUM($H286:V286)&lt;$K282*$F286,$K282-SUM($H286:V286),$K282*$F286))</f>
        <v>0</v>
      </c>
      <c r="X286" s="355">
        <f ca="1">IF(SUM($H286:W286)&gt;=$K282,0,IF($K282-SUM($H286:W286)&lt;$K282*$F286,$K282-SUM($H286:W286),$K282*$F286))</f>
        <v>0</v>
      </c>
      <c r="Y286" s="355">
        <f ca="1">IF(SUM($H286:X286)&gt;=$K282,0,IF($K282-SUM($H286:X286)&lt;$K282*$F286,$K282-SUM($H286:X286),$K282*$F286))</f>
        <v>0</v>
      </c>
      <c r="Z286" s="355">
        <f ca="1">IF(SUM($H286:Y286)&gt;=$K282,0,IF($K282-SUM($H286:Y286)&lt;$K282*$F286,$K282-SUM($H286:Y286),$K282*$F286))</f>
        <v>0</v>
      </c>
      <c r="AA286" s="355">
        <f ca="1">IF(SUM($H286:Z286)&gt;=$K282,0,IF($K282-SUM($H286:Z286)&lt;$K282*$F286,$K282-SUM($H286:Z286),$K282*$F286))</f>
        <v>0</v>
      </c>
      <c r="AB286" s="355">
        <f ca="1">IF(SUM($H286:AA286)&gt;=$K282,0,IF($K282-SUM($H286:AA286)&lt;$K282*$F286,$K282-SUM($H286:AA286),$K282*$F286))</f>
        <v>0</v>
      </c>
    </row>
    <row r="287" spans="1:28" s="39" customFormat="1" hidden="1" outlineLevel="1">
      <c r="A287" s="95">
        <f t="shared" si="156"/>
        <v>169</v>
      </c>
      <c r="B287" s="25" t="s">
        <v>183</v>
      </c>
      <c r="C287"/>
      <c r="D287"/>
      <c r="E287" s="351"/>
      <c r="F287" s="354">
        <f t="shared" si="164"/>
        <v>0.2</v>
      </c>
      <c r="G287" s="352"/>
      <c r="H287" s="355"/>
      <c r="I287" s="355"/>
      <c r="J287" s="355"/>
      <c r="K287" s="355"/>
      <c r="L287" s="355">
        <f ca="1">IF(SUM($H287:K287)&gt;=$L282,0,IF($L282-SUM($H287:K287)&lt;$L282*$F287,$L282-SUM($H287:K287),$L282*$F287))/2</f>
        <v>4132.1044231570186</v>
      </c>
      <c r="M287" s="355">
        <f ca="1">IF(SUM($H287:L287)&gt;=$L282,0,IF($L282-SUM($H287:L287)&lt;$L282*$F287,$L282-SUM($H287:L287),$L282*$F287))</f>
        <v>8264.2088463140371</v>
      </c>
      <c r="N287" s="355">
        <f ca="1">IF(SUM($H287:M287)&gt;=$L282,0,IF($L282-SUM($H287:M287)&lt;$L282*$F287,$L282-SUM($H287:M287),$L282*$F287))</f>
        <v>8264.2088463140371</v>
      </c>
      <c r="O287" s="355">
        <f ca="1">IF(SUM($H287:N287)&gt;=$L282,0,IF($L282-SUM($H287:N287)&lt;$L282*$F287,$L282-SUM($H287:N287),$L282*$F287))</f>
        <v>8264.2088463140371</v>
      </c>
      <c r="P287" s="355">
        <f ca="1">IF(SUM($H287:O287)&gt;=$L282,0,IF($L282-SUM($H287:O287)&lt;$L282*$F287,$L282-SUM($H287:O287),$L282*$F287))</f>
        <v>8264.2088463140371</v>
      </c>
      <c r="Q287" s="355">
        <f ca="1">IF(SUM($H287:P287)&gt;=$L282,0,IF($L282-SUM($H287:P287)&lt;$L282*$F287,$L282-SUM($H287:P287),$L282*$F287))</f>
        <v>4132.1044231570122</v>
      </c>
      <c r="R287" s="355">
        <f ca="1">IF(SUM($H287:Q287)&gt;=$L282,0,IF($L282-SUM($H287:Q287)&lt;$L282*$F287,$L282-SUM($H287:Q287),$L282*$F287))</f>
        <v>0</v>
      </c>
      <c r="S287" s="355">
        <f ca="1">IF(SUM($H287:R287)&gt;=$L282,0,IF($L282-SUM($H287:R287)&lt;$L282*$F287,$L282-SUM($H287:R287),$L282*$F287))</f>
        <v>0</v>
      </c>
      <c r="T287" s="355">
        <f ca="1">IF(SUM($H287:S287)&gt;=$L282,0,IF($L282-SUM($H287:S287)&lt;$L282*$F287,$L282-SUM($H287:S287),$L282*$F287))</f>
        <v>0</v>
      </c>
      <c r="U287" s="355">
        <f ca="1">IF(SUM($H287:T287)&gt;=$L282,0,IF($L282-SUM($H287:T287)&lt;$L282*$F287,$L282-SUM($H287:T287),$L282*$F287))</f>
        <v>0</v>
      </c>
      <c r="V287" s="355">
        <f ca="1">IF(SUM($H287:U287)&gt;=$L282,0,IF($L282-SUM($H287:U287)&lt;$L282*$F287,$L282-SUM($H287:U287),$L282*$F287))</f>
        <v>0</v>
      </c>
      <c r="W287" s="355">
        <f ca="1">IF(SUM($H287:V287)&gt;=$L282,0,IF($L282-SUM($H287:V287)&lt;$L282*$F287,$L282-SUM($H287:V287),$L282*$F287))</f>
        <v>0</v>
      </c>
      <c r="X287" s="355">
        <f ca="1">IF(SUM($H287:W287)&gt;=$L282,0,IF($L282-SUM($H287:W287)&lt;$L282*$F287,$L282-SUM($H287:W287),$L282*$F287))</f>
        <v>0</v>
      </c>
      <c r="Y287" s="355">
        <f ca="1">IF(SUM($H287:X287)&gt;=$L282,0,IF($L282-SUM($H287:X287)&lt;$L282*$F287,$L282-SUM($H287:X287),$L282*$F287))</f>
        <v>0</v>
      </c>
      <c r="Z287" s="355">
        <f ca="1">IF(SUM($H287:Y287)&gt;=$L282,0,IF($L282-SUM($H287:Y287)&lt;$L282*$F287,$L282-SUM($H287:Y287),$L282*$F287))</f>
        <v>0</v>
      </c>
      <c r="AA287" s="355">
        <f ca="1">IF(SUM($H287:Z287)&gt;=$L282,0,IF($L282-SUM($H287:Z287)&lt;$L282*$F287,$L282-SUM($H287:Z287),$L282*$F287))</f>
        <v>0</v>
      </c>
      <c r="AB287" s="355">
        <f ca="1">IF(SUM($H287:AA287)&gt;=$L282,0,IF($L282-SUM($H287:AA287)&lt;$L282*$F287,$L282-SUM($H287:AA287),$L282*$F287))</f>
        <v>0</v>
      </c>
    </row>
    <row r="288" spans="1:28" s="39" customFormat="1" hidden="1" outlineLevel="1">
      <c r="A288" s="95">
        <f t="shared" si="156"/>
        <v>170</v>
      </c>
      <c r="B288" s="25" t="s">
        <v>184</v>
      </c>
      <c r="C288"/>
      <c r="D288"/>
      <c r="E288" s="351"/>
      <c r="F288" s="354">
        <f t="shared" si="164"/>
        <v>0.2</v>
      </c>
      <c r="G288" s="352"/>
      <c r="H288" s="355"/>
      <c r="I288" s="355"/>
      <c r="J288" s="355"/>
      <c r="K288" s="355"/>
      <c r="L288" s="355"/>
      <c r="M288" s="355">
        <f ca="1">IF(SUM($H288:L288)&gt;=$M282,0,IF($M282-SUM($H288:L288)&lt;$M282*$F288,$M282-SUM($H288:L288),$M282*$F288))/2</f>
        <v>4722.4050550365928</v>
      </c>
      <c r="N288" s="355">
        <f ca="1">IF(SUM($H288:M288)&gt;=$M282,0,IF($M282-SUM($H288:M288)&lt;$M282*$F288,$M282-SUM($H288:M288),$M282*$F288))</f>
        <v>9444.8101100731856</v>
      </c>
      <c r="O288" s="355">
        <f ca="1">IF(SUM($H288:N288)&gt;=$M282,0,IF($M282-SUM($H288:N288)&lt;$M282*$F288,$M282-SUM($H288:N288),$M282*$F288))</f>
        <v>9444.8101100731856</v>
      </c>
      <c r="P288" s="355">
        <f ca="1">IF(SUM($H288:O288)&gt;=$M282,0,IF($M282-SUM($H288:O288)&lt;$M282*$F288,$M282-SUM($H288:O288),$M282*$F288))</f>
        <v>9444.8101100731856</v>
      </c>
      <c r="Q288" s="355">
        <f ca="1">IF(SUM($H288:P288)&gt;=$M282,0,IF($M282-SUM($H288:P288)&lt;$M282*$F288,$M282-SUM($H288:P288),$M282*$F288))</f>
        <v>9444.8101100731856</v>
      </c>
      <c r="R288" s="355">
        <f ca="1">IF(SUM($H288:Q288)&gt;=$M282,0,IF($M282-SUM($H288:Q288)&lt;$M282*$F288,$M282-SUM($H288:Q288),$M282*$F288))</f>
        <v>4722.4050550365864</v>
      </c>
      <c r="S288" s="355">
        <f ca="1">IF(SUM($H288:R288)&gt;=$M282,0,IF($M282-SUM($H288:R288)&lt;$M282*$F288,$M282-SUM($H288:R288),$M282*$F288))</f>
        <v>0</v>
      </c>
      <c r="T288" s="355">
        <f ca="1">IF(SUM($H288:S288)&gt;=$M282,0,IF($M282-SUM($H288:S288)&lt;$M282*$F288,$M282-SUM($H288:S288),$M282*$F288))</f>
        <v>0</v>
      </c>
      <c r="U288" s="355">
        <f ca="1">IF(SUM($H288:T288)&gt;=$M282,0,IF($M282-SUM($H288:T288)&lt;$M282*$F288,$M282-SUM($H288:T288),$M282*$F288))</f>
        <v>0</v>
      </c>
      <c r="V288" s="355">
        <f ca="1">IF(SUM($H288:U288)&gt;=$M282,0,IF($M282-SUM($H288:U288)&lt;$M282*$F288,$M282-SUM($H288:U288),$M282*$F288))</f>
        <v>0</v>
      </c>
      <c r="W288" s="355">
        <f ca="1">IF(SUM($H288:V288)&gt;=$M282,0,IF($M282-SUM($H288:V288)&lt;$M282*$F288,$M282-SUM($H288:V288),$M282*$F288))</f>
        <v>0</v>
      </c>
      <c r="X288" s="355">
        <f ca="1">IF(SUM($H288:W288)&gt;=$M282,0,IF($M282-SUM($H288:W288)&lt;$M282*$F288,$M282-SUM($H288:W288),$M282*$F288))</f>
        <v>0</v>
      </c>
      <c r="Y288" s="355">
        <f ca="1">IF(SUM($H288:X288)&gt;=$M282,0,IF($M282-SUM($H288:X288)&lt;$M282*$F288,$M282-SUM($H288:X288),$M282*$F288))</f>
        <v>0</v>
      </c>
      <c r="Z288" s="355">
        <f ca="1">IF(SUM($H288:Y288)&gt;=$M282,0,IF($M282-SUM($H288:Y288)&lt;$M282*$F288,$M282-SUM($H288:Y288),$M282*$F288))</f>
        <v>0</v>
      </c>
      <c r="AA288" s="355">
        <f ca="1">IF(SUM($H288:Z288)&gt;=$M282,0,IF($M282-SUM($H288:Z288)&lt;$M282*$F288,$M282-SUM($H288:Z288),$M282*$F288))</f>
        <v>0</v>
      </c>
      <c r="AB288" s="355">
        <f ca="1">IF(SUM($H288:AA288)&gt;=$M282,0,IF($M282-SUM($H288:AA288)&lt;$M282*$F288,$M282-SUM($H288:AA288),$M282*$F288))</f>
        <v>0</v>
      </c>
    </row>
    <row r="289" spans="1:28" s="39" customFormat="1" hidden="1" outlineLevel="1">
      <c r="A289" s="95">
        <f t="shared" si="156"/>
        <v>171</v>
      </c>
      <c r="B289" s="25" t="s">
        <v>185</v>
      </c>
      <c r="C289"/>
      <c r="D289"/>
      <c r="E289" s="351"/>
      <c r="F289" s="354">
        <f t="shared" si="164"/>
        <v>0.2</v>
      </c>
      <c r="G289" s="352"/>
      <c r="H289" s="355"/>
      <c r="I289" s="355"/>
      <c r="J289" s="355"/>
      <c r="K289" s="355"/>
      <c r="L289" s="355"/>
      <c r="M289" s="355"/>
      <c r="N289" s="355">
        <f ca="1">IF(SUM($H289:M289)&gt;=$N282,0,IF($N282-SUM($H289:M289)&lt;$N282*$F289,$N282-SUM($H289:M289),$N282*$F289))/2</f>
        <v>5397.0343486132479</v>
      </c>
      <c r="O289" s="355">
        <f ca="1">IF(SUM($H289:N289)&gt;=$N282,0,IF($N282-SUM($H289:N289)&lt;$N282*$F289,$N282-SUM($H289:N289),$N282*$F289))</f>
        <v>10794.068697226496</v>
      </c>
      <c r="P289" s="355">
        <f ca="1">IF(SUM($H289:O289)&gt;=$N282,0,IF($N282-SUM($H289:O289)&lt;$N282*$F289,$N282-SUM($H289:O289),$N282*$F289))</f>
        <v>10794.068697226496</v>
      </c>
      <c r="Q289" s="355">
        <f ca="1">IF(SUM($H289:P289)&gt;=$N282,0,IF($N282-SUM($H289:P289)&lt;$N282*$F289,$N282-SUM($H289:P289),$N282*$F289))</f>
        <v>10794.068697226496</v>
      </c>
      <c r="R289" s="355">
        <f ca="1">IF(SUM($H289:Q289)&gt;=$N282,0,IF($N282-SUM($H289:Q289)&lt;$N282*$F289,$N282-SUM($H289:Q289),$N282*$F289))</f>
        <v>10794.068697226496</v>
      </c>
      <c r="S289" s="355">
        <f ca="1">IF(SUM($H289:R289)&gt;=$N282,0,IF($N282-SUM($H289:R289)&lt;$N282*$F289,$N282-SUM($H289:R289),$N282*$F289))</f>
        <v>5397.0343486132479</v>
      </c>
      <c r="T289" s="355">
        <f ca="1">IF(SUM($H289:S289)&gt;=$N282,0,IF($N282-SUM($H289:S289)&lt;$N282*$F289,$N282-SUM($H289:S289),$N282*$F289))</f>
        <v>0</v>
      </c>
      <c r="U289" s="355">
        <f ca="1">IF(SUM($H289:T289)&gt;=$N282,0,IF($N282-SUM($H289:T289)&lt;$N282*$F289,$N282-SUM($H289:T289),$N282*$F289))</f>
        <v>0</v>
      </c>
      <c r="V289" s="355">
        <f ca="1">IF(SUM($H289:U289)&gt;=$N282,0,IF($N282-SUM($H289:U289)&lt;$N282*$F289,$N282-SUM($H289:U289),$N282*$F289))</f>
        <v>0</v>
      </c>
      <c r="W289" s="355">
        <f ca="1">IF(SUM($H289:V289)&gt;=$N282,0,IF($N282-SUM($H289:V289)&lt;$N282*$F289,$N282-SUM($H289:V289),$N282*$F289))</f>
        <v>0</v>
      </c>
      <c r="X289" s="355">
        <f ca="1">IF(SUM($H289:W289)&gt;=$N282,0,IF($N282-SUM($H289:W289)&lt;$N282*$F289,$N282-SUM($H289:W289),$N282*$F289))</f>
        <v>0</v>
      </c>
      <c r="Y289" s="355">
        <f ca="1">IF(SUM($H289:X289)&gt;=$N282,0,IF($N282-SUM($H289:X289)&lt;$N282*$F289,$N282-SUM($H289:X289),$N282*$F289))</f>
        <v>0</v>
      </c>
      <c r="Z289" s="355">
        <f ca="1">IF(SUM($H289:Y289)&gt;=$N282,0,IF($N282-SUM($H289:Y289)&lt;$N282*$F289,$N282-SUM($H289:Y289),$N282*$F289))</f>
        <v>0</v>
      </c>
      <c r="AA289" s="355">
        <f ca="1">IF(SUM($H289:Z289)&gt;=$N282,0,IF($N282-SUM($H289:Z289)&lt;$N282*$F289,$N282-SUM($H289:Z289),$N282*$F289))</f>
        <v>0</v>
      </c>
      <c r="AB289" s="355">
        <f ca="1">IF(SUM($H289:AA289)&gt;=$N282,0,IF($N282-SUM($H289:AA289)&lt;$N282*$F289,$N282-SUM($H289:AA289),$N282*$F289))</f>
        <v>0</v>
      </c>
    </row>
    <row r="290" spans="1:28" s="39" customFormat="1" hidden="1" outlineLevel="1">
      <c r="A290" s="95">
        <f t="shared" si="156"/>
        <v>172</v>
      </c>
      <c r="B290" s="25" t="s">
        <v>186</v>
      </c>
      <c r="C290"/>
      <c r="D290"/>
      <c r="E290" s="351"/>
      <c r="F290" s="354">
        <f t="shared" si="164"/>
        <v>0.2</v>
      </c>
      <c r="G290" s="352"/>
      <c r="H290" s="355"/>
      <c r="I290" s="355"/>
      <c r="J290" s="355"/>
      <c r="K290" s="355"/>
      <c r="L290" s="355"/>
      <c r="M290" s="355"/>
      <c r="N290" s="355"/>
      <c r="O290" s="355">
        <f ca="1">IF(SUM($H290:N290)&gt;=$O282,0,IF($O282-SUM($H290:N290)&lt;$O282*$F290,$O282-SUM($H290:N290),$O282*$F290))/2</f>
        <v>6168.0392555579983</v>
      </c>
      <c r="P290" s="355">
        <f ca="1">IF(SUM($H290:O290)&gt;=$O282,0,IF($O282-SUM($H290:O290)&lt;$O282*$F290,$O282-SUM($H290:O290),$O282*$F290))</f>
        <v>12336.078511115997</v>
      </c>
      <c r="Q290" s="355">
        <f ca="1">IF(SUM($H290:P290)&gt;=$O282,0,IF($O282-SUM($H290:P290)&lt;$O282*$F290,$O282-SUM($H290:P290),$O282*$F290))</f>
        <v>12336.078511115997</v>
      </c>
      <c r="R290" s="355">
        <f ca="1">IF(SUM($H290:Q290)&gt;=$O282,0,IF($O282-SUM($H290:Q290)&lt;$O282*$F290,$O282-SUM($H290:Q290),$O282*$F290))</f>
        <v>12336.078511115997</v>
      </c>
      <c r="S290" s="355">
        <f ca="1">IF(SUM($H290:R290)&gt;=$O282,0,IF($O282-SUM($H290:R290)&lt;$O282*$F290,$O282-SUM($H290:R290),$O282*$F290))</f>
        <v>12336.078511115997</v>
      </c>
      <c r="T290" s="355">
        <f ca="1">IF(SUM($H290:S290)&gt;=$O282,0,IF($O282-SUM($H290:S290)&lt;$O282*$F290,$O282-SUM($H290:S290),$O282*$F290))</f>
        <v>6168.0392555579892</v>
      </c>
      <c r="U290" s="355">
        <f ca="1">IF(SUM($H290:T290)&gt;=$O282,0,IF($O282-SUM($H290:T290)&lt;$O282*$F290,$O282-SUM($H290:T290),$O282*$F290))</f>
        <v>0</v>
      </c>
      <c r="V290" s="355">
        <f ca="1">IF(SUM($H290:U290)&gt;=$O282,0,IF($O282-SUM($H290:U290)&lt;$O282*$F290,$O282-SUM($H290:U290),$O282*$F290))</f>
        <v>0</v>
      </c>
      <c r="W290" s="355">
        <f ca="1">IF(SUM($H290:V290)&gt;=$O282,0,IF($O282-SUM($H290:V290)&lt;$O282*$F290,$O282-SUM($H290:V290),$O282*$F290))</f>
        <v>0</v>
      </c>
      <c r="X290" s="355">
        <f ca="1">IF(SUM($H290:W290)&gt;=$O282,0,IF($O282-SUM($H290:W290)&lt;$O282*$F290,$O282-SUM($H290:W290),$O282*$F290))</f>
        <v>0</v>
      </c>
      <c r="Y290" s="355">
        <f ca="1">IF(SUM($H290:X290)&gt;=$O282,0,IF($O282-SUM($H290:X290)&lt;$O282*$F290,$O282-SUM($H290:X290),$O282*$F290))</f>
        <v>0</v>
      </c>
      <c r="Z290" s="355">
        <f ca="1">IF(SUM($H290:Y290)&gt;=$O282,0,IF($O282-SUM($H290:Y290)&lt;$O282*$F290,$O282-SUM($H290:Y290),$O282*$F290))</f>
        <v>0</v>
      </c>
      <c r="AA290" s="355">
        <f ca="1">IF(SUM($H290:Z290)&gt;=$O282,0,IF($O282-SUM($H290:Z290)&lt;$O282*$F290,$O282-SUM($H290:Z290),$O282*$F290))</f>
        <v>0</v>
      </c>
      <c r="AB290" s="355">
        <f ca="1">IF(SUM($H290:AA290)&gt;=$O282,0,IF($O282-SUM($H290:AA290)&lt;$O282*$F290,$O282-SUM($H290:AA290),$O282*$F290))</f>
        <v>0</v>
      </c>
    </row>
    <row r="291" spans="1:28" s="39" customFormat="1" hidden="1" outlineLevel="1">
      <c r="A291" s="95">
        <f t="shared" si="156"/>
        <v>173</v>
      </c>
      <c r="B291" s="25" t="s">
        <v>187</v>
      </c>
      <c r="C291"/>
      <c r="D291"/>
      <c r="E291" s="351"/>
      <c r="F291" s="354">
        <f t="shared" si="164"/>
        <v>0.2</v>
      </c>
      <c r="G291" s="352"/>
      <c r="H291" s="355"/>
      <c r="I291" s="355"/>
      <c r="J291" s="355"/>
      <c r="K291" s="355"/>
      <c r="L291" s="355"/>
      <c r="M291" s="355"/>
      <c r="N291" s="355"/>
      <c r="O291" s="355"/>
      <c r="P291" s="355">
        <f ca="1">IF(SUM($H291:O291)&gt;=$P282,0,IF($P282-SUM($H291:O291)&lt;$P282*$F291,$P282-SUM($H291:O291),$P282*$F291))/2</f>
        <v>6056.3305777805699</v>
      </c>
      <c r="Q291" s="355">
        <f ca="1">IF(SUM($H291:P291)&gt;=$P282,0,IF($P282-SUM($H291:P291)&lt;$P282*$F291,$P282-SUM($H291:P291),$P282*$F291))</f>
        <v>12112.66115556114</v>
      </c>
      <c r="R291" s="355">
        <f ca="1">IF(SUM($H291:Q291)&gt;=$P282,0,IF($P282-SUM($H291:Q291)&lt;$P282*$F291,$P282-SUM($H291:Q291),$P282*$F291))</f>
        <v>12112.66115556114</v>
      </c>
      <c r="S291" s="355">
        <f ca="1">IF(SUM($H291:R291)&gt;=$P282,0,IF($P282-SUM($H291:R291)&lt;$P282*$F291,$P282-SUM($H291:R291),$P282*$F291))</f>
        <v>12112.66115556114</v>
      </c>
      <c r="T291" s="355">
        <f ca="1">IF(SUM($H291:S291)&gt;=$P282,0,IF($P282-SUM($H291:S291)&lt;$P282*$F291,$P282-SUM($H291:S291),$P282*$F291))</f>
        <v>12112.66115556114</v>
      </c>
      <c r="U291" s="355">
        <f ca="1">IF(SUM($H291:T291)&gt;=$P282,0,IF($P282-SUM($H291:T291)&lt;$P282*$F291,$P282-SUM($H291:T291),$P282*$F291))</f>
        <v>6056.3305777805726</v>
      </c>
      <c r="V291" s="355">
        <f ca="1">IF(SUM($H291:U291)&gt;=$P282,0,IF($P282-SUM($H291:U291)&lt;$P282*$F291,$P282-SUM($H291:U291),$P282*$F291))</f>
        <v>0</v>
      </c>
      <c r="W291" s="355">
        <f ca="1">IF(SUM($H291:V291)&gt;=$P282,0,IF($P282-SUM($H291:V291)&lt;$P282*$F291,$P282-SUM($H291:V291),$P282*$F291))</f>
        <v>0</v>
      </c>
      <c r="X291" s="355">
        <f ca="1">IF(SUM($H291:W291)&gt;=$P282,0,IF($P282-SUM($H291:W291)&lt;$P282*$F291,$P282-SUM($H291:W291),$P282*$F291))</f>
        <v>0</v>
      </c>
      <c r="Y291" s="355">
        <f ca="1">IF(SUM($H291:X291)&gt;=$P282,0,IF($P282-SUM($H291:X291)&lt;$P282*$F291,$P282-SUM($H291:X291),$P282*$F291))</f>
        <v>0</v>
      </c>
      <c r="Z291" s="355">
        <f ca="1">IF(SUM($H291:Y291)&gt;=$P282,0,IF($P282-SUM($H291:Y291)&lt;$P282*$F291,$P282-SUM($H291:Y291),$P282*$F291))</f>
        <v>0</v>
      </c>
      <c r="AA291" s="355">
        <f ca="1">IF(SUM($H291:Z291)&gt;=$P282,0,IF($P282-SUM($H291:Z291)&lt;$P282*$F291,$P282-SUM($H291:Z291),$P282*$F291))</f>
        <v>0</v>
      </c>
      <c r="AB291" s="355">
        <f ca="1">IF(SUM($H291:AA291)&gt;=$P282,0,IF($P282-SUM($H291:AA291)&lt;$P282*$F291,$P282-SUM($H291:AA291),$P282*$F291))</f>
        <v>0</v>
      </c>
    </row>
    <row r="292" spans="1:28" s="39" customFormat="1" hidden="1" outlineLevel="1">
      <c r="A292" s="95">
        <f t="shared" si="156"/>
        <v>174</v>
      </c>
      <c r="B292" s="25" t="s">
        <v>188</v>
      </c>
      <c r="C292"/>
      <c r="D292"/>
      <c r="E292" s="351"/>
      <c r="F292" s="354">
        <f t="shared" si="164"/>
        <v>0.2</v>
      </c>
      <c r="G292" s="352"/>
      <c r="H292" s="355"/>
      <c r="I292" s="355"/>
      <c r="J292" s="355"/>
      <c r="K292" s="355"/>
      <c r="L292" s="355"/>
      <c r="M292" s="355"/>
      <c r="N292" s="355"/>
      <c r="O292" s="355"/>
      <c r="P292" s="355"/>
      <c r="Q292" s="355">
        <f ca="1">IF(SUM($H292:P292)&gt;=$Q282,0,IF($Q282-SUM($H292:P292)&lt;$Q282*$F292,$Q282-SUM($H292:P292),$Q282*$F292))/2</f>
        <v>6151.0653541982019</v>
      </c>
      <c r="R292" s="355">
        <f ca="1">IF(SUM($H292:Q292)&gt;=$Q282,0,IF($Q282-SUM($H292:Q292)&lt;$Q282*$F292,$Q282-SUM($H292:Q292),$Q282*$F292))</f>
        <v>12302.130708396404</v>
      </c>
      <c r="S292" s="355">
        <f ca="1">IF(SUM($H292:R292)&gt;=$Q282,0,IF($Q282-SUM($H292:R292)&lt;$Q282*$F292,$Q282-SUM($H292:R292),$Q282*$F292))</f>
        <v>12302.130708396404</v>
      </c>
      <c r="T292" s="355">
        <f ca="1">IF(SUM($H292:S292)&gt;=$Q282,0,IF($Q282-SUM($H292:S292)&lt;$Q282*$F292,$Q282-SUM($H292:S292),$Q282*$F292))</f>
        <v>12302.130708396404</v>
      </c>
      <c r="U292" s="355">
        <f ca="1">IF(SUM($H292:T292)&gt;=$Q282,0,IF($Q282-SUM($H292:T292)&lt;$Q282*$F292,$Q282-SUM($H292:T292),$Q282*$F292))</f>
        <v>12302.130708396404</v>
      </c>
      <c r="V292" s="355">
        <f ca="1">IF(SUM($H292:U292)&gt;=$Q282,0,IF($Q282-SUM($H292:U292)&lt;$Q282*$F292,$Q282-SUM($H292:U292),$Q282*$F292))</f>
        <v>6151.0653541981956</v>
      </c>
      <c r="W292" s="355">
        <f ca="1">IF(SUM($H292:V292)&gt;=$Q282,0,IF($Q282-SUM($H292:V292)&lt;$Q282*$F292,$Q282-SUM($H292:V292),$Q282*$F292))</f>
        <v>0</v>
      </c>
      <c r="X292" s="355">
        <f ca="1">IF(SUM($H292:W292)&gt;=$Q282,0,IF($Q282-SUM($H292:W292)&lt;$Q282*$F292,$Q282-SUM($H292:W292),$Q282*$F292))</f>
        <v>0</v>
      </c>
      <c r="Y292" s="355">
        <f ca="1">IF(SUM($H292:X292)&gt;=$Q282,0,IF($Q282-SUM($H292:X292)&lt;$Q282*$F292,$Q282-SUM($H292:X292),$Q282*$F292))</f>
        <v>0</v>
      </c>
      <c r="Z292" s="355">
        <f ca="1">IF(SUM($H292:Y292)&gt;=$Q282,0,IF($Q282-SUM($H292:Y292)&lt;$Q282*$F292,$Q282-SUM($H292:Y292),$Q282*$F292))</f>
        <v>0</v>
      </c>
      <c r="AA292" s="355">
        <f ca="1">IF(SUM($H292:Z292)&gt;=$Q282,0,IF($Q282-SUM($H292:Z292)&lt;$Q282*$F292,$Q282-SUM($H292:Z292),$Q282*$F292))</f>
        <v>0</v>
      </c>
      <c r="AB292" s="355">
        <f ca="1">IF(SUM($H292:AA292)&gt;=$Q282,0,IF($Q282-SUM($H292:AA292)&lt;$Q282*$F292,$Q282-SUM($H292:AA292),$Q282*$F292))</f>
        <v>0</v>
      </c>
    </row>
    <row r="293" spans="1:28" s="39" customFormat="1" hidden="1" outlineLevel="1">
      <c r="A293" s="95">
        <f t="shared" si="156"/>
        <v>175</v>
      </c>
      <c r="B293" s="25" t="s">
        <v>189</v>
      </c>
      <c r="C293"/>
      <c r="D293"/>
      <c r="E293" s="351"/>
      <c r="F293" s="354">
        <f t="shared" si="164"/>
        <v>0.2</v>
      </c>
      <c r="G293" s="352"/>
      <c r="H293" s="355"/>
      <c r="I293" s="355"/>
      <c r="J293" s="355"/>
      <c r="K293" s="355"/>
      <c r="L293" s="355"/>
      <c r="M293" s="355"/>
      <c r="N293" s="355"/>
      <c r="O293" s="355"/>
      <c r="P293" s="355"/>
      <c r="Q293" s="355"/>
      <c r="R293" s="355">
        <f ca="1">IF(SUM($H293:Q293)&gt;=$R282,0,IF($R282-SUM($H293:Q293)&lt;$R282*$F293,$R282-SUM($H293:Q293),$R282*$F293))/2</f>
        <v>6577.8400549437174</v>
      </c>
      <c r="S293" s="355">
        <f ca="1">IF(SUM($H293:R293)&gt;=$R282,0,IF($R282-SUM($H293:R293)&lt;$R282*$F293,$R282-SUM($H293:R293),$R282*$F293))</f>
        <v>13155.680109887435</v>
      </c>
      <c r="T293" s="355">
        <f ca="1">IF(SUM($H293:S293)&gt;=$R282,0,IF($R282-SUM($H293:S293)&lt;$R282*$F293,$R282-SUM($H293:S293),$R282*$F293))</f>
        <v>13155.680109887435</v>
      </c>
      <c r="U293" s="355">
        <f ca="1">IF(SUM($H293:T293)&gt;=$R282,0,IF($R282-SUM($H293:T293)&lt;$R282*$F293,$R282-SUM($H293:T293),$R282*$F293))</f>
        <v>13155.680109887435</v>
      </c>
      <c r="V293" s="355">
        <f ca="1">IF(SUM($H293:U293)&gt;=$R282,0,IF($R282-SUM($H293:U293)&lt;$R282*$F293,$R282-SUM($H293:U293),$R282*$F293))</f>
        <v>13155.680109887435</v>
      </c>
      <c r="W293" s="355">
        <f ca="1">IF(SUM($H293:V293)&gt;=$R282,0,IF($R282-SUM($H293:V293)&lt;$R282*$F293,$R282-SUM($H293:V293),$R282*$F293))</f>
        <v>6577.8400549437065</v>
      </c>
      <c r="X293" s="355">
        <f ca="1">IF(SUM($H293:W293)&gt;=$R282,0,IF($R282-SUM($H293:W293)&lt;$R282*$F293,$R282-SUM($H293:W293),$R282*$F293))</f>
        <v>0</v>
      </c>
      <c r="Y293" s="355">
        <f ca="1">IF(SUM($H293:X293)&gt;=$R282,0,IF($R282-SUM($H293:X293)&lt;$R282*$F293,$R282-SUM($H293:X293),$R282*$F293))</f>
        <v>0</v>
      </c>
      <c r="Z293" s="355">
        <f ca="1">IF(SUM($H293:Y293)&gt;=$R282,0,IF($R282-SUM($H293:Y293)&lt;$R282*$F293,$R282-SUM($H293:Y293),$R282*$F293))</f>
        <v>0</v>
      </c>
      <c r="AA293" s="355">
        <f ca="1">IF(SUM($H293:Z293)&gt;=$R282,0,IF($R282-SUM($H293:Z293)&lt;$R282*$F293,$R282-SUM($H293:Z293),$R282*$F293))</f>
        <v>0</v>
      </c>
      <c r="AB293" s="355">
        <f ca="1">IF(SUM($H293:AA293)&gt;=$R282,0,IF($R282-SUM($H293:AA293)&lt;$R282*$F293,$R282-SUM($H293:AA293),$R282*$F293))</f>
        <v>0</v>
      </c>
    </row>
    <row r="294" spans="1:28" s="39" customFormat="1" hidden="1" outlineLevel="1">
      <c r="A294" s="95">
        <f t="shared" si="156"/>
        <v>176</v>
      </c>
      <c r="B294" s="25" t="s">
        <v>190</v>
      </c>
      <c r="C294"/>
      <c r="D294"/>
      <c r="E294" s="351"/>
      <c r="F294" s="354">
        <f t="shared" si="164"/>
        <v>0.2</v>
      </c>
      <c r="G294" s="352"/>
      <c r="H294" s="355"/>
      <c r="I294" s="355"/>
      <c r="J294" s="355"/>
      <c r="K294" s="355"/>
      <c r="L294" s="355"/>
      <c r="M294" s="355"/>
      <c r="N294" s="355"/>
      <c r="O294" s="355"/>
      <c r="P294" s="355"/>
      <c r="Q294" s="355"/>
      <c r="R294" s="355"/>
      <c r="S294" s="355">
        <f ca="1">IF(SUM($H294:R294)&gt;=$S282,0,IF($S282-SUM($H294:R294)&lt;$S282*$F294,$S282-SUM($H294:R294),$S282*$F294))/2</f>
        <v>7001.0184384696204</v>
      </c>
      <c r="T294" s="355">
        <f ca="1">IF(SUM($H294:S294)&gt;=$S282,0,IF($S282-SUM($H294:S294)&lt;$S282*$F294,$S282-SUM($H294:S294),$S282*$F294))</f>
        <v>14002.036876939241</v>
      </c>
      <c r="U294" s="355">
        <f ca="1">IF(SUM($H294:T294)&gt;=$S282,0,IF($S282-SUM($H294:T294)&lt;$S282*$F294,$S282-SUM($H294:T294),$S282*$F294))</f>
        <v>14002.036876939241</v>
      </c>
      <c r="V294" s="355">
        <f ca="1">IF(SUM($H294:U294)&gt;=$S282,0,IF($S282-SUM($H294:U294)&lt;$S282*$F294,$S282-SUM($H294:U294),$S282*$F294))</f>
        <v>14002.036876939241</v>
      </c>
      <c r="W294" s="355">
        <f ca="1">IF(SUM($H294:V294)&gt;=$S282,0,IF($S282-SUM($H294:V294)&lt;$S282*$F294,$S282-SUM($H294:V294),$S282*$F294))</f>
        <v>14002.036876939241</v>
      </c>
      <c r="X294" s="355">
        <f ca="1">IF(SUM($H294:W294)&gt;=$S282,0,IF($S282-SUM($H294:W294)&lt;$S282*$F294,$S282-SUM($H294:W294),$S282*$F294))</f>
        <v>7001.0184384696186</v>
      </c>
      <c r="Y294" s="355">
        <f ca="1">IF(SUM($H294:X294)&gt;=$S282,0,IF($S282-SUM($H294:X294)&lt;$S282*$F294,$S282-SUM($H294:X294),$S282*$F294))</f>
        <v>0</v>
      </c>
      <c r="Z294" s="355">
        <f ca="1">IF(SUM($H294:Y294)&gt;=$S282,0,IF($S282-SUM($H294:Y294)&lt;$S282*$F294,$S282-SUM($H294:Y294),$S282*$F294))</f>
        <v>0</v>
      </c>
      <c r="AA294" s="355">
        <f ca="1">IF(SUM($H294:Z294)&gt;=$S282,0,IF($S282-SUM($H294:Z294)&lt;$S282*$F294,$S282-SUM($H294:Z294),$S282*$F294))</f>
        <v>0</v>
      </c>
      <c r="AB294" s="355">
        <f ca="1">IF(SUM($H294:AA294)&gt;=$S282,0,IF($S282-SUM($H294:AA294)&lt;$S282*$F294,$S282-SUM($H294:AA294),$S282*$F294))</f>
        <v>0</v>
      </c>
    </row>
    <row r="295" spans="1:28" s="39" customFormat="1" hidden="1" outlineLevel="1">
      <c r="A295" s="95">
        <f t="shared" si="156"/>
        <v>177</v>
      </c>
      <c r="B295" s="25" t="s">
        <v>191</v>
      </c>
      <c r="C295"/>
      <c r="D295"/>
      <c r="E295" s="351"/>
      <c r="F295" s="354">
        <f t="shared" si="164"/>
        <v>0.2</v>
      </c>
      <c r="G295" s="352"/>
      <c r="H295" s="355"/>
      <c r="I295" s="355"/>
      <c r="J295" s="355"/>
      <c r="K295" s="355"/>
      <c r="L295" s="355"/>
      <c r="M295" s="355"/>
      <c r="N295" s="355"/>
      <c r="O295" s="355"/>
      <c r="P295" s="355"/>
      <c r="Q295" s="355"/>
      <c r="R295" s="355"/>
      <c r="S295" s="355"/>
      <c r="T295" s="355">
        <f ca="1">IF(SUM($H295:S295)&gt;=$T282,0,IF($T282-SUM($H295:S295)&lt;$T282*$F295,$T282-SUM($H295:S295),$T282*$F295))/2</f>
        <v>6010.5332977999915</v>
      </c>
      <c r="U295" s="355">
        <f ca="1">IF(SUM($H295:T295)&gt;=$T282,0,IF($T282-SUM($H295:T295)&lt;$T282*$F295,$T282-SUM($H295:T295),$T282*$F295))</f>
        <v>12021.066595599983</v>
      </c>
      <c r="V295" s="355">
        <f ca="1">IF(SUM($H295:U295)&gt;=$T282,0,IF($T282-SUM($H295:U295)&lt;$T282*$F295,$T282-SUM($H295:U295),$T282*$F295))</f>
        <v>12021.066595599983</v>
      </c>
      <c r="W295" s="355">
        <f ca="1">IF(SUM($H295:V295)&gt;=$T282,0,IF($T282-SUM($H295:V295)&lt;$T282*$F295,$T282-SUM($H295:V295),$T282*$F295))</f>
        <v>12021.066595599983</v>
      </c>
      <c r="X295" s="355">
        <f ca="1">IF(SUM($H295:W295)&gt;=$T282,0,IF($T282-SUM($H295:W295)&lt;$T282*$F295,$T282-SUM($H295:W295),$T282*$F295))</f>
        <v>12021.066595599983</v>
      </c>
      <c r="Y295" s="355">
        <f ca="1">IF(SUM($H295:X295)&gt;=$T282,0,IF($T282-SUM($H295:X295)&lt;$T282*$F295,$T282-SUM($H295:X295),$T282*$F295))</f>
        <v>6010.533297799986</v>
      </c>
      <c r="Z295" s="355">
        <f ca="1">IF(SUM($H295:Y295)&gt;=$T282,0,IF($T282-SUM($H295:Y295)&lt;$T282*$F295,$T282-SUM($H295:Y295),$T282*$F295))</f>
        <v>0</v>
      </c>
      <c r="AA295" s="355">
        <f ca="1">IF(SUM($H295:Z295)&gt;=$T282,0,IF($T282-SUM($H295:Z295)&lt;$T282*$F295,$T282-SUM($H295:Z295),$T282*$F295))</f>
        <v>0</v>
      </c>
      <c r="AB295" s="355">
        <f ca="1">IF(SUM($H295:AA295)&gt;=$T282,0,IF($T282-SUM($H295:AA295)&lt;$T282*$F295,$T282-SUM($H295:AA295),$T282*$F295))</f>
        <v>0</v>
      </c>
    </row>
    <row r="296" spans="1:28" s="39" customFormat="1" hidden="1" outlineLevel="1">
      <c r="A296" s="95">
        <f t="shared" si="156"/>
        <v>178</v>
      </c>
      <c r="B296" s="25" t="s">
        <v>192</v>
      </c>
      <c r="C296"/>
      <c r="D296"/>
      <c r="E296" s="351"/>
      <c r="F296" s="354">
        <f t="shared" si="164"/>
        <v>0.2</v>
      </c>
      <c r="G296" s="352"/>
      <c r="H296" s="355"/>
      <c r="I296" s="355"/>
      <c r="J296" s="355"/>
      <c r="K296" s="355"/>
      <c r="L296" s="355"/>
      <c r="M296" s="355"/>
      <c r="N296" s="355"/>
      <c r="O296" s="355"/>
      <c r="P296" s="355"/>
      <c r="Q296" s="355"/>
      <c r="R296" s="355"/>
      <c r="S296" s="355"/>
      <c r="T296" s="355"/>
      <c r="U296" s="355">
        <f ca="1">IF(SUM($H296:T296)&gt;=$U282,0,IF($U282-SUM($H296:T296)&lt;$U282*$F296,$U282-SUM($H296:T296),$U282*$F296))/2</f>
        <v>6194.5516181947633</v>
      </c>
      <c r="V296" s="355">
        <f ca="1">IF(SUM($H296:U296)&gt;=$U282,0,IF($U282-SUM($H296:U296)&lt;$U282*$F296,$U282-SUM($H296:U296),$U282*$F296))</f>
        <v>12389.103236389527</v>
      </c>
      <c r="W296" s="355">
        <f ca="1">IF(SUM($H296:V296)&gt;=$U282,0,IF($U282-SUM($H296:V296)&lt;$U282*$F296,$U282-SUM($H296:V296),$U282*$F296))</f>
        <v>12389.103236389527</v>
      </c>
      <c r="X296" s="355">
        <f ca="1">IF(SUM($H296:W296)&gt;=$U282,0,IF($U282-SUM($H296:W296)&lt;$U282*$F296,$U282-SUM($H296:W296),$U282*$F296))</f>
        <v>12389.103236389527</v>
      </c>
      <c r="Y296" s="355">
        <f ca="1">IF(SUM($H296:X296)&gt;=$U282,0,IF($U282-SUM($H296:X296)&lt;$U282*$F296,$U282-SUM($H296:X296),$U282*$F296))</f>
        <v>12389.103236389527</v>
      </c>
      <c r="Z296" s="355">
        <f ca="1">IF(SUM($H296:Y296)&gt;=$U282,0,IF($U282-SUM($H296:Y296)&lt;$U282*$F296,$U282-SUM($H296:Y296),$U282*$F296))</f>
        <v>6194.5516181947532</v>
      </c>
      <c r="AA296" s="355">
        <f ca="1">IF(SUM($H296:Z296)&gt;=$U282,0,IF($U282-SUM($H296:Z296)&lt;$U282*$F296,$U282-SUM($H296:Z296),$U282*$F296))</f>
        <v>0</v>
      </c>
      <c r="AB296" s="355">
        <f ca="1">IF(SUM($H296:AA296)&gt;=$U282,0,IF($U282-SUM($H296:AA296)&lt;$U282*$F296,$U282-SUM($H296:AA296),$U282*$F296))</f>
        <v>0</v>
      </c>
    </row>
    <row r="297" spans="1:28" s="39" customFormat="1" hidden="1" outlineLevel="1">
      <c r="A297" s="95">
        <f t="shared" si="156"/>
        <v>179</v>
      </c>
      <c r="B297" s="25" t="s">
        <v>193</v>
      </c>
      <c r="C297"/>
      <c r="D297"/>
      <c r="E297" s="351"/>
      <c r="F297" s="354">
        <f t="shared" si="164"/>
        <v>0.2</v>
      </c>
      <c r="G297" s="352"/>
      <c r="H297" s="355"/>
      <c r="I297" s="355"/>
      <c r="J297" s="355"/>
      <c r="K297" s="355"/>
      <c r="L297" s="355"/>
      <c r="M297" s="355"/>
      <c r="N297" s="355"/>
      <c r="O297" s="355"/>
      <c r="P297" s="355"/>
      <c r="Q297" s="355"/>
      <c r="R297" s="355"/>
      <c r="S297" s="355"/>
      <c r="T297" s="355"/>
      <c r="U297" s="355"/>
      <c r="V297" s="355">
        <f ca="1">IF(SUM($H297:U297)&gt;=$V282,0,IF($V282-SUM($H297:U297)&lt;$V282*$F297,$V282-SUM($H297:U297),$V282*$F297))/2</f>
        <v>6308.4826567064083</v>
      </c>
      <c r="W297" s="355">
        <f ca="1">IF(SUM($H297:V297)&gt;=$V282,0,IF($V282-SUM($H297:V297)&lt;$V282*$F297,$V282-SUM($H297:V297),$V282*$F297))</f>
        <v>12616.965313412817</v>
      </c>
      <c r="X297" s="355">
        <f ca="1">IF(SUM($H297:W297)&gt;=$V282,0,IF($V282-SUM($H297:W297)&lt;$V282*$F297,$V282-SUM($H297:W297),$V282*$F297))</f>
        <v>12616.965313412817</v>
      </c>
      <c r="Y297" s="355">
        <f ca="1">IF(SUM($H297:X297)&gt;=$V282,0,IF($V282-SUM($H297:X297)&lt;$V282*$F297,$V282-SUM($H297:X297),$V282*$F297))</f>
        <v>12616.965313412817</v>
      </c>
      <c r="Z297" s="355">
        <f ca="1">IF(SUM($H297:Y297)&gt;=$V282,0,IF($V282-SUM($H297:Y297)&lt;$V282*$F297,$V282-SUM($H297:Y297),$V282*$F297))</f>
        <v>12616.965313412817</v>
      </c>
      <c r="AA297" s="355">
        <f ca="1">IF(SUM($H297:Z297)&gt;=$V282,0,IF($V282-SUM($H297:Z297)&lt;$V282*$F297,$V282-SUM($H297:Z297),$V282*$F297))</f>
        <v>6308.482656706401</v>
      </c>
      <c r="AB297" s="355">
        <f ca="1">IF(SUM($H297:AA297)&gt;=$V282,0,IF($V282-SUM($H297:AA297)&lt;$V282*$F297,$V282-SUM($H297:AA297),$V282*$F297))</f>
        <v>0</v>
      </c>
    </row>
    <row r="298" spans="1:28" s="39" customFormat="1" hidden="1" outlineLevel="1">
      <c r="A298" s="95">
        <f t="shared" si="156"/>
        <v>180</v>
      </c>
      <c r="B298" s="25" t="s">
        <v>194</v>
      </c>
      <c r="C298"/>
      <c r="D298"/>
      <c r="E298" s="351"/>
      <c r="F298" s="354">
        <f t="shared" si="164"/>
        <v>0.2</v>
      </c>
      <c r="G298" s="352"/>
      <c r="H298" s="355"/>
      <c r="I298" s="355"/>
      <c r="J298" s="355"/>
      <c r="K298" s="355"/>
      <c r="L298" s="355"/>
      <c r="M298" s="355"/>
      <c r="N298" s="355"/>
      <c r="O298" s="355"/>
      <c r="P298" s="355"/>
      <c r="Q298" s="355"/>
      <c r="R298" s="355"/>
      <c r="S298" s="355"/>
      <c r="T298" s="355"/>
      <c r="U298" s="355"/>
      <c r="V298" s="355"/>
      <c r="W298" s="355">
        <f ca="1">IF(SUM($H298:V298)&gt;=$W282,0,IF($W282-SUM($H298:V298)&lt;$W282*$F298,$W282-SUM($H298:V298),$W282*$F298))/2</f>
        <v>6328.5459997276103</v>
      </c>
      <c r="X298" s="355">
        <f ca="1">IF(SUM($H298:W298)&gt;=$W282,0,IF($W282-SUM($H298:W298)&lt;$W282*$F298,$W282-SUM($H298:W298),$W282*$F298))</f>
        <v>12657.091999455221</v>
      </c>
      <c r="Y298" s="355">
        <f ca="1">IF(SUM($H298:X298)&gt;=$W282,0,IF($W282-SUM($H298:X298)&lt;$W282*$F298,$W282-SUM($H298:X298),$W282*$F298))</f>
        <v>12657.091999455221</v>
      </c>
      <c r="Z298" s="355">
        <f ca="1">IF(SUM($H298:Y298)&gt;=$W282,0,IF($W282-SUM($H298:Y298)&lt;$W282*$F298,$W282-SUM($H298:Y298),$W282*$F298))</f>
        <v>12657.091999455221</v>
      </c>
      <c r="AA298" s="355">
        <f ca="1">IF(SUM($H298:Z298)&gt;=$W282,0,IF($W282-SUM($H298:Z298)&lt;$W282*$F298,$W282-SUM($H298:Z298),$W282*$F298))</f>
        <v>12657.091999455221</v>
      </c>
      <c r="AB298" s="355">
        <f ca="1">IF(SUM($H298:AA298)&gt;=$W282,0,IF($W282-SUM($H298:AA298)&lt;$W282*$F298,$W282-SUM($H298:AA298),$W282*$F298))</f>
        <v>6328.5459997276121</v>
      </c>
    </row>
    <row r="299" spans="1:28" s="39" customFormat="1" hidden="1" outlineLevel="1">
      <c r="A299" s="95">
        <f t="shared" si="156"/>
        <v>181</v>
      </c>
      <c r="B299" s="25" t="s">
        <v>195</v>
      </c>
      <c r="C299"/>
      <c r="D299"/>
      <c r="E299" s="351"/>
      <c r="F299" s="354">
        <f t="shared" si="164"/>
        <v>0.2</v>
      </c>
      <c r="G299" s="352"/>
      <c r="H299" s="355"/>
      <c r="I299" s="355"/>
      <c r="J299" s="355"/>
      <c r="K299" s="355"/>
      <c r="L299" s="355"/>
      <c r="M299" s="355"/>
      <c r="N299" s="355"/>
      <c r="O299" s="355"/>
      <c r="P299" s="355"/>
      <c r="Q299" s="355"/>
      <c r="R299" s="355"/>
      <c r="S299" s="355"/>
      <c r="T299" s="355"/>
      <c r="U299" s="355"/>
      <c r="V299" s="355"/>
      <c r="W299" s="355"/>
      <c r="X299" s="355">
        <f ca="1">IF(SUM($H299:W299)&gt;=$X282,0,IF($X282-SUM($H299:W299)&lt;$X282*$F299,$X282-SUM($H299:W299),$X282*$F299))/2</f>
        <v>6367.4339171486163</v>
      </c>
      <c r="Y299" s="355">
        <f ca="1">IF(SUM($H299:X299)&gt;=$X282,0,IF($X282-SUM($H299:X299)&lt;$X282*$F299,$X282-SUM($H299:X299),$X282*$F299))</f>
        <v>12734.867834297233</v>
      </c>
      <c r="Z299" s="355">
        <f ca="1">IF(SUM($H299:Y299)&gt;=$X282,0,IF($X282-SUM($H299:Y299)&lt;$X282*$F299,$X282-SUM($H299:Y299),$X282*$F299))</f>
        <v>12734.867834297233</v>
      </c>
      <c r="AA299" s="355">
        <f ca="1">IF(SUM($H299:Z299)&gt;=$X282,0,IF($X282-SUM($H299:Z299)&lt;$X282*$F299,$X282-SUM($H299:Z299),$X282*$F299))</f>
        <v>12734.867834297233</v>
      </c>
      <c r="AB299" s="355">
        <f ca="1">IF(SUM($H299:AA299)&gt;=$X282,0,IF($X282-SUM($H299:AA299)&lt;$X282*$F299,$X282-SUM($H299:AA299),$X282*$F299))</f>
        <v>12734.867834297233</v>
      </c>
    </row>
    <row r="300" spans="1:28" s="39" customFormat="1" hidden="1" outlineLevel="1">
      <c r="A300" s="95">
        <f t="shared" si="156"/>
        <v>182</v>
      </c>
      <c r="B300" s="25" t="s">
        <v>196</v>
      </c>
      <c r="C300"/>
      <c r="D300"/>
      <c r="E300" s="351"/>
      <c r="F300" s="354">
        <f t="shared" si="164"/>
        <v>0.2</v>
      </c>
      <c r="G300" s="352"/>
      <c r="H300" s="355"/>
      <c r="I300" s="355"/>
      <c r="J300" s="355"/>
      <c r="K300" s="355"/>
      <c r="L300" s="355"/>
      <c r="M300" s="355"/>
      <c r="N300" s="355"/>
      <c r="O300" s="355"/>
      <c r="P300" s="355"/>
      <c r="Q300" s="355"/>
      <c r="R300" s="355"/>
      <c r="S300" s="355"/>
      <c r="T300" s="355"/>
      <c r="U300" s="355"/>
      <c r="V300" s="355"/>
      <c r="W300" s="355"/>
      <c r="X300" s="355"/>
      <c r="Y300" s="355">
        <f ca="1">IF(SUM($H300:X300)&gt;=$Y282,0,IF($Y282-SUM($H300:X300)&lt;$Y282*$F300,$Y282-SUM($H300:X300),$Y282*$F300))/2</f>
        <v>6398.3437118558177</v>
      </c>
      <c r="Z300" s="355">
        <f ca="1">IF(SUM($H300:Y300)&gt;=$Y282,0,IF($Y282-SUM($H300:Y300)&lt;$Y282*$F300,$Y282-SUM($H300:Y300),$Y282*$F300))</f>
        <v>12796.687423711635</v>
      </c>
      <c r="AA300" s="355">
        <f ca="1">IF(SUM($H300:Z300)&gt;=$Y282,0,IF($Y282-SUM($H300:Z300)&lt;$Y282*$F300,$Y282-SUM($H300:Z300),$Y282*$F300))</f>
        <v>12796.687423711635</v>
      </c>
      <c r="AB300" s="355">
        <f ca="1">IF(SUM($H300:AA300)&gt;=$Y282,0,IF($Y282-SUM($H300:AA300)&lt;$Y282*$F300,$Y282-SUM($H300:AA300),$Y282*$F300))</f>
        <v>12796.687423711635</v>
      </c>
    </row>
    <row r="301" spans="1:28" s="39" customFormat="1" hidden="1" outlineLevel="1">
      <c r="A301" s="95">
        <f t="shared" si="156"/>
        <v>183</v>
      </c>
      <c r="B301" s="25" t="s">
        <v>197</v>
      </c>
      <c r="C301"/>
      <c r="D301"/>
      <c r="E301" s="351"/>
      <c r="F301" s="354">
        <f t="shared" si="164"/>
        <v>0.2</v>
      </c>
      <c r="G301" s="352"/>
      <c r="H301" s="355"/>
      <c r="I301" s="355"/>
      <c r="J301" s="355"/>
      <c r="K301" s="355"/>
      <c r="L301" s="355"/>
      <c r="M301" s="355"/>
      <c r="N301" s="355"/>
      <c r="O301" s="355"/>
      <c r="P301" s="355"/>
      <c r="Q301" s="355"/>
      <c r="R301" s="355"/>
      <c r="S301" s="355"/>
      <c r="T301" s="355"/>
      <c r="U301" s="355"/>
      <c r="V301" s="355"/>
      <c r="W301" s="355"/>
      <c r="X301" s="355"/>
      <c r="Y301" s="355"/>
      <c r="Z301" s="355">
        <f ca="1">IF(SUM($H301:Y301)&gt;=$Z282,0,IF($Z282-SUM($H301:Y301)&lt;$Z282*$F301,$Z282-SUM($H301:Y301),$Z282*$F301))/2</f>
        <v>6372.7013771289749</v>
      </c>
      <c r="AA301" s="355">
        <f ca="1">IF(SUM($H301:Z301)&gt;=$Z282,0,IF($Z282-SUM($H301:Z301)&lt;$Z282*$F301,$Z282-SUM($H301:Z301),$Z282*$F301))</f>
        <v>12745.40275425795</v>
      </c>
      <c r="AB301" s="355">
        <f ca="1">IF(SUM($H301:AA301)&gt;=$Z282,0,IF($Z282-SUM($H301:AA301)&lt;$Z282*$F301,$Z282-SUM($H301:AA301),$Z282*$F301))</f>
        <v>12745.40275425795</v>
      </c>
    </row>
    <row r="302" spans="1:28" s="39" customFormat="1" hidden="1" outlineLevel="1">
      <c r="A302" s="95">
        <f t="shared" si="156"/>
        <v>184</v>
      </c>
      <c r="B302" s="25" t="s">
        <v>198</v>
      </c>
      <c r="C302"/>
      <c r="D302"/>
      <c r="E302" s="351"/>
      <c r="F302" s="354">
        <f t="shared" si="164"/>
        <v>0.2</v>
      </c>
      <c r="G302" s="352"/>
      <c r="H302" s="355"/>
      <c r="I302" s="355"/>
      <c r="J302" s="355"/>
      <c r="K302" s="355"/>
      <c r="L302" s="355"/>
      <c r="M302" s="355"/>
      <c r="N302" s="355"/>
      <c r="O302" s="355"/>
      <c r="P302" s="355"/>
      <c r="Q302" s="355"/>
      <c r="R302" s="355"/>
      <c r="S302" s="355"/>
      <c r="T302" s="355"/>
      <c r="U302" s="355"/>
      <c r="V302" s="355"/>
      <c r="W302" s="355"/>
      <c r="X302" s="355"/>
      <c r="Y302" s="355"/>
      <c r="Z302" s="355"/>
      <c r="AA302" s="355">
        <f ca="1">IF(SUM($H302:Z302)&gt;=$AA282,0,IF($AA282-SUM($H302:Z302)&lt;$AA282*$F302,$AA282-SUM($H302:Z302),$AA282*$F302))/2</f>
        <v>6282.9417969374535</v>
      </c>
      <c r="AB302" s="355">
        <f ca="1">IF(SUM($H302:AA302)&gt;=$AA282,0,IF($AA282-SUM($H302:AA302)&lt;$AA282*$F302,$AA282-SUM($H302:AA302),$AA282*$F302))</f>
        <v>12565.883593874907</v>
      </c>
    </row>
    <row r="303" spans="1:28" s="39" customFormat="1" hidden="1" outlineLevel="1">
      <c r="A303" s="95">
        <f t="shared" si="156"/>
        <v>185</v>
      </c>
      <c r="B303" s="25" t="s">
        <v>199</v>
      </c>
      <c r="C303"/>
      <c r="D303"/>
      <c r="E303" s="351"/>
      <c r="F303" s="354">
        <f t="shared" si="164"/>
        <v>0.2</v>
      </c>
      <c r="G303" s="352"/>
      <c r="H303" s="355"/>
      <c r="I303" s="355"/>
      <c r="J303" s="355"/>
      <c r="K303" s="355"/>
      <c r="L303" s="355"/>
      <c r="M303" s="355"/>
      <c r="N303" s="355"/>
      <c r="O303" s="355"/>
      <c r="P303" s="355"/>
      <c r="Q303" s="355"/>
      <c r="R303" s="355"/>
      <c r="S303" s="355"/>
      <c r="T303" s="355"/>
      <c r="U303" s="355"/>
      <c r="V303" s="355"/>
      <c r="W303" s="355"/>
      <c r="X303" s="355"/>
      <c r="Y303" s="355"/>
      <c r="Z303" s="355"/>
      <c r="AA303" s="355"/>
      <c r="AB303" s="355">
        <f ca="1">IF(SUM($H303:AA303)&gt;=$AB282,0,IF($AB282-SUM($H303:AA303)&lt;$AB282*$F303,$AB282-SUM($H303:AA303),$AB282*$F303))/2</f>
        <v>6321.8572968142344</v>
      </c>
    </row>
    <row r="304" spans="1:28" s="39" customFormat="1" hidden="1" outlineLevel="1">
      <c r="A304" s="95">
        <f t="shared" si="156"/>
        <v>186</v>
      </c>
      <c r="B304" s="25" t="s">
        <v>200</v>
      </c>
      <c r="C304"/>
      <c r="D304"/>
      <c r="E304" s="351"/>
      <c r="F304" s="354">
        <f t="shared" si="164"/>
        <v>0.2</v>
      </c>
      <c r="G304" s="352"/>
      <c r="H304" s="355"/>
      <c r="I304" s="355"/>
      <c r="J304" s="355"/>
      <c r="K304" s="355"/>
      <c r="L304" s="355"/>
      <c r="M304" s="355"/>
      <c r="N304" s="355"/>
      <c r="O304" s="355"/>
      <c r="P304" s="355"/>
      <c r="Q304" s="355"/>
      <c r="R304" s="355"/>
      <c r="S304" s="355"/>
      <c r="T304" s="355"/>
      <c r="U304" s="355"/>
      <c r="V304" s="355"/>
      <c r="W304" s="355"/>
      <c r="X304" s="355"/>
      <c r="Y304" s="355"/>
      <c r="Z304" s="355"/>
      <c r="AA304" s="355"/>
      <c r="AB304" s="355"/>
    </row>
    <row r="305" spans="1:28" s="39" customFormat="1" hidden="1" outlineLevel="1">
      <c r="A305" s="95">
        <f t="shared" si="156"/>
        <v>187</v>
      </c>
      <c r="B305" s="25" t="s">
        <v>201</v>
      </c>
      <c r="C305"/>
      <c r="D305"/>
      <c r="E305" s="351"/>
      <c r="F305" s="354">
        <f t="shared" si="164"/>
        <v>0.2</v>
      </c>
      <c r="G305" s="352"/>
      <c r="H305" s="355"/>
      <c r="I305" s="355"/>
      <c r="J305" s="355"/>
      <c r="K305" s="355"/>
      <c r="L305" s="355"/>
      <c r="M305" s="355"/>
      <c r="N305" s="355"/>
      <c r="O305" s="355"/>
      <c r="P305" s="355"/>
      <c r="Q305" s="355"/>
      <c r="R305" s="355"/>
      <c r="S305" s="355"/>
      <c r="T305" s="355"/>
      <c r="U305" s="355"/>
      <c r="V305" s="355"/>
      <c r="W305" s="355"/>
      <c r="X305" s="355"/>
      <c r="Y305" s="355"/>
      <c r="Z305" s="355"/>
      <c r="AA305" s="355"/>
      <c r="AB305" s="355"/>
    </row>
    <row r="306" spans="1:28" s="39" customFormat="1" hidden="1" outlineLevel="1">
      <c r="A306" s="95">
        <f t="shared" si="156"/>
        <v>188</v>
      </c>
      <c r="B306" s="25" t="s">
        <v>202</v>
      </c>
      <c r="C306"/>
      <c r="D306"/>
      <c r="E306" s="351"/>
      <c r="F306" s="354">
        <f t="shared" si="164"/>
        <v>0.2</v>
      </c>
      <c r="G306" s="352"/>
      <c r="H306" s="355"/>
      <c r="I306" s="355"/>
      <c r="J306" s="355"/>
      <c r="K306" s="355"/>
      <c r="L306" s="355"/>
      <c r="M306" s="355"/>
      <c r="N306" s="355"/>
      <c r="O306" s="355"/>
      <c r="P306" s="355"/>
      <c r="Q306" s="355"/>
      <c r="R306" s="355"/>
      <c r="S306" s="355"/>
      <c r="T306" s="355"/>
      <c r="U306" s="355"/>
      <c r="V306" s="355"/>
      <c r="W306" s="355"/>
      <c r="X306" s="355"/>
      <c r="Y306" s="355"/>
      <c r="Z306" s="355"/>
      <c r="AA306" s="355"/>
      <c r="AB306" s="355"/>
    </row>
    <row r="307" spans="1:28" s="39" customFormat="1" hidden="1" outlineLevel="1">
      <c r="A307" s="95">
        <f t="shared" si="156"/>
        <v>189</v>
      </c>
      <c r="B307" s="25" t="s">
        <v>203</v>
      </c>
      <c r="C307"/>
      <c r="D307"/>
      <c r="E307" s="351"/>
      <c r="F307" s="354">
        <f t="shared" si="164"/>
        <v>0.2</v>
      </c>
      <c r="G307" s="352"/>
      <c r="H307" s="355"/>
      <c r="I307" s="355"/>
      <c r="J307" s="355"/>
      <c r="K307" s="355"/>
      <c r="L307" s="355"/>
      <c r="M307" s="355"/>
      <c r="N307" s="355"/>
      <c r="O307" s="355"/>
      <c r="P307" s="355"/>
      <c r="Q307" s="355"/>
      <c r="R307" s="355"/>
      <c r="S307" s="355"/>
      <c r="T307" s="355"/>
      <c r="U307" s="355"/>
      <c r="V307" s="355"/>
      <c r="W307" s="355"/>
      <c r="X307" s="355"/>
      <c r="Y307" s="355"/>
      <c r="Z307" s="355"/>
      <c r="AA307" s="355"/>
      <c r="AB307" s="355"/>
    </row>
    <row r="308" spans="1:28" s="39" customFormat="1" hidden="1" outlineLevel="1">
      <c r="A308" s="95">
        <f t="shared" si="156"/>
        <v>190</v>
      </c>
      <c r="B308" s="25" t="s">
        <v>204</v>
      </c>
      <c r="C308"/>
      <c r="D308"/>
      <c r="E308" s="351"/>
      <c r="F308" s="354">
        <f t="shared" si="164"/>
        <v>0.2</v>
      </c>
      <c r="G308" s="352"/>
      <c r="H308" s="355"/>
      <c r="I308" s="355"/>
      <c r="J308" s="355"/>
      <c r="K308" s="355"/>
      <c r="L308" s="355"/>
      <c r="M308" s="355"/>
      <c r="N308" s="355"/>
      <c r="O308" s="355"/>
      <c r="P308" s="355"/>
      <c r="Q308" s="355"/>
      <c r="R308" s="355"/>
      <c r="S308" s="355"/>
      <c r="T308" s="355"/>
      <c r="U308" s="355"/>
      <c r="V308" s="355"/>
      <c r="W308" s="355"/>
      <c r="X308" s="355"/>
      <c r="Y308" s="355"/>
      <c r="Z308" s="355"/>
      <c r="AA308" s="355"/>
      <c r="AB308" s="355"/>
    </row>
    <row r="309" spans="1:28" s="39" customFormat="1" hidden="1" outlineLevel="1">
      <c r="A309" s="95">
        <f t="shared" si="156"/>
        <v>191</v>
      </c>
      <c r="B309" s="25" t="s">
        <v>205</v>
      </c>
      <c r="C309"/>
      <c r="D309"/>
      <c r="E309" s="351"/>
      <c r="F309" s="354">
        <f t="shared" si="164"/>
        <v>0.2</v>
      </c>
      <c r="G309" s="352"/>
      <c r="H309" s="355"/>
      <c r="I309" s="355"/>
      <c r="J309" s="355"/>
      <c r="K309" s="355"/>
      <c r="L309" s="355"/>
      <c r="M309" s="355"/>
      <c r="N309" s="355"/>
      <c r="O309" s="355"/>
      <c r="P309" s="355"/>
      <c r="Q309" s="355"/>
      <c r="R309" s="355"/>
      <c r="S309" s="355"/>
      <c r="T309" s="355"/>
      <c r="U309" s="355"/>
      <c r="V309" s="355"/>
      <c r="W309" s="355"/>
      <c r="X309" s="355"/>
      <c r="Y309" s="355"/>
      <c r="Z309" s="355"/>
      <c r="AA309" s="355"/>
      <c r="AB309" s="355"/>
    </row>
    <row r="310" spans="1:28" s="39" customFormat="1" hidden="1" outlineLevel="1">
      <c r="A310" s="95">
        <f t="shared" si="156"/>
        <v>192</v>
      </c>
      <c r="B310" s="25" t="s">
        <v>206</v>
      </c>
      <c r="C310"/>
      <c r="D310"/>
      <c r="E310" s="351"/>
      <c r="F310" s="354">
        <f t="shared" si="164"/>
        <v>0.2</v>
      </c>
      <c r="G310" s="352"/>
      <c r="H310" s="355"/>
      <c r="I310" s="355"/>
      <c r="J310" s="355"/>
      <c r="K310" s="355"/>
      <c r="L310" s="355"/>
      <c r="M310" s="355"/>
      <c r="N310" s="355"/>
      <c r="O310" s="355"/>
      <c r="P310" s="355"/>
      <c r="Q310" s="355"/>
      <c r="R310" s="355"/>
      <c r="S310" s="355"/>
      <c r="T310" s="355"/>
      <c r="U310" s="355"/>
      <c r="V310" s="355"/>
      <c r="W310" s="355"/>
      <c r="X310" s="355"/>
      <c r="Y310" s="355"/>
      <c r="Z310" s="355"/>
      <c r="AA310" s="355"/>
      <c r="AB310" s="355"/>
    </row>
    <row r="311" spans="1:28" s="39" customFormat="1" hidden="1" outlineLevel="1">
      <c r="A311" s="95">
        <f t="shared" si="156"/>
        <v>193</v>
      </c>
      <c r="B311" s="25" t="s">
        <v>207</v>
      </c>
      <c r="C311"/>
      <c r="D311"/>
      <c r="E311" s="351"/>
      <c r="F311" s="354">
        <f t="shared" si="164"/>
        <v>0.2</v>
      </c>
      <c r="G311" s="352"/>
      <c r="H311" s="355"/>
      <c r="I311" s="355"/>
      <c r="J311" s="355"/>
      <c r="K311" s="355"/>
      <c r="L311" s="355"/>
      <c r="M311" s="355"/>
      <c r="N311" s="355"/>
      <c r="O311" s="355"/>
      <c r="P311" s="355"/>
      <c r="Q311" s="355"/>
      <c r="R311" s="355"/>
      <c r="S311" s="355"/>
      <c r="T311" s="355"/>
      <c r="U311" s="355"/>
      <c r="V311" s="355"/>
      <c r="W311" s="355"/>
      <c r="X311" s="355"/>
      <c r="Y311" s="355"/>
      <c r="Z311" s="355"/>
      <c r="AA311" s="355"/>
      <c r="AB311" s="355"/>
    </row>
    <row r="312" spans="1:28" s="39" customFormat="1" hidden="1" outlineLevel="1">
      <c r="A312" s="95">
        <f t="shared" si="156"/>
        <v>194</v>
      </c>
      <c r="B312" s="25" t="s">
        <v>208</v>
      </c>
      <c r="C312"/>
      <c r="D312"/>
      <c r="E312" s="351"/>
      <c r="F312" s="354">
        <f t="shared" si="164"/>
        <v>0.2</v>
      </c>
      <c r="G312" s="352"/>
      <c r="H312" s="355"/>
      <c r="I312" s="355"/>
      <c r="J312" s="355"/>
      <c r="K312" s="355"/>
      <c r="L312" s="355"/>
      <c r="M312" s="355"/>
      <c r="N312" s="355"/>
      <c r="O312" s="355"/>
      <c r="P312" s="355"/>
      <c r="Q312" s="355"/>
      <c r="R312" s="355"/>
      <c r="S312" s="355"/>
      <c r="T312" s="355"/>
      <c r="U312" s="355"/>
      <c r="V312" s="355"/>
      <c r="W312" s="355"/>
      <c r="X312" s="355"/>
      <c r="Y312" s="355"/>
      <c r="Z312" s="355"/>
      <c r="AA312" s="355"/>
      <c r="AB312" s="355"/>
    </row>
    <row r="313" spans="1:28" s="39" customFormat="1" hidden="1" outlineLevel="1">
      <c r="A313" s="95">
        <f t="shared" si="156"/>
        <v>195</v>
      </c>
      <c r="B313" s="25" t="s">
        <v>209</v>
      </c>
      <c r="C313"/>
      <c r="D313"/>
      <c r="E313" s="351"/>
      <c r="F313" s="354">
        <f t="shared" si="164"/>
        <v>0.2</v>
      </c>
      <c r="G313" s="352"/>
      <c r="H313" s="355"/>
      <c r="I313" s="355"/>
      <c r="J313" s="355"/>
      <c r="K313" s="355"/>
      <c r="L313" s="355"/>
      <c r="M313" s="355"/>
      <c r="N313" s="355"/>
      <c r="O313" s="355"/>
      <c r="P313" s="355"/>
      <c r="Q313" s="355"/>
      <c r="R313" s="355"/>
      <c r="S313" s="355"/>
      <c r="T313" s="355"/>
      <c r="U313" s="355"/>
      <c r="V313" s="355"/>
      <c r="W313" s="355"/>
      <c r="X313" s="355"/>
      <c r="Y313" s="355"/>
      <c r="Z313" s="355"/>
      <c r="AA313" s="355"/>
      <c r="AB313" s="355"/>
    </row>
    <row r="314" spans="1:28" s="39" customFormat="1" hidden="1" outlineLevel="1">
      <c r="A314" s="95">
        <f t="shared" si="156"/>
        <v>196</v>
      </c>
      <c r="B314" s="25" t="s">
        <v>210</v>
      </c>
      <c r="C314"/>
      <c r="D314"/>
      <c r="E314" s="351"/>
      <c r="F314" s="354">
        <f t="shared" si="164"/>
        <v>0.2</v>
      </c>
      <c r="G314" s="352"/>
      <c r="H314" s="355"/>
      <c r="I314" s="355"/>
      <c r="J314" s="355"/>
      <c r="K314" s="355"/>
      <c r="L314" s="355"/>
      <c r="M314" s="355"/>
      <c r="N314" s="355"/>
      <c r="O314" s="355"/>
      <c r="P314" s="355"/>
      <c r="Q314" s="355"/>
      <c r="R314" s="355"/>
      <c r="S314" s="355"/>
      <c r="T314" s="355"/>
      <c r="U314" s="355"/>
      <c r="V314" s="355"/>
      <c r="W314" s="355"/>
      <c r="X314" s="355"/>
      <c r="Y314" s="355"/>
      <c r="Z314" s="355"/>
      <c r="AA314" s="355"/>
      <c r="AB314" s="355"/>
    </row>
    <row r="315" spans="1:28" s="39" customFormat="1" hidden="1" outlineLevel="1">
      <c r="A315" s="95">
        <f t="shared" si="156"/>
        <v>197</v>
      </c>
      <c r="B315" s="25" t="s">
        <v>211</v>
      </c>
      <c r="C315"/>
      <c r="D315"/>
      <c r="E315" s="351"/>
      <c r="F315" s="354">
        <f t="shared" si="164"/>
        <v>0.2</v>
      </c>
      <c r="G315" s="352"/>
      <c r="H315" s="355"/>
      <c r="I315" s="355"/>
      <c r="J315" s="355"/>
      <c r="K315" s="355"/>
      <c r="L315" s="355"/>
      <c r="M315" s="355"/>
      <c r="N315" s="355"/>
      <c r="O315" s="355"/>
      <c r="P315" s="355"/>
      <c r="Q315" s="355"/>
      <c r="R315" s="355"/>
      <c r="S315" s="355"/>
      <c r="T315" s="355"/>
      <c r="U315" s="355"/>
      <c r="V315" s="355"/>
      <c r="W315" s="355"/>
      <c r="X315" s="355"/>
      <c r="Y315" s="355"/>
      <c r="Z315" s="355"/>
      <c r="AA315" s="355"/>
      <c r="AB315" s="355"/>
    </row>
    <row r="316" spans="1:28" s="39" customFormat="1" hidden="1" outlineLevel="1">
      <c r="A316" s="95">
        <f t="shared" si="156"/>
        <v>198</v>
      </c>
      <c r="B316" s="25" t="s">
        <v>212</v>
      </c>
      <c r="C316"/>
      <c r="D316"/>
      <c r="E316" s="351"/>
      <c r="F316" s="354">
        <f t="shared" si="164"/>
        <v>0.2</v>
      </c>
      <c r="G316" s="352"/>
      <c r="H316" s="355"/>
      <c r="I316" s="355"/>
      <c r="J316" s="355"/>
      <c r="K316" s="355"/>
      <c r="L316" s="355"/>
      <c r="M316" s="355"/>
      <c r="N316" s="355"/>
      <c r="O316" s="355"/>
      <c r="P316" s="355"/>
      <c r="Q316" s="355"/>
      <c r="R316" s="355"/>
      <c r="S316" s="355"/>
      <c r="T316" s="355"/>
      <c r="U316" s="355"/>
      <c r="V316" s="355"/>
      <c r="W316" s="355"/>
      <c r="X316" s="355"/>
      <c r="Y316" s="355"/>
      <c r="Z316" s="355"/>
      <c r="AA316" s="355"/>
      <c r="AB316" s="355"/>
    </row>
    <row r="317" spans="1:28" s="39" customFormat="1" hidden="1" outlineLevel="1">
      <c r="A317" s="95">
        <f t="shared" si="156"/>
        <v>199</v>
      </c>
      <c r="B317" s="25" t="s">
        <v>213</v>
      </c>
      <c r="C317"/>
      <c r="D317"/>
      <c r="E317" s="351"/>
      <c r="F317" s="354">
        <f t="shared" si="164"/>
        <v>0.2</v>
      </c>
      <c r="G317" s="352"/>
      <c r="H317" s="355"/>
      <c r="I317" s="355"/>
      <c r="J317" s="355"/>
      <c r="K317" s="355"/>
      <c r="L317" s="355"/>
      <c r="M317" s="355"/>
      <c r="N317" s="355"/>
      <c r="O317" s="355"/>
      <c r="P317" s="355"/>
      <c r="Q317" s="355"/>
      <c r="R317" s="355"/>
      <c r="S317" s="355"/>
      <c r="T317" s="355"/>
      <c r="U317" s="355"/>
      <c r="V317" s="355"/>
      <c r="W317" s="355"/>
      <c r="X317" s="355"/>
      <c r="Y317" s="355"/>
      <c r="Z317" s="355"/>
      <c r="AA317" s="355"/>
      <c r="AB317" s="355"/>
    </row>
    <row r="318" spans="1:28" s="39" customFormat="1" hidden="1" outlineLevel="1">
      <c r="A318" s="95">
        <f t="shared" si="156"/>
        <v>200</v>
      </c>
      <c r="B318" s="25" t="s">
        <v>214</v>
      </c>
      <c r="C318"/>
      <c r="D318"/>
      <c r="E318" s="351"/>
      <c r="F318" s="354">
        <f t="shared" si="164"/>
        <v>0.2</v>
      </c>
      <c r="G318" s="352"/>
      <c r="H318" s="355"/>
      <c r="I318" s="355"/>
      <c r="J318" s="355"/>
      <c r="K318" s="355"/>
      <c r="L318" s="355"/>
      <c r="M318" s="355"/>
      <c r="N318" s="355"/>
      <c r="O318" s="355"/>
      <c r="P318" s="355"/>
      <c r="Q318" s="355"/>
      <c r="R318" s="355"/>
      <c r="S318" s="355"/>
      <c r="T318" s="355"/>
      <c r="U318" s="355"/>
      <c r="V318" s="355"/>
      <c r="W318" s="355"/>
      <c r="X318" s="355"/>
      <c r="Y318" s="355"/>
      <c r="Z318" s="355"/>
      <c r="AA318" s="355"/>
      <c r="AB318" s="355"/>
    </row>
    <row r="319" spans="1:28" s="39" customFormat="1" hidden="1" outlineLevel="1">
      <c r="A319" s="95">
        <f t="shared" si="156"/>
        <v>201</v>
      </c>
      <c r="B319" s="25" t="s">
        <v>215</v>
      </c>
      <c r="C319"/>
      <c r="D319"/>
      <c r="E319" s="351"/>
      <c r="F319" s="354">
        <f t="shared" si="164"/>
        <v>0.2</v>
      </c>
      <c r="G319" s="352"/>
      <c r="H319" s="355"/>
      <c r="I319" s="355"/>
      <c r="J319" s="355"/>
      <c r="K319" s="355"/>
      <c r="L319" s="355"/>
      <c r="M319" s="355"/>
      <c r="N319" s="355"/>
      <c r="O319" s="355"/>
      <c r="P319" s="355"/>
      <c r="Q319" s="355"/>
      <c r="R319" s="355"/>
      <c r="S319" s="355"/>
      <c r="T319" s="355"/>
      <c r="U319" s="355"/>
      <c r="V319" s="355"/>
      <c r="W319" s="355"/>
      <c r="X319" s="355"/>
      <c r="Y319" s="355"/>
      <c r="Z319" s="355"/>
      <c r="AA319" s="355"/>
      <c r="AB319" s="355"/>
    </row>
    <row r="320" spans="1:28" s="39" customFormat="1" hidden="1" outlineLevel="1">
      <c r="A320" s="95">
        <f t="shared" si="156"/>
        <v>202</v>
      </c>
      <c r="B320" s="25" t="s">
        <v>216</v>
      </c>
      <c r="C320"/>
      <c r="D320"/>
      <c r="E320" s="351"/>
      <c r="F320" s="354">
        <f t="shared" si="164"/>
        <v>0.2</v>
      </c>
      <c r="G320" s="352"/>
      <c r="H320" s="355"/>
      <c r="I320" s="355"/>
      <c r="J320" s="355"/>
      <c r="K320" s="355"/>
      <c r="L320" s="355"/>
      <c r="M320" s="355"/>
      <c r="N320" s="355"/>
      <c r="O320" s="355"/>
      <c r="P320" s="355"/>
      <c r="Q320" s="355"/>
      <c r="R320" s="355"/>
      <c r="S320" s="355"/>
      <c r="T320" s="355"/>
      <c r="U320" s="355"/>
      <c r="V320" s="355"/>
      <c r="W320" s="355"/>
      <c r="X320" s="355"/>
      <c r="Y320" s="355"/>
      <c r="Z320" s="355"/>
      <c r="AA320" s="355"/>
      <c r="AB320" s="355"/>
    </row>
    <row r="321" spans="1:28" s="39" customFormat="1" hidden="1" outlineLevel="1">
      <c r="A321" s="95">
        <f t="shared" si="156"/>
        <v>203</v>
      </c>
      <c r="B321" s="25" t="s">
        <v>217</v>
      </c>
      <c r="C321"/>
      <c r="D321"/>
      <c r="E321" s="351"/>
      <c r="F321" s="354">
        <f t="shared" si="164"/>
        <v>0.2</v>
      </c>
      <c r="G321" s="352"/>
      <c r="H321" s="355"/>
      <c r="I321" s="355"/>
      <c r="J321" s="355"/>
      <c r="K321" s="355"/>
      <c r="L321" s="355"/>
      <c r="M321" s="355"/>
      <c r="N321" s="355"/>
      <c r="O321" s="355"/>
      <c r="P321" s="355"/>
      <c r="Q321" s="355"/>
      <c r="R321" s="355"/>
      <c r="S321" s="355"/>
      <c r="T321" s="355"/>
      <c r="U321" s="355"/>
      <c r="V321" s="355"/>
      <c r="W321" s="355"/>
      <c r="X321" s="355"/>
      <c r="Y321" s="355"/>
      <c r="Z321" s="355"/>
      <c r="AA321" s="355"/>
      <c r="AB321" s="355"/>
    </row>
    <row r="322" spans="1:28" s="39" customFormat="1" hidden="1" outlineLevel="1">
      <c r="A322" s="95">
        <f t="shared" si="156"/>
        <v>204</v>
      </c>
      <c r="B322" s="25" t="s">
        <v>218</v>
      </c>
      <c r="C322"/>
      <c r="D322"/>
      <c r="E322" s="351"/>
      <c r="F322" s="354">
        <f t="shared" si="164"/>
        <v>0.2</v>
      </c>
      <c r="G322" s="352"/>
      <c r="H322" s="355"/>
      <c r="I322" s="355"/>
      <c r="J322" s="355"/>
      <c r="K322" s="355"/>
      <c r="L322" s="355"/>
      <c r="M322" s="355"/>
      <c r="N322" s="355"/>
      <c r="O322" s="355"/>
      <c r="P322" s="355"/>
      <c r="Q322" s="355"/>
      <c r="R322" s="355"/>
      <c r="S322" s="355"/>
      <c r="T322" s="355"/>
      <c r="U322" s="355"/>
      <c r="V322" s="355"/>
      <c r="W322" s="355"/>
      <c r="X322" s="355"/>
      <c r="Y322" s="355"/>
      <c r="Z322" s="355"/>
      <c r="AA322" s="355"/>
      <c r="AB322" s="355"/>
    </row>
    <row r="323" spans="1:28" s="39" customFormat="1" hidden="1" outlineLevel="1">
      <c r="A323" s="95">
        <f t="shared" si="156"/>
        <v>205</v>
      </c>
      <c r="B323" s="25" t="s">
        <v>219</v>
      </c>
      <c r="C323"/>
      <c r="D323"/>
      <c r="E323" s="351"/>
      <c r="F323" s="354">
        <f t="shared" si="164"/>
        <v>0.2</v>
      </c>
      <c r="G323" s="352"/>
      <c r="H323" s="355"/>
      <c r="I323" s="355"/>
      <c r="J323" s="355"/>
      <c r="K323" s="355"/>
      <c r="L323" s="355"/>
      <c r="M323" s="355"/>
      <c r="N323" s="355"/>
      <c r="O323" s="355"/>
      <c r="P323" s="355"/>
      <c r="Q323" s="355"/>
      <c r="R323" s="355"/>
      <c r="S323" s="355"/>
      <c r="T323" s="355"/>
      <c r="U323" s="355"/>
      <c r="V323" s="355"/>
      <c r="W323" s="355"/>
      <c r="X323" s="355"/>
      <c r="Y323" s="355"/>
      <c r="Z323" s="355"/>
      <c r="AA323" s="355"/>
      <c r="AB323" s="355"/>
    </row>
    <row r="324" spans="1:28" s="39" customFormat="1" hidden="1" outlineLevel="1">
      <c r="A324" s="95">
        <f t="shared" si="156"/>
        <v>206</v>
      </c>
      <c r="B324" s="25" t="s">
        <v>220</v>
      </c>
      <c r="C324"/>
      <c r="D324"/>
      <c r="E324" s="351"/>
      <c r="F324" s="354">
        <f t="shared" si="164"/>
        <v>0.2</v>
      </c>
      <c r="G324" s="352"/>
      <c r="H324" s="355"/>
      <c r="I324" s="355"/>
      <c r="J324" s="355"/>
      <c r="K324" s="355"/>
      <c r="L324" s="355"/>
      <c r="M324" s="355"/>
      <c r="N324" s="355"/>
      <c r="O324" s="355"/>
      <c r="P324" s="355"/>
      <c r="Q324" s="355"/>
      <c r="R324" s="355"/>
      <c r="S324" s="355"/>
      <c r="T324" s="355"/>
      <c r="U324" s="355"/>
      <c r="V324" s="355"/>
      <c r="W324" s="355"/>
      <c r="X324" s="355"/>
      <c r="Y324" s="355"/>
      <c r="Z324" s="355"/>
      <c r="AA324" s="355"/>
      <c r="AB324" s="355"/>
    </row>
    <row r="325" spans="1:28" s="39" customFormat="1" hidden="1" outlineLevel="1">
      <c r="A325" s="95">
        <f t="shared" si="156"/>
        <v>207</v>
      </c>
      <c r="B325" s="25" t="s">
        <v>221</v>
      </c>
      <c r="C325"/>
      <c r="D325"/>
      <c r="E325" s="351"/>
      <c r="F325" s="354">
        <f t="shared" si="164"/>
        <v>0.2</v>
      </c>
      <c r="G325" s="352"/>
      <c r="H325" s="355"/>
      <c r="I325" s="355"/>
      <c r="J325" s="355"/>
      <c r="K325" s="355"/>
      <c r="L325" s="355"/>
      <c r="M325" s="355"/>
      <c r="N325" s="355"/>
      <c r="O325" s="355"/>
      <c r="P325" s="355"/>
      <c r="Q325" s="355"/>
      <c r="R325" s="355"/>
      <c r="S325" s="355"/>
      <c r="T325" s="355"/>
      <c r="U325" s="355"/>
      <c r="V325" s="355"/>
      <c r="W325" s="355"/>
      <c r="X325" s="355"/>
      <c r="Y325" s="355"/>
      <c r="Z325" s="355"/>
      <c r="AA325" s="355"/>
      <c r="AB325" s="355"/>
    </row>
    <row r="326" spans="1:28" collapsed="1">
      <c r="A326" s="95">
        <f t="shared" si="156"/>
        <v>208</v>
      </c>
      <c r="B326" s="345" t="s">
        <v>245</v>
      </c>
      <c r="E326" s="351"/>
      <c r="F326" s="350">
        <v>0.2</v>
      </c>
      <c r="G326" s="352"/>
      <c r="H326" s="356">
        <f t="shared" ref="H326" si="165">SUM(H283:H325)</f>
        <v>4170</v>
      </c>
      <c r="I326" s="356">
        <f t="shared" ref="I326:AB326" ca="1" si="166">SUM(I283:I325)</f>
        <v>11575.912285714285</v>
      </c>
      <c r="J326" s="356">
        <f t="shared" ca="1" si="166"/>
        <v>17975.467020408163</v>
      </c>
      <c r="K326" s="356">
        <f t="shared" ca="1" si="166"/>
        <v>24754.700839650144</v>
      </c>
      <c r="L326" s="356">
        <f t="shared" ca="1" si="166"/>
        <v>32502.396633069555</v>
      </c>
      <c r="M326" s="356">
        <f t="shared" ca="1" si="166"/>
        <v>37186.906111263168</v>
      </c>
      <c r="N326" s="356">
        <f t="shared" ca="1" si="166"/>
        <v>39900.433229198723</v>
      </c>
      <c r="O326" s="356">
        <f t="shared" ca="1" si="166"/>
        <v>45065.952098676084</v>
      </c>
      <c r="P326" s="356">
        <f t="shared" ca="1" si="166"/>
        <v>50511.088112772675</v>
      </c>
      <c r="Q326" s="356">
        <f t="shared" ca="1" si="166"/>
        <v>54970.788251332029</v>
      </c>
      <c r="R326" s="356">
        <f t="shared" ca="1" si="166"/>
        <v>58845.18418228034</v>
      </c>
      <c r="S326" s="356">
        <f t="shared" ca="1" si="166"/>
        <v>62304.603272043845</v>
      </c>
      <c r="T326" s="356">
        <f t="shared" ca="1" si="166"/>
        <v>63751.081404142198</v>
      </c>
      <c r="U326" s="356">
        <f t="shared" ca="1" si="166"/>
        <v>63731.796486798397</v>
      </c>
      <c r="V326" s="356">
        <f t="shared" ca="1" si="166"/>
        <v>64027.434829720791</v>
      </c>
      <c r="W326" s="356">
        <f t="shared" ca="1" si="166"/>
        <v>63935.558077012887</v>
      </c>
      <c r="X326" s="356">
        <f t="shared" ca="1" si="166"/>
        <v>63052.679500475781</v>
      </c>
      <c r="Y326" s="356">
        <f t="shared" ca="1" si="166"/>
        <v>62806.905393210604</v>
      </c>
      <c r="Z326" s="356">
        <f t="shared" ca="1" si="166"/>
        <v>63372.865566200635</v>
      </c>
      <c r="AA326" s="356">
        <f t="shared" ca="1" si="166"/>
        <v>63525.474465365893</v>
      </c>
      <c r="AB326" s="356">
        <f t="shared" ca="1" si="166"/>
        <v>63493.244902683575</v>
      </c>
    </row>
    <row r="327" spans="1:28">
      <c r="A327" s="95"/>
      <c r="B327" s="25" t="s">
        <v>400</v>
      </c>
      <c r="E327" s="351"/>
      <c r="F327" s="57"/>
      <c r="G327" s="352"/>
      <c r="H327" s="356">
        <f>I283</f>
        <v>8340</v>
      </c>
      <c r="I327" s="356">
        <f ca="1">SUM(J283:J284)</f>
        <v>14811.824571428569</v>
      </c>
      <c r="J327" s="356">
        <f ca="1">SUM(K283:K285)</f>
        <v>21139.109469387753</v>
      </c>
      <c r="K327" s="356">
        <f ca="1">SUM(L283:L286)</f>
        <v>28370.292209912535</v>
      </c>
      <c r="L327" s="356">
        <f ca="1">SUM(M283:M287)</f>
        <v>32464.501056226574</v>
      </c>
      <c r="M327" s="356">
        <f ca="1">SUM(N283:N288)</f>
        <v>34503.398880585475</v>
      </c>
      <c r="N327" s="356">
        <f ca="1">SUM(O283:O289)</f>
        <v>38897.912843118087</v>
      </c>
      <c r="O327" s="356">
        <f ca="1">SUM(P283:P290)</f>
        <v>44454.757534992103</v>
      </c>
      <c r="P327" s="356">
        <f ca="1">SUM(Q283:Q291)</f>
        <v>48819.722897133826</v>
      </c>
      <c r="Q327" s="356">
        <f ca="1">SUM(R283:R292)</f>
        <v>52267.344127336626</v>
      </c>
      <c r="R327" s="356">
        <f ca="1">SUM(S283:S293)</f>
        <v>55303.584833574227</v>
      </c>
      <c r="S327" s="356">
        <f ca="1">SUM(T283:T294)</f>
        <v>57740.548106342205</v>
      </c>
      <c r="T327" s="356">
        <f ca="1">SUM(U283:U295)</f>
        <v>57537.244868603637</v>
      </c>
      <c r="U327" s="356">
        <f ca="1">SUM(V283:V296)</f>
        <v>57718.952173014382</v>
      </c>
      <c r="V327" s="356">
        <f ca="1">SUM(W283:W297)</f>
        <v>57607.012077285275</v>
      </c>
      <c r="W327" s="356">
        <f ca="1">SUM(X283:X298)</f>
        <v>56685.245583327167</v>
      </c>
      <c r="X327" s="356">
        <f ca="1">SUM(Y283:Y299)</f>
        <v>56408.561681354789</v>
      </c>
      <c r="Y327" s="356">
        <f ca="1">SUM(Z283:Z300)</f>
        <v>57000.164189071656</v>
      </c>
      <c r="Z327" s="356">
        <f ca="1">SUM(AA283:AA301)</f>
        <v>57242.532668428437</v>
      </c>
      <c r="AA327" s="356">
        <f ca="1">SUM(AB283:AB302)</f>
        <v>57171.387605869342</v>
      </c>
      <c r="AB327" s="356">
        <f>SUM(AC283:AC303)</f>
        <v>0</v>
      </c>
    </row>
    <row r="328" spans="1:28">
      <c r="A328" s="95"/>
      <c r="B328" s="25" t="s">
        <v>396</v>
      </c>
      <c r="E328" s="351"/>
      <c r="F328" s="594"/>
      <c r="G328" s="352"/>
      <c r="H328" s="356">
        <f>SUM(J283:AB283)</f>
        <v>29190</v>
      </c>
      <c r="I328" s="356">
        <f ca="1">SUM(OFFSET($H$283,0,K279,K279-1,ABS(20-K279)))</f>
        <v>43501.385999999999</v>
      </c>
      <c r="J328" s="356">
        <f t="shared" ref="J328:AB328" ca="1" si="167">SUM(OFFSET($H$283,0,L279,L279-1,ABS(20-L279)))</f>
        <v>50835.058571428555</v>
      </c>
      <c r="K328" s="356">
        <f t="shared" ca="1" si="167"/>
        <v>55005.088693877544</v>
      </c>
      <c r="L328" s="356">
        <f t="shared" ca="1" si="167"/>
        <v>59729.527446064138</v>
      </c>
      <c r="M328" s="356">
        <f t="shared" ca="1" si="167"/>
        <v>67727.774060807991</v>
      </c>
      <c r="N328" s="356">
        <f t="shared" ca="1" si="167"/>
        <v>77403.170355209135</v>
      </c>
      <c r="O328" s="356">
        <f t="shared" ca="1" si="167"/>
        <v>88460.766120239001</v>
      </c>
      <c r="P328" s="356">
        <f t="shared" ca="1" si="167"/>
        <v>94148.018423130299</v>
      </c>
      <c r="Q328" s="356">
        <f t="shared" ca="1" si="167"/>
        <v>97240.262483577506</v>
      </c>
      <c r="R328" s="356">
        <f t="shared" ca="1" si="167"/>
        <v>101137.23814449673</v>
      </c>
      <c r="S328" s="356">
        <f t="shared" ca="1" si="167"/>
        <v>106405.85598438108</v>
      </c>
      <c r="T328" s="356">
        <f t="shared" ca="1" si="167"/>
        <v>102963.41079597737</v>
      </c>
      <c r="U328" s="356">
        <f t="shared" ca="1" si="167"/>
        <v>100995.42318671584</v>
      </c>
      <c r="V328" s="356">
        <f t="shared" ca="1" si="167"/>
        <v>100164.75501978824</v>
      </c>
      <c r="W328" s="356">
        <f t="shared" ca="1" si="167"/>
        <v>94107.877434281967</v>
      </c>
      <c r="X328" s="356">
        <f t="shared" ca="1" si="167"/>
        <v>75903.919255818881</v>
      </c>
      <c r="Y328" s="356">
        <f t="shared" ca="1" si="167"/>
        <v>44497.129914170488</v>
      </c>
      <c r="Z328" s="356">
        <f ca="1">SUM(OFFSET($H$283,0,AB279,AB279-1,))</f>
        <v>44605.504011994431</v>
      </c>
      <c r="AA328" s="356">
        <f t="shared" ca="1" si="167"/>
        <v>41700</v>
      </c>
      <c r="AB328" s="356">
        <f t="shared" ca="1" si="167"/>
        <v>41700</v>
      </c>
    </row>
    <row r="329" spans="1:28">
      <c r="A329" s="95">
        <f>1+A326</f>
        <v>209</v>
      </c>
      <c r="B329" s="2" t="s">
        <v>80</v>
      </c>
      <c r="C329" s="2"/>
      <c r="D329" s="2"/>
      <c r="E329" s="56"/>
      <c r="F329" s="57"/>
      <c r="G329" s="58"/>
      <c r="H329" s="69">
        <f>H282-H283</f>
        <v>37530</v>
      </c>
      <c r="I329" s="69">
        <f t="shared" ref="I329:AB329" ca="1" si="168">I282-I283</f>
        <v>24019.122857142851</v>
      </c>
      <c r="J329" s="69">
        <f t="shared" ca="1" si="168"/>
        <v>23296.424489795914</v>
      </c>
      <c r="K329" s="69">
        <f t="shared" ca="1" si="168"/>
        <v>27815.913702623904</v>
      </c>
      <c r="L329" s="69">
        <f t="shared" ca="1" si="168"/>
        <v>32981.04423157018</v>
      </c>
      <c r="M329" s="69">
        <f t="shared" ca="1" si="168"/>
        <v>43054.050550365922</v>
      </c>
      <c r="N329" s="69">
        <f t="shared" ca="1" si="168"/>
        <v>53970.343486132479</v>
      </c>
      <c r="O329" s="69">
        <f t="shared" ca="1" si="168"/>
        <v>61680.39255557998</v>
      </c>
      <c r="P329" s="69">
        <f t="shared" ca="1" si="168"/>
        <v>60563.305777805697</v>
      </c>
      <c r="Q329" s="69">
        <f t="shared" ca="1" si="168"/>
        <v>61510.653541982014</v>
      </c>
      <c r="R329" s="69">
        <f t="shared" ca="1" si="168"/>
        <v>65778.400549437167</v>
      </c>
      <c r="S329" s="69">
        <f t="shared" ca="1" si="168"/>
        <v>70010.1843846962</v>
      </c>
      <c r="T329" s="69">
        <f t="shared" ca="1" si="168"/>
        <v>60105.332977999911</v>
      </c>
      <c r="U329" s="69">
        <f t="shared" ca="1" si="168"/>
        <v>61945.516181947627</v>
      </c>
      <c r="V329" s="69">
        <f t="shared" ca="1" si="168"/>
        <v>63084.826567064076</v>
      </c>
      <c r="W329" s="69">
        <f t="shared" ca="1" si="168"/>
        <v>63285.459997276099</v>
      </c>
      <c r="X329" s="69">
        <f t="shared" ca="1" si="168"/>
        <v>63674.339171486157</v>
      </c>
      <c r="Y329" s="69">
        <f t="shared" ca="1" si="168"/>
        <v>63983.437118558169</v>
      </c>
      <c r="Z329" s="69">
        <f t="shared" ca="1" si="168"/>
        <v>63727.013771289741</v>
      </c>
      <c r="AA329" s="69">
        <f t="shared" ca="1" si="168"/>
        <v>62829.417969374532</v>
      </c>
      <c r="AB329" s="69">
        <f t="shared" ca="1" si="168"/>
        <v>63218.57296814234</v>
      </c>
    </row>
    <row r="330" spans="1:28">
      <c r="A330" s="95">
        <f t="shared" si="156"/>
        <v>210</v>
      </c>
      <c r="B330" s="345"/>
      <c r="E330" s="351"/>
      <c r="F330" s="357"/>
      <c r="G330" s="352"/>
      <c r="H330" s="358"/>
      <c r="I330" s="358"/>
      <c r="J330" s="358"/>
      <c r="K330" s="358"/>
      <c r="L330" s="358"/>
      <c r="M330" s="358"/>
      <c r="N330" s="358"/>
      <c r="O330" s="358"/>
      <c r="P330" s="358"/>
      <c r="Q330" s="358"/>
      <c r="R330" s="358"/>
      <c r="S330" s="358"/>
      <c r="T330" s="358"/>
      <c r="U330" s="358"/>
      <c r="V330" s="358"/>
      <c r="W330" s="358"/>
      <c r="X330" s="358"/>
      <c r="Y330" s="358"/>
      <c r="Z330" s="358"/>
      <c r="AA330" s="358"/>
      <c r="AB330" s="358"/>
    </row>
    <row r="331" spans="1:28">
      <c r="A331" s="95">
        <f t="shared" si="156"/>
        <v>211</v>
      </c>
      <c r="B331" s="345" t="s">
        <v>73</v>
      </c>
      <c r="E331" s="351"/>
      <c r="F331" s="74" t="s">
        <v>0</v>
      </c>
      <c r="G331" s="352"/>
    </row>
    <row r="332" spans="1:28">
      <c r="A332" s="95">
        <f t="shared" ref="A332:A340" si="169">1+A331</f>
        <v>212</v>
      </c>
      <c r="B332" s="25" t="s">
        <v>226</v>
      </c>
      <c r="E332" s="351"/>
      <c r="F332" s="351"/>
      <c r="G332" s="352"/>
      <c r="H332" s="79">
        <f>AVERAGE(Anual!Q54:R54)/100</f>
        <v>9.6263694164916522E-2</v>
      </c>
      <c r="I332" s="79">
        <f>AVERAGE(Anual!R54:S54)/100</f>
        <v>0.10753408119425531</v>
      </c>
      <c r="J332" s="79">
        <f>AVERAGE(Anual!S54:T54)/100</f>
        <v>8.9918738065839138E-2</v>
      </c>
      <c r="K332" s="79">
        <f>AVERAGE(Anual!T54:U54)/100</f>
        <v>7.1190853709230575E-2</v>
      </c>
      <c r="L332" s="79">
        <f>AVERAGE(Anual!U54:V54)/100</f>
        <v>7.747762858304813E-2</v>
      </c>
      <c r="M332" s="79">
        <f>AVERAGE(Anual!V54:W54)/100</f>
        <v>8.9988520260596519E-2</v>
      </c>
      <c r="N332" s="79">
        <f>AVERAGE(Anual!W54:X54)/100</f>
        <v>9.6667088515195121E-2</v>
      </c>
      <c r="O332" s="79">
        <f>AVERAGE(Anual!X54:Y54)/100</f>
        <v>9.7100000000000006E-2</v>
      </c>
      <c r="P332" s="79">
        <f>AVERAGE(Anual!Y54:Z54)/100</f>
        <v>9.5850000000000005E-2</v>
      </c>
      <c r="Q332" s="79">
        <f>AVERAGE(Anual!Z54:AA54)/100</f>
        <v>9.4600000000000004E-2</v>
      </c>
      <c r="R332" s="79">
        <f>AVERAGE(Anual!AA54:AB54)/100</f>
        <v>9.4600000000000004E-2</v>
      </c>
      <c r="S332" s="79">
        <f>AVERAGE(Anual!AB54:AC54)/100</f>
        <v>9.4600000000000004E-2</v>
      </c>
      <c r="T332" s="79">
        <f>AVERAGE(Anual!AC54:AD54)/100</f>
        <v>9.3350000000000002E-2</v>
      </c>
      <c r="U332" s="79">
        <f>AVERAGE(Anual!AD54:AE54)/100</f>
        <v>9.2100000000000015E-2</v>
      </c>
      <c r="V332" s="79">
        <f>AVERAGE(Anual!AE54:AF54)/100</f>
        <v>9.2100000000000015E-2</v>
      </c>
      <c r="W332" s="79">
        <f>AVERAGE(Anual!AF54:AG54)/100</f>
        <v>9.2100000000000015E-2</v>
      </c>
      <c r="X332" s="79">
        <f>AVERAGE(Anual!AG54:AH54)/100</f>
        <v>9.2100000000000015E-2</v>
      </c>
      <c r="Y332" s="79">
        <f>AVERAGE(Anual!AH54:AI54)/100</f>
        <v>9.0850000000000014E-2</v>
      </c>
      <c r="Z332" s="79">
        <f>AVERAGE(Anual!AI54:AJ54)/100</f>
        <v>8.9600000000000013E-2</v>
      </c>
      <c r="AA332" s="79">
        <f>AVERAGE(Anual!AJ54:AK54)/100</f>
        <v>8.9600000000000013E-2</v>
      </c>
      <c r="AB332" s="79">
        <f>AVERAGE(Anual!AK54:AL54)/100</f>
        <v>8.9600000000000013E-2</v>
      </c>
    </row>
    <row r="333" spans="1:28">
      <c r="A333" s="95">
        <f t="shared" si="169"/>
        <v>213</v>
      </c>
      <c r="B333" s="25" t="s">
        <v>227</v>
      </c>
      <c r="E333" s="351"/>
      <c r="F333" s="351"/>
      <c r="G333" s="352"/>
      <c r="H333" s="79">
        <f>Anual!R60/100</f>
        <v>0.06</v>
      </c>
      <c r="I333" s="79">
        <f>Anual!S60/100</f>
        <v>0.06</v>
      </c>
      <c r="J333" s="79">
        <f>Anual!T60/100</f>
        <v>5.7500000000000002E-2</v>
      </c>
      <c r="K333" s="79">
        <f>Anual!U60/100</f>
        <v>0.05</v>
      </c>
      <c r="L333" s="79">
        <f>Anual!V60/100</f>
        <v>0.05</v>
      </c>
      <c r="M333" s="79">
        <f>Anual!W60/100</f>
        <v>0.05</v>
      </c>
      <c r="N333" s="79">
        <f>Anual!X60/100</f>
        <v>0.05</v>
      </c>
      <c r="O333" s="79">
        <f>Anual!Y60/100</f>
        <v>0.05</v>
      </c>
      <c r="P333" s="79">
        <f>Anual!Z60/100</f>
        <v>0.05</v>
      </c>
      <c r="Q333" s="79">
        <f>Anual!AA60/100</f>
        <v>0.05</v>
      </c>
      <c r="R333" s="79">
        <f>Anual!AB60/100</f>
        <v>0.05</v>
      </c>
      <c r="S333" s="79">
        <f>Anual!AC60/100</f>
        <v>0.05</v>
      </c>
      <c r="T333" s="79">
        <f>Anual!AD60/100</f>
        <v>0.05</v>
      </c>
      <c r="U333" s="79">
        <f>Anual!AE60/100</f>
        <v>0.05</v>
      </c>
      <c r="V333" s="79">
        <f>Anual!AF60/100</f>
        <v>0.05</v>
      </c>
      <c r="W333" s="79">
        <f>Anual!AG60/100</f>
        <v>0.05</v>
      </c>
      <c r="X333" s="79">
        <f>Anual!AH60/100</f>
        <v>0.05</v>
      </c>
      <c r="Y333" s="79">
        <f>Anual!AI60/100</f>
        <v>0.05</v>
      </c>
      <c r="Z333" s="79">
        <f>Anual!AJ60/100</f>
        <v>0.05</v>
      </c>
      <c r="AA333" s="79">
        <f>Anual!AK60/100</f>
        <v>0.05</v>
      </c>
      <c r="AB333" s="79">
        <f>Anual!AL60/100</f>
        <v>0.05</v>
      </c>
    </row>
    <row r="334" spans="1:28">
      <c r="A334" s="95">
        <f t="shared" si="169"/>
        <v>214</v>
      </c>
      <c r="B334" s="345" t="s">
        <v>75</v>
      </c>
      <c r="E334" s="351"/>
      <c r="F334" s="359"/>
      <c r="G334" s="352"/>
      <c r="H334" s="349">
        <v>6.0858195031703977E-2</v>
      </c>
      <c r="I334" s="349">
        <v>6.9331191225970645E-2</v>
      </c>
      <c r="J334" s="349">
        <v>5.262269751452231E-2</v>
      </c>
      <c r="K334" s="349">
        <v>4.0696109696557681E-2</v>
      </c>
      <c r="L334" s="349">
        <v>3.0648561880178171E-2</v>
      </c>
      <c r="M334" s="349">
        <v>5.0711764360651168E-2</v>
      </c>
      <c r="N334" s="349">
        <v>5.085417512043322E-2</v>
      </c>
      <c r="O334" s="349">
        <v>5.0711764360650946E-2</v>
      </c>
      <c r="P334" s="349">
        <v>5.0711764360650946E-2</v>
      </c>
      <c r="Q334" s="349">
        <v>5.0711764360650724E-2</v>
      </c>
      <c r="R334" s="349">
        <v>5.085417512043322E-2</v>
      </c>
      <c r="S334" s="349">
        <v>5.0711764360650946E-2</v>
      </c>
      <c r="T334" s="349">
        <v>5.0711764360650946E-2</v>
      </c>
      <c r="U334" s="349">
        <v>5.0711764360650724E-2</v>
      </c>
      <c r="V334" s="349">
        <v>5.0854175120433442E-2</v>
      </c>
      <c r="W334" s="349">
        <v>5.0711764360650724E-2</v>
      </c>
      <c r="X334" s="349">
        <v>5.0711764360650946E-2</v>
      </c>
      <c r="Y334" s="349">
        <v>5.0711764360650946E-2</v>
      </c>
      <c r="Z334" s="349">
        <v>5.085417512043322E-2</v>
      </c>
      <c r="AA334" s="349">
        <v>5.0711764360650946E-2</v>
      </c>
      <c r="AB334" s="349">
        <v>5.0711764360650946E-2</v>
      </c>
    </row>
    <row r="335" spans="1:28">
      <c r="A335" s="95">
        <f t="shared" si="169"/>
        <v>215</v>
      </c>
      <c r="B335" s="345" t="s">
        <v>76</v>
      </c>
      <c r="E335" s="351"/>
      <c r="F335" s="350">
        <v>0.02</v>
      </c>
      <c r="G335" s="352"/>
      <c r="H335" s="353">
        <f>((1+H333)*(1+$F335))-1</f>
        <v>8.1200000000000161E-2</v>
      </c>
      <c r="I335" s="353">
        <f t="shared" ref="I335:AB335" si="170">((1+I333)*(1+$F335))-1</f>
        <v>8.1200000000000161E-2</v>
      </c>
      <c r="J335" s="353">
        <f t="shared" si="170"/>
        <v>7.8650000000000109E-2</v>
      </c>
      <c r="K335" s="353">
        <f t="shared" si="170"/>
        <v>7.1000000000000174E-2</v>
      </c>
      <c r="L335" s="353">
        <f t="shared" si="170"/>
        <v>7.1000000000000174E-2</v>
      </c>
      <c r="M335" s="353">
        <f t="shared" si="170"/>
        <v>7.1000000000000174E-2</v>
      </c>
      <c r="N335" s="353">
        <f t="shared" si="170"/>
        <v>7.1000000000000174E-2</v>
      </c>
      <c r="O335" s="353">
        <f t="shared" si="170"/>
        <v>7.1000000000000174E-2</v>
      </c>
      <c r="P335" s="353">
        <f t="shared" si="170"/>
        <v>7.1000000000000174E-2</v>
      </c>
      <c r="Q335" s="353">
        <f t="shared" si="170"/>
        <v>7.1000000000000174E-2</v>
      </c>
      <c r="R335" s="353">
        <f t="shared" si="170"/>
        <v>7.1000000000000174E-2</v>
      </c>
      <c r="S335" s="353">
        <f t="shared" si="170"/>
        <v>7.1000000000000174E-2</v>
      </c>
      <c r="T335" s="353">
        <f t="shared" si="170"/>
        <v>7.1000000000000174E-2</v>
      </c>
      <c r="U335" s="353">
        <f t="shared" si="170"/>
        <v>7.1000000000000174E-2</v>
      </c>
      <c r="V335" s="353">
        <f t="shared" si="170"/>
        <v>7.1000000000000174E-2</v>
      </c>
      <c r="W335" s="353">
        <f t="shared" si="170"/>
        <v>7.1000000000000174E-2</v>
      </c>
      <c r="X335" s="353">
        <f t="shared" si="170"/>
        <v>7.1000000000000174E-2</v>
      </c>
      <c r="Y335" s="353">
        <f t="shared" si="170"/>
        <v>7.1000000000000174E-2</v>
      </c>
      <c r="Z335" s="353">
        <f t="shared" si="170"/>
        <v>7.1000000000000174E-2</v>
      </c>
      <c r="AA335" s="353">
        <f t="shared" si="170"/>
        <v>7.1000000000000174E-2</v>
      </c>
      <c r="AB335" s="353">
        <f t="shared" si="170"/>
        <v>7.1000000000000174E-2</v>
      </c>
    </row>
    <row r="336" spans="1:28">
      <c r="A336" s="95">
        <f t="shared" si="169"/>
        <v>216</v>
      </c>
    </row>
    <row r="337" spans="1:28">
      <c r="A337" s="95">
        <f t="shared" si="169"/>
        <v>217</v>
      </c>
      <c r="B337" s="345" t="s">
        <v>74</v>
      </c>
      <c r="C337" s="345"/>
      <c r="D337" s="345"/>
      <c r="E337" s="357"/>
      <c r="F337" s="350">
        <v>0</v>
      </c>
      <c r="G337" s="352"/>
      <c r="H337" s="360">
        <f t="shared" ref="H337:AB337" si="171">H282*$F337</f>
        <v>0</v>
      </c>
      <c r="I337" s="360">
        <f t="shared" ca="1" si="171"/>
        <v>0</v>
      </c>
      <c r="J337" s="360">
        <f t="shared" ca="1" si="171"/>
        <v>0</v>
      </c>
      <c r="K337" s="360">
        <f t="shared" ca="1" si="171"/>
        <v>0</v>
      </c>
      <c r="L337" s="360">
        <f t="shared" ca="1" si="171"/>
        <v>0</v>
      </c>
      <c r="M337" s="360">
        <f t="shared" ca="1" si="171"/>
        <v>0</v>
      </c>
      <c r="N337" s="360">
        <f t="shared" ca="1" si="171"/>
        <v>0</v>
      </c>
      <c r="O337" s="360">
        <f t="shared" ca="1" si="171"/>
        <v>0</v>
      </c>
      <c r="P337" s="360">
        <f t="shared" ca="1" si="171"/>
        <v>0</v>
      </c>
      <c r="Q337" s="360">
        <f t="shared" ca="1" si="171"/>
        <v>0</v>
      </c>
      <c r="R337" s="360">
        <f t="shared" ca="1" si="171"/>
        <v>0</v>
      </c>
      <c r="S337" s="360">
        <f t="shared" ca="1" si="171"/>
        <v>0</v>
      </c>
      <c r="T337" s="360">
        <f t="shared" ca="1" si="171"/>
        <v>0</v>
      </c>
      <c r="U337" s="360">
        <f t="shared" ca="1" si="171"/>
        <v>0</v>
      </c>
      <c r="V337" s="360">
        <f t="shared" ca="1" si="171"/>
        <v>0</v>
      </c>
      <c r="W337" s="360">
        <f t="shared" ca="1" si="171"/>
        <v>0</v>
      </c>
      <c r="X337" s="360">
        <f t="shared" ca="1" si="171"/>
        <v>0</v>
      </c>
      <c r="Y337" s="360">
        <f t="shared" ca="1" si="171"/>
        <v>0</v>
      </c>
      <c r="Z337" s="360">
        <f t="shared" ca="1" si="171"/>
        <v>0</v>
      </c>
      <c r="AA337" s="360">
        <f t="shared" ca="1" si="171"/>
        <v>0</v>
      </c>
      <c r="AB337" s="360">
        <f t="shared" ca="1" si="171"/>
        <v>0</v>
      </c>
    </row>
    <row r="338" spans="1:28">
      <c r="A338" s="95">
        <f t="shared" si="169"/>
        <v>218</v>
      </c>
      <c r="B338" s="2" t="s">
        <v>231</v>
      </c>
      <c r="C338" s="2"/>
      <c r="D338" s="56"/>
      <c r="E338" s="56"/>
      <c r="F338" s="56"/>
      <c r="G338" s="58"/>
      <c r="H338" s="68">
        <f>H337+(AVERAGE(H329,H282)*H335)/2</f>
        <v>1608.3690000000031</v>
      </c>
      <c r="I338" s="68">
        <f t="shared" ref="I338:AB338" ca="1" si="172">I337+(AVERAGE(I329,I282)*I335)/2</f>
        <v>1144.478388000002</v>
      </c>
      <c r="J338" s="68">
        <f t="shared" ca="1" si="172"/>
        <v>1080.1171430612258</v>
      </c>
      <c r="K338" s="68">
        <f t="shared" ca="1" si="172"/>
        <v>1135.4999364431515</v>
      </c>
      <c r="L338" s="68">
        <f t="shared" ca="1" si="172"/>
        <v>1318.8620702207447</v>
      </c>
      <c r="M338" s="68">
        <f t="shared" ca="1" si="172"/>
        <v>1602.4362945379942</v>
      </c>
      <c r="N338" s="68">
        <f t="shared" ca="1" si="172"/>
        <v>1915.9471937577077</v>
      </c>
      <c r="O338" s="68">
        <f t="shared" ca="1" si="172"/>
        <v>2189.6539357230945</v>
      </c>
      <c r="P338" s="68">
        <f t="shared" ca="1" si="172"/>
        <v>2149.9973551121075</v>
      </c>
      <c r="Q338" s="68">
        <f t="shared" ca="1" si="172"/>
        <v>2183.628200740367</v>
      </c>
      <c r="R338" s="68">
        <f t="shared" ca="1" si="172"/>
        <v>2335.133219505025</v>
      </c>
      <c r="S338" s="68">
        <f t="shared" ca="1" si="172"/>
        <v>2485.3615456567213</v>
      </c>
      <c r="T338" s="68">
        <f t="shared" ca="1" si="172"/>
        <v>2133.7393207190021</v>
      </c>
      <c r="U338" s="68">
        <f t="shared" ca="1" si="172"/>
        <v>2199.0658244591464</v>
      </c>
      <c r="V338" s="68">
        <f t="shared" ca="1" si="172"/>
        <v>2239.51134313078</v>
      </c>
      <c r="W338" s="68">
        <f t="shared" ca="1" si="172"/>
        <v>2246.6338299033068</v>
      </c>
      <c r="X338" s="68">
        <f t="shared" ca="1" si="172"/>
        <v>2260.4390405877643</v>
      </c>
      <c r="Y338" s="68">
        <f t="shared" ca="1" si="172"/>
        <v>2271.4120177088207</v>
      </c>
      <c r="Z338" s="68">
        <f t="shared" ca="1" si="172"/>
        <v>2262.3089888807913</v>
      </c>
      <c r="AA338" s="68">
        <f t="shared" ca="1" si="172"/>
        <v>2230.4443379128015</v>
      </c>
      <c r="AB338" s="68">
        <f t="shared" ca="1" si="172"/>
        <v>2244.2593403690585</v>
      </c>
    </row>
    <row r="339" spans="1:28">
      <c r="A339" s="95">
        <f t="shared" si="169"/>
        <v>219</v>
      </c>
    </row>
    <row r="340" spans="1:28">
      <c r="A340" s="95">
        <f t="shared" si="169"/>
        <v>220</v>
      </c>
      <c r="H340" s="367"/>
      <c r="I340" s="367"/>
      <c r="J340" s="103"/>
      <c r="K340" s="368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</row>
    <row r="341" spans="1:28">
      <c r="A341" s="95" t="s">
        <v>411</v>
      </c>
      <c r="B341" s="28" t="s">
        <v>439</v>
      </c>
      <c r="C341" s="26"/>
      <c r="D341" s="134" t="s">
        <v>399</v>
      </c>
      <c r="E341" s="26"/>
      <c r="F341" s="26"/>
      <c r="G341" s="26"/>
      <c r="H341" s="26">
        <v>0</v>
      </c>
      <c r="I341" s="26">
        <v>1</v>
      </c>
      <c r="J341" s="26">
        <v>2</v>
      </c>
      <c r="K341" s="26">
        <v>3</v>
      </c>
      <c r="L341" s="26">
        <v>4</v>
      </c>
      <c r="M341" s="26">
        <v>5</v>
      </c>
      <c r="N341" s="26">
        <v>6</v>
      </c>
      <c r="O341" s="26">
        <v>7</v>
      </c>
      <c r="P341" s="26">
        <v>8</v>
      </c>
      <c r="Q341" s="26">
        <v>9</v>
      </c>
      <c r="R341" s="26">
        <v>10</v>
      </c>
      <c r="S341" s="26">
        <v>11</v>
      </c>
      <c r="T341" s="26">
        <v>12</v>
      </c>
      <c r="U341" s="26">
        <v>13</v>
      </c>
      <c r="V341" s="26">
        <v>14</v>
      </c>
      <c r="W341" s="26">
        <v>15</v>
      </c>
      <c r="X341" s="26">
        <v>16</v>
      </c>
      <c r="Y341" s="26">
        <v>17</v>
      </c>
      <c r="Z341" s="26">
        <v>18</v>
      </c>
      <c r="AA341" s="26">
        <v>19</v>
      </c>
      <c r="AB341" s="26">
        <v>20</v>
      </c>
    </row>
    <row r="342" spans="1:28">
      <c r="D342" s="40"/>
      <c r="E342" s="369"/>
      <c r="F342" s="370"/>
      <c r="H342" s="349"/>
      <c r="I342" s="349"/>
      <c r="J342" s="349"/>
      <c r="K342" s="349"/>
      <c r="L342" s="349"/>
      <c r="M342" s="349"/>
      <c r="N342" s="349"/>
      <c r="O342" s="349"/>
      <c r="P342" s="349"/>
      <c r="Q342" s="349"/>
      <c r="R342" s="349"/>
      <c r="S342" s="349"/>
      <c r="T342" s="349"/>
      <c r="U342" s="349"/>
      <c r="V342" s="349"/>
      <c r="W342" s="349"/>
      <c r="X342" s="349"/>
      <c r="Y342" s="349"/>
      <c r="Z342" s="349"/>
      <c r="AA342" s="349"/>
      <c r="AB342" s="349"/>
    </row>
    <row r="343" spans="1:28">
      <c r="A343" s="95" t="e">
        <f>1+#REF!</f>
        <v>#REF!</v>
      </c>
      <c r="D343" s="351"/>
      <c r="E343" s="351"/>
      <c r="F343" s="357">
        <v>7500</v>
      </c>
      <c r="G343" s="352"/>
      <c r="H343" s="357">
        <v>0</v>
      </c>
      <c r="I343" s="357">
        <f>H346</f>
        <v>0</v>
      </c>
      <c r="J343" s="357">
        <f t="shared" ref="J343:K343" si="173">I346</f>
        <v>0</v>
      </c>
      <c r="K343" s="357">
        <f t="shared" si="173"/>
        <v>0</v>
      </c>
      <c r="L343" s="357">
        <f t="shared" ref="L343" si="174">K346</f>
        <v>0</v>
      </c>
      <c r="M343" s="357">
        <f t="shared" ref="M343" si="175">L346</f>
        <v>0</v>
      </c>
      <c r="N343" s="357">
        <f t="shared" ref="N343" si="176">M346</f>
        <v>0</v>
      </c>
      <c r="O343" s="357">
        <f t="shared" ref="O343" si="177">N346</f>
        <v>0</v>
      </c>
      <c r="P343" s="357">
        <f t="shared" ref="P343" si="178">O346</f>
        <v>0</v>
      </c>
      <c r="Q343" s="357">
        <f t="shared" ref="Q343" si="179">P346</f>
        <v>0</v>
      </c>
      <c r="R343" s="357">
        <f t="shared" ref="R343" si="180">Q346</f>
        <v>0</v>
      </c>
      <c r="S343" s="357">
        <f t="shared" ref="S343" si="181">R346</f>
        <v>0</v>
      </c>
      <c r="T343" s="357">
        <f t="shared" ref="T343" si="182">S346</f>
        <v>0</v>
      </c>
      <c r="U343" s="357">
        <f t="shared" ref="U343" si="183">T346</f>
        <v>0</v>
      </c>
      <c r="V343" s="357">
        <f t="shared" ref="V343" si="184">U346</f>
        <v>0</v>
      </c>
      <c r="W343" s="357">
        <f t="shared" ref="W343" si="185">V346</f>
        <v>0</v>
      </c>
      <c r="X343" s="357">
        <f t="shared" ref="X343" si="186">W346</f>
        <v>0</v>
      </c>
      <c r="Y343" s="357">
        <f t="shared" ref="Y343" si="187">X346</f>
        <v>0</v>
      </c>
      <c r="Z343" s="357">
        <f t="shared" ref="Z343" si="188">Y346</f>
        <v>0</v>
      </c>
      <c r="AA343" s="357">
        <f t="shared" ref="AA343" si="189">Z346</f>
        <v>0</v>
      </c>
      <c r="AB343" s="357">
        <f t="shared" ref="AB343" si="190">AA346</f>
        <v>0</v>
      </c>
    </row>
    <row r="344" spans="1:28">
      <c r="A344" s="95" t="e">
        <f t="shared" ref="A344" si="191">1+A343</f>
        <v>#REF!</v>
      </c>
      <c r="D344" s="351"/>
      <c r="E344" s="351"/>
      <c r="F344" s="351"/>
      <c r="G344" s="352"/>
      <c r="H344">
        <v>0.25</v>
      </c>
      <c r="I344">
        <f>H344</f>
        <v>0.25</v>
      </c>
      <c r="J344">
        <f t="shared" ref="J344:AB344" si="192">I344</f>
        <v>0.25</v>
      </c>
      <c r="K344">
        <f t="shared" si="192"/>
        <v>0.25</v>
      </c>
      <c r="L344">
        <f t="shared" si="192"/>
        <v>0.25</v>
      </c>
      <c r="M344">
        <f t="shared" si="192"/>
        <v>0.25</v>
      </c>
      <c r="N344">
        <f t="shared" si="192"/>
        <v>0.25</v>
      </c>
      <c r="O344">
        <f t="shared" si="192"/>
        <v>0.25</v>
      </c>
      <c r="P344">
        <f t="shared" si="192"/>
        <v>0.25</v>
      </c>
      <c r="Q344">
        <f t="shared" si="192"/>
        <v>0.25</v>
      </c>
      <c r="R344">
        <f t="shared" si="192"/>
        <v>0.25</v>
      </c>
      <c r="S344">
        <f t="shared" si="192"/>
        <v>0.25</v>
      </c>
      <c r="T344">
        <f t="shared" si="192"/>
        <v>0.25</v>
      </c>
      <c r="U344">
        <f t="shared" si="192"/>
        <v>0.25</v>
      </c>
      <c r="V344">
        <f t="shared" si="192"/>
        <v>0.25</v>
      </c>
      <c r="W344">
        <f t="shared" si="192"/>
        <v>0.25</v>
      </c>
      <c r="X344">
        <f t="shared" si="192"/>
        <v>0.25</v>
      </c>
      <c r="Y344">
        <f t="shared" si="192"/>
        <v>0.25</v>
      </c>
      <c r="Z344">
        <f t="shared" si="192"/>
        <v>0.25</v>
      </c>
      <c r="AA344">
        <f t="shared" si="192"/>
        <v>0.25</v>
      </c>
      <c r="AB344">
        <f t="shared" si="192"/>
        <v>0.25</v>
      </c>
    </row>
    <row r="345" spans="1:28">
      <c r="D345" s="40"/>
      <c r="E345" s="369"/>
      <c r="F345" s="370"/>
      <c r="H345" s="46">
        <f>H344*$H343</f>
        <v>0</v>
      </c>
      <c r="I345" s="46">
        <f t="shared" ref="I345:K345" si="193">I344*$H343</f>
        <v>0</v>
      </c>
      <c r="J345" s="46">
        <f t="shared" si="193"/>
        <v>0</v>
      </c>
      <c r="K345" s="46">
        <f t="shared" si="193"/>
        <v>0</v>
      </c>
      <c r="L345" s="46">
        <f t="shared" ref="L345:AB345" si="194">L344*$H343</f>
        <v>0</v>
      </c>
      <c r="M345" s="46">
        <f t="shared" si="194"/>
        <v>0</v>
      </c>
      <c r="N345" s="46">
        <f t="shared" si="194"/>
        <v>0</v>
      </c>
      <c r="O345" s="46">
        <f t="shared" si="194"/>
        <v>0</v>
      </c>
      <c r="P345" s="46">
        <f t="shared" si="194"/>
        <v>0</v>
      </c>
      <c r="Q345" s="46">
        <f t="shared" si="194"/>
        <v>0</v>
      </c>
      <c r="R345" s="46">
        <f t="shared" si="194"/>
        <v>0</v>
      </c>
      <c r="S345" s="46">
        <f t="shared" si="194"/>
        <v>0</v>
      </c>
      <c r="T345" s="46">
        <f t="shared" si="194"/>
        <v>0</v>
      </c>
      <c r="U345" s="46">
        <f t="shared" si="194"/>
        <v>0</v>
      </c>
      <c r="V345" s="46">
        <f t="shared" si="194"/>
        <v>0</v>
      </c>
      <c r="W345" s="46">
        <f t="shared" si="194"/>
        <v>0</v>
      </c>
      <c r="X345" s="46">
        <f t="shared" si="194"/>
        <v>0</v>
      </c>
      <c r="Y345" s="46">
        <f t="shared" si="194"/>
        <v>0</v>
      </c>
      <c r="Z345" s="46">
        <f t="shared" si="194"/>
        <v>0</v>
      </c>
      <c r="AA345" s="46">
        <f t="shared" si="194"/>
        <v>0</v>
      </c>
      <c r="AB345" s="46">
        <f t="shared" si="194"/>
        <v>0</v>
      </c>
    </row>
    <row r="346" spans="1:28">
      <c r="D346" s="40"/>
      <c r="E346" s="369"/>
      <c r="F346" s="370"/>
      <c r="H346" s="46">
        <f>H343-H345</f>
        <v>0</v>
      </c>
      <c r="I346" s="46">
        <f t="shared" ref="I346:K346" si="195">I343-I345</f>
        <v>0</v>
      </c>
      <c r="J346" s="46">
        <f t="shared" si="195"/>
        <v>0</v>
      </c>
      <c r="K346" s="46">
        <f t="shared" si="195"/>
        <v>0</v>
      </c>
      <c r="L346" s="46">
        <f t="shared" ref="L346:AB346" si="196">L343-L345</f>
        <v>0</v>
      </c>
      <c r="M346" s="46">
        <f t="shared" si="196"/>
        <v>0</v>
      </c>
      <c r="N346" s="46">
        <f t="shared" si="196"/>
        <v>0</v>
      </c>
      <c r="O346" s="46">
        <f t="shared" si="196"/>
        <v>0</v>
      </c>
      <c r="P346" s="46">
        <f t="shared" si="196"/>
        <v>0</v>
      </c>
      <c r="Q346" s="46">
        <f t="shared" si="196"/>
        <v>0</v>
      </c>
      <c r="R346" s="46">
        <f t="shared" si="196"/>
        <v>0</v>
      </c>
      <c r="S346" s="46">
        <f t="shared" si="196"/>
        <v>0</v>
      </c>
      <c r="T346" s="46">
        <f t="shared" si="196"/>
        <v>0</v>
      </c>
      <c r="U346" s="46">
        <f t="shared" si="196"/>
        <v>0</v>
      </c>
      <c r="V346" s="46">
        <f t="shared" si="196"/>
        <v>0</v>
      </c>
      <c r="W346" s="46">
        <f t="shared" si="196"/>
        <v>0</v>
      </c>
      <c r="X346" s="46">
        <f t="shared" si="196"/>
        <v>0</v>
      </c>
      <c r="Y346" s="46">
        <f t="shared" si="196"/>
        <v>0</v>
      </c>
      <c r="Z346" s="46">
        <f t="shared" si="196"/>
        <v>0</v>
      </c>
      <c r="AA346" s="46">
        <f t="shared" si="196"/>
        <v>0</v>
      </c>
      <c r="AB346" s="46">
        <f t="shared" si="196"/>
        <v>0</v>
      </c>
    </row>
    <row r="347" spans="1:28">
      <c r="D347" s="40"/>
      <c r="E347" s="369"/>
      <c r="F347" s="370"/>
    </row>
    <row r="350" spans="1:28">
      <c r="H350" s="29"/>
    </row>
  </sheetData>
  <phoneticPr fontId="7" type="noConversion"/>
  <dataValidations disablePrompts="1" count="3">
    <dataValidation type="list" allowBlank="1" showInputMessage="1" showErrorMessage="1" sqref="F43 F56 F180 F164 F148" xr:uid="{00000000-0002-0000-0800-000000000000}">
      <formula1>$A$43:$A$44</formula1>
    </dataValidation>
    <dataValidation type="list" allowBlank="1" showInputMessage="1" showErrorMessage="1" sqref="F331" xr:uid="{00000000-0002-0000-0800-000001000000}">
      <formula1>$A$331:$A$333</formula1>
    </dataValidation>
    <dataValidation type="list" allowBlank="1" showInputMessage="1" showErrorMessage="1" sqref="D128" xr:uid="{00000000-0002-0000-0800-000002000000}">
      <formula1>"S,N"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2:AB141"/>
  <sheetViews>
    <sheetView showGridLines="0" zoomScale="85" workbookViewId="0">
      <pane xSplit="7" ySplit="7" topLeftCell="H15" activePane="bottomRight" state="frozen"/>
      <selection activeCell="H55" sqref="H55"/>
      <selection pane="topRight" activeCell="H55" sqref="H55"/>
      <selection pane="bottomLeft" activeCell="H55" sqref="H55"/>
      <selection pane="bottomRight" activeCell="I105" sqref="I105"/>
    </sheetView>
  </sheetViews>
  <sheetFormatPr defaultRowHeight="13.2" outlineLevelRow="1" outlineLevelCol="1"/>
  <cols>
    <col min="1" max="1" width="4.5546875" customWidth="1"/>
    <col min="2" max="2" width="31.5546875" bestFit="1" customWidth="1"/>
    <col min="3" max="3" width="9.88671875" bestFit="1" customWidth="1"/>
    <col min="4" max="5" width="10.109375" hidden="1" customWidth="1" outlineLevel="1"/>
    <col min="6" max="6" width="10.109375" customWidth="1" outlineLevel="1"/>
    <col min="7" max="13" width="10.109375" customWidth="1"/>
    <col min="14" max="28" width="10.109375" customWidth="1" outlineLevel="1"/>
  </cols>
  <sheetData>
    <row r="2" spans="1:28">
      <c r="A2" s="92">
        <v>1</v>
      </c>
      <c r="B2" s="93" t="str">
        <f>'Revenues, COGS &amp; SG&amp;A'!B2</f>
        <v>Base Case</v>
      </c>
      <c r="C2" s="94" t="s">
        <v>123</v>
      </c>
    </row>
    <row r="3" spans="1:28">
      <c r="A3" s="92">
        <v>2</v>
      </c>
      <c r="B3" s="93" t="str">
        <f>'Revenues, COGS &amp; SG&amp;A'!B3</f>
        <v>Client Case</v>
      </c>
      <c r="C3" s="96">
        <f>Output!G2</f>
        <v>1</v>
      </c>
      <c r="H3" s="29">
        <f ca="1">'Balance Sheet'!J83</f>
        <v>0</v>
      </c>
      <c r="I3" s="29">
        <f ca="1">'Balance Sheet'!K83</f>
        <v>0</v>
      </c>
      <c r="J3" s="29">
        <f ca="1">'Balance Sheet'!L83</f>
        <v>0</v>
      </c>
      <c r="K3" s="29">
        <f ca="1">'Balance Sheet'!M83</f>
        <v>0</v>
      </c>
      <c r="L3" s="29">
        <f ca="1">'Balance Sheet'!N83</f>
        <v>0</v>
      </c>
      <c r="M3" s="29">
        <f ca="1">'Balance Sheet'!O83</f>
        <v>0</v>
      </c>
      <c r="N3" s="29">
        <f ca="1">'Balance Sheet'!P83</f>
        <v>0</v>
      </c>
      <c r="O3" s="29">
        <f ca="1">'Balance Sheet'!Q83</f>
        <v>0</v>
      </c>
    </row>
    <row r="4" spans="1:28">
      <c r="A4" s="92">
        <v>3</v>
      </c>
      <c r="B4" s="93" t="str">
        <f>'Revenues, COGS &amp; SG&amp;A'!B4</f>
        <v>Stress Case</v>
      </c>
    </row>
    <row r="6" spans="1:28">
      <c r="H6">
        <v>1</v>
      </c>
      <c r="I6">
        <v>2</v>
      </c>
      <c r="J6">
        <v>3</v>
      </c>
      <c r="K6">
        <v>4</v>
      </c>
      <c r="L6">
        <v>5</v>
      </c>
      <c r="M6">
        <v>6</v>
      </c>
      <c r="N6">
        <v>7</v>
      </c>
      <c r="O6">
        <v>8</v>
      </c>
      <c r="P6">
        <v>9</v>
      </c>
      <c r="Q6">
        <v>10</v>
      </c>
      <c r="R6">
        <v>11</v>
      </c>
      <c r="S6">
        <v>12</v>
      </c>
      <c r="T6">
        <v>13</v>
      </c>
      <c r="U6">
        <v>14</v>
      </c>
      <c r="V6">
        <v>15</v>
      </c>
      <c r="W6">
        <v>16</v>
      </c>
      <c r="X6">
        <v>17</v>
      </c>
      <c r="Y6">
        <v>18</v>
      </c>
      <c r="Z6">
        <v>19</v>
      </c>
      <c r="AA6">
        <v>20</v>
      </c>
      <c r="AB6">
        <v>21</v>
      </c>
    </row>
    <row r="7" spans="1:28" ht="16.2" thickBot="1">
      <c r="B7" s="17" t="s">
        <v>6</v>
      </c>
      <c r="C7" s="12"/>
      <c r="D7" s="1">
        <f>'Revenues, COGS &amp; SG&amp;A'!E7</f>
        <v>39813</v>
      </c>
      <c r="E7" s="1">
        <f>'Revenues, COGS &amp; SG&amp;A'!F7</f>
        <v>40178</v>
      </c>
      <c r="F7" s="1">
        <f>'Revenues, COGS &amp; SG&amp;A'!G7</f>
        <v>40543</v>
      </c>
      <c r="G7" s="1">
        <f>+'Revenues, COGS &amp; SG&amp;A'!C5</f>
        <v>40908</v>
      </c>
      <c r="H7" s="1">
        <f>'Revenues, COGS &amp; SG&amp;A'!I7</f>
        <v>41274</v>
      </c>
      <c r="I7" s="1">
        <f>'Revenues, COGS &amp; SG&amp;A'!J7</f>
        <v>41639</v>
      </c>
      <c r="J7" s="1">
        <f>'Revenues, COGS &amp; SG&amp;A'!K7</f>
        <v>42004</v>
      </c>
      <c r="K7" s="1">
        <f>'Revenues, COGS &amp; SG&amp;A'!L7</f>
        <v>42369</v>
      </c>
      <c r="L7" s="1">
        <f>'Revenues, COGS &amp; SG&amp;A'!M7</f>
        <v>42735</v>
      </c>
      <c r="M7" s="1">
        <f>'Revenues, COGS &amp; SG&amp;A'!N7</f>
        <v>43100</v>
      </c>
      <c r="N7" s="1">
        <f>'Revenues, COGS &amp; SG&amp;A'!O7</f>
        <v>43465</v>
      </c>
      <c r="O7" s="1">
        <f>'Revenues, COGS &amp; SG&amp;A'!P7</f>
        <v>43830</v>
      </c>
      <c r="P7" s="1">
        <f>'Revenues, COGS &amp; SG&amp;A'!Q7</f>
        <v>44196</v>
      </c>
      <c r="Q7" s="1">
        <f>'Revenues, COGS &amp; SG&amp;A'!R7</f>
        <v>44561</v>
      </c>
      <c r="R7" s="1">
        <f>'Revenues, COGS &amp; SG&amp;A'!S7</f>
        <v>44926</v>
      </c>
      <c r="S7" s="1">
        <f>'Revenues, COGS &amp; SG&amp;A'!T7</f>
        <v>45291</v>
      </c>
      <c r="T7" s="1">
        <f>'Revenues, COGS &amp; SG&amp;A'!U7</f>
        <v>45657</v>
      </c>
      <c r="U7" s="1">
        <f>'Revenues, COGS &amp; SG&amp;A'!V7</f>
        <v>46022</v>
      </c>
      <c r="V7" s="1">
        <f>'Revenues, COGS &amp; SG&amp;A'!W7</f>
        <v>46387</v>
      </c>
      <c r="W7" s="1">
        <f>'Revenues, COGS &amp; SG&amp;A'!X7</f>
        <v>46752</v>
      </c>
      <c r="X7" s="1">
        <f>'Revenues, COGS &amp; SG&amp;A'!Y7</f>
        <v>47118</v>
      </c>
      <c r="Y7" s="1">
        <f>'Revenues, COGS &amp; SG&amp;A'!Z7</f>
        <v>47483</v>
      </c>
      <c r="Z7" s="1">
        <f>'Revenues, COGS &amp; SG&amp;A'!AA7</f>
        <v>47848</v>
      </c>
      <c r="AA7" s="1">
        <f>'Revenues, COGS &amp; SG&amp;A'!AB7</f>
        <v>48213</v>
      </c>
      <c r="AB7" s="1">
        <f>'Revenues, COGS &amp; SG&amp;A'!AC7</f>
        <v>48579</v>
      </c>
    </row>
    <row r="8" spans="1:28" ht="13.8" thickTop="1">
      <c r="B8" s="41" t="s">
        <v>70</v>
      </c>
    </row>
    <row r="9" spans="1:28">
      <c r="F9" s="23"/>
      <c r="G9" s="24"/>
    </row>
    <row r="10" spans="1:28" outlineLevel="1">
      <c r="B10" s="28" t="s">
        <v>172</v>
      </c>
      <c r="C10" s="26"/>
      <c r="D10" s="26"/>
      <c r="E10" s="26"/>
      <c r="F10" s="26"/>
      <c r="G10" s="26"/>
      <c r="H10" s="340">
        <f ca="1">SUM(H12:H22)</f>
        <v>419066</v>
      </c>
      <c r="I10" s="340">
        <f t="shared" ref="I10:AB10" ca="1" si="0">SUM(I12:I22)</f>
        <v>526929.74285714282</v>
      </c>
      <c r="J10" s="340">
        <f t="shared" ca="1" si="0"/>
        <v>590202.59183673467</v>
      </c>
      <c r="K10" s="340">
        <f t="shared" ca="1" si="0"/>
        <v>662514.41924198251</v>
      </c>
      <c r="L10" s="340">
        <f t="shared" ca="1" si="0"/>
        <v>745156.50770512293</v>
      </c>
      <c r="M10" s="340">
        <f t="shared" ca="1" si="0"/>
        <v>839604.6088058548</v>
      </c>
      <c r="N10" s="340">
        <f t="shared" ca="1" si="0"/>
        <v>947545.2957781197</v>
      </c>
      <c r="O10" s="340">
        <f t="shared" ca="1" si="0"/>
        <v>1070906.0808892797</v>
      </c>
      <c r="P10" s="340">
        <f t="shared" ca="1" si="0"/>
        <v>1192032.6924448912</v>
      </c>
      <c r="Q10" s="340">
        <f t="shared" ca="1" si="0"/>
        <v>1315053.9995288553</v>
      </c>
      <c r="R10" s="340">
        <f t="shared" ca="1" si="0"/>
        <v>1446610.8006277296</v>
      </c>
      <c r="S10" s="340">
        <f t="shared" ca="1" si="0"/>
        <v>1586631.169397122</v>
      </c>
      <c r="T10" s="340">
        <f t="shared" ca="1" si="0"/>
        <v>1706841.8353531219</v>
      </c>
      <c r="U10" s="340">
        <f t="shared" ca="1" si="0"/>
        <v>1830732.8677170172</v>
      </c>
      <c r="V10" s="340">
        <f t="shared" ca="1" si="0"/>
        <v>1956902.5208511453</v>
      </c>
      <c r="W10" s="340">
        <f t="shared" ca="1" si="0"/>
        <v>2083473.4408456974</v>
      </c>
      <c r="X10" s="340">
        <f t="shared" ca="1" si="0"/>
        <v>2210822.1191886696</v>
      </c>
      <c r="Y10" s="340">
        <f t="shared" ca="1" si="0"/>
        <v>2338788.993425786</v>
      </c>
      <c r="Z10" s="340">
        <f t="shared" ca="1" si="0"/>
        <v>2466243.0209683655</v>
      </c>
      <c r="AA10" s="340">
        <f t="shared" ca="1" si="0"/>
        <v>2591901.8569071144</v>
      </c>
      <c r="AB10" s="340">
        <f t="shared" ca="1" si="0"/>
        <v>2718339.0028433991</v>
      </c>
    </row>
    <row r="11" spans="1:28" outlineLevel="1">
      <c r="B11" s="2"/>
      <c r="AB11" s="37"/>
    </row>
    <row r="12" spans="1:28" outlineLevel="1">
      <c r="B12" s="345" t="s">
        <v>444</v>
      </c>
      <c r="D12" s="137"/>
      <c r="E12" s="137"/>
      <c r="F12" s="137"/>
      <c r="G12" s="144">
        <f>'Balance Sheet'!I37+'Balance Sheet'!I38</f>
        <v>280066</v>
      </c>
      <c r="H12" s="37">
        <f>G12+H37</f>
        <v>419066</v>
      </c>
      <c r="I12" s="37">
        <f t="shared" ref="I12:AB12" ca="1" si="1">H12+I37</f>
        <v>526929.74285714282</v>
      </c>
      <c r="J12" s="37">
        <f t="shared" ca="1" si="1"/>
        <v>590202.59183673467</v>
      </c>
      <c r="K12" s="37">
        <f t="shared" ca="1" si="1"/>
        <v>662514.41924198251</v>
      </c>
      <c r="L12" s="37">
        <f t="shared" ca="1" si="1"/>
        <v>745156.50770512293</v>
      </c>
      <c r="M12" s="37">
        <f t="shared" ca="1" si="1"/>
        <v>839604.6088058548</v>
      </c>
      <c r="N12" s="37">
        <f t="shared" ca="1" si="1"/>
        <v>947545.2957781197</v>
      </c>
      <c r="O12" s="37">
        <f t="shared" ca="1" si="1"/>
        <v>1070906.0808892797</v>
      </c>
      <c r="P12" s="37">
        <f t="shared" ca="1" si="1"/>
        <v>1192032.6924448912</v>
      </c>
      <c r="Q12" s="37">
        <f t="shared" ca="1" si="1"/>
        <v>1315053.9995288553</v>
      </c>
      <c r="R12" s="37">
        <f t="shared" ca="1" si="1"/>
        <v>1446610.8006277296</v>
      </c>
      <c r="S12" s="37">
        <f t="shared" ca="1" si="1"/>
        <v>1586631.169397122</v>
      </c>
      <c r="T12" s="37">
        <f t="shared" ca="1" si="1"/>
        <v>1706841.8353531219</v>
      </c>
      <c r="U12" s="37">
        <f t="shared" ca="1" si="1"/>
        <v>1830732.8677170172</v>
      </c>
      <c r="V12" s="37">
        <f t="shared" ca="1" si="1"/>
        <v>1956902.5208511453</v>
      </c>
      <c r="W12" s="37">
        <f t="shared" ca="1" si="1"/>
        <v>2083473.4408456974</v>
      </c>
      <c r="X12" s="37">
        <f t="shared" ca="1" si="1"/>
        <v>2210822.1191886696</v>
      </c>
      <c r="Y12" s="37">
        <f t="shared" ca="1" si="1"/>
        <v>2338788.993425786</v>
      </c>
      <c r="Z12" s="37">
        <f t="shared" ca="1" si="1"/>
        <v>2466243.0209683655</v>
      </c>
      <c r="AA12" s="37">
        <f t="shared" ca="1" si="1"/>
        <v>2591901.8569071144</v>
      </c>
      <c r="AB12" s="37">
        <f t="shared" ca="1" si="1"/>
        <v>2718339.0028433991</v>
      </c>
    </row>
    <row r="13" spans="1:28" outlineLevel="1">
      <c r="B13" s="345" t="s">
        <v>445</v>
      </c>
      <c r="D13" s="137"/>
      <c r="E13" s="137"/>
      <c r="F13" s="137"/>
      <c r="G13" s="144"/>
      <c r="H13" s="37">
        <f t="shared" ref="H13:AB13" ca="1" si="2">G13+H38-H80</f>
        <v>0</v>
      </c>
      <c r="I13" s="37">
        <f t="shared" ca="1" si="2"/>
        <v>0</v>
      </c>
      <c r="J13" s="37">
        <f t="shared" ca="1" si="2"/>
        <v>0</v>
      </c>
      <c r="K13" s="37">
        <f t="shared" ca="1" si="2"/>
        <v>0</v>
      </c>
      <c r="L13" s="37">
        <f t="shared" ca="1" si="2"/>
        <v>0</v>
      </c>
      <c r="M13" s="37">
        <f t="shared" ca="1" si="2"/>
        <v>0</v>
      </c>
      <c r="N13" s="37">
        <f t="shared" ca="1" si="2"/>
        <v>0</v>
      </c>
      <c r="O13" s="37">
        <f t="shared" ca="1" si="2"/>
        <v>0</v>
      </c>
      <c r="P13" s="37">
        <f t="shared" ca="1" si="2"/>
        <v>0</v>
      </c>
      <c r="Q13" s="37">
        <f t="shared" ca="1" si="2"/>
        <v>0</v>
      </c>
      <c r="R13" s="37">
        <f t="shared" ca="1" si="2"/>
        <v>0</v>
      </c>
      <c r="S13" s="37">
        <f t="shared" ca="1" si="2"/>
        <v>0</v>
      </c>
      <c r="T13" s="37">
        <f t="shared" ca="1" si="2"/>
        <v>0</v>
      </c>
      <c r="U13" s="37">
        <f t="shared" ca="1" si="2"/>
        <v>0</v>
      </c>
      <c r="V13" s="37">
        <f t="shared" ca="1" si="2"/>
        <v>0</v>
      </c>
      <c r="W13" s="37">
        <f t="shared" ca="1" si="2"/>
        <v>0</v>
      </c>
      <c r="X13" s="37">
        <f t="shared" ca="1" si="2"/>
        <v>0</v>
      </c>
      <c r="Y13" s="37">
        <f t="shared" ca="1" si="2"/>
        <v>0</v>
      </c>
      <c r="Z13" s="37">
        <f t="shared" ca="1" si="2"/>
        <v>0</v>
      </c>
      <c r="AA13" s="37">
        <f t="shared" ca="1" si="2"/>
        <v>0</v>
      </c>
      <c r="AB13" s="37">
        <f t="shared" ca="1" si="2"/>
        <v>0</v>
      </c>
    </row>
    <row r="14" spans="1:28" outlineLevel="1">
      <c r="B14" s="345" t="s">
        <v>446</v>
      </c>
      <c r="D14" s="137"/>
      <c r="E14" s="137"/>
      <c r="F14" s="137"/>
      <c r="G14" s="144"/>
      <c r="H14" s="37">
        <f t="shared" ref="H14:AB14" ca="1" si="3">G14+H39-H81</f>
        <v>0</v>
      </c>
      <c r="I14" s="37">
        <f t="shared" ca="1" si="3"/>
        <v>0</v>
      </c>
      <c r="J14" s="37">
        <f t="shared" ca="1" si="3"/>
        <v>0</v>
      </c>
      <c r="K14" s="37">
        <f t="shared" ca="1" si="3"/>
        <v>0</v>
      </c>
      <c r="L14" s="37">
        <f t="shared" ca="1" si="3"/>
        <v>0</v>
      </c>
      <c r="M14" s="37">
        <f t="shared" ca="1" si="3"/>
        <v>0</v>
      </c>
      <c r="N14" s="37">
        <f t="shared" ca="1" si="3"/>
        <v>0</v>
      </c>
      <c r="O14" s="37">
        <f t="shared" ca="1" si="3"/>
        <v>0</v>
      </c>
      <c r="P14" s="37">
        <f t="shared" ca="1" si="3"/>
        <v>0</v>
      </c>
      <c r="Q14" s="37">
        <f t="shared" ca="1" si="3"/>
        <v>0</v>
      </c>
      <c r="R14" s="37">
        <f t="shared" ca="1" si="3"/>
        <v>0</v>
      </c>
      <c r="S14" s="37">
        <f t="shared" ca="1" si="3"/>
        <v>0</v>
      </c>
      <c r="T14" s="37">
        <f t="shared" ca="1" si="3"/>
        <v>0</v>
      </c>
      <c r="U14" s="37">
        <f t="shared" ca="1" si="3"/>
        <v>0</v>
      </c>
      <c r="V14" s="37">
        <f t="shared" ca="1" si="3"/>
        <v>0</v>
      </c>
      <c r="W14" s="9">
        <f t="shared" ca="1" si="3"/>
        <v>0</v>
      </c>
      <c r="X14" s="37">
        <f t="shared" ca="1" si="3"/>
        <v>0</v>
      </c>
      <c r="Y14" s="37">
        <f t="shared" ca="1" si="3"/>
        <v>0</v>
      </c>
      <c r="Z14" s="37">
        <f t="shared" ca="1" si="3"/>
        <v>0</v>
      </c>
      <c r="AA14" s="37">
        <f t="shared" ca="1" si="3"/>
        <v>0</v>
      </c>
      <c r="AB14" s="37">
        <f t="shared" ca="1" si="3"/>
        <v>0</v>
      </c>
    </row>
    <row r="15" spans="1:28" outlineLevel="1">
      <c r="B15" s="345" t="s">
        <v>447</v>
      </c>
      <c r="D15" s="137"/>
      <c r="E15" s="137"/>
      <c r="F15" s="137"/>
      <c r="G15" s="144"/>
      <c r="H15" s="37">
        <f t="shared" ref="H15:AB15" ca="1" si="4">G15+H40-H82</f>
        <v>0</v>
      </c>
      <c r="I15" s="37">
        <f t="shared" ca="1" si="4"/>
        <v>0</v>
      </c>
      <c r="J15" s="37">
        <f t="shared" ca="1" si="4"/>
        <v>0</v>
      </c>
      <c r="K15" s="37">
        <f t="shared" ca="1" si="4"/>
        <v>0</v>
      </c>
      <c r="L15" s="37">
        <f t="shared" ca="1" si="4"/>
        <v>0</v>
      </c>
      <c r="M15" s="37">
        <f t="shared" ca="1" si="4"/>
        <v>0</v>
      </c>
      <c r="N15" s="37">
        <f t="shared" ca="1" si="4"/>
        <v>0</v>
      </c>
      <c r="O15" s="37">
        <f t="shared" ca="1" si="4"/>
        <v>0</v>
      </c>
      <c r="P15" s="37">
        <f t="shared" ca="1" si="4"/>
        <v>0</v>
      </c>
      <c r="Q15" s="37">
        <f t="shared" ca="1" si="4"/>
        <v>0</v>
      </c>
      <c r="R15" s="37">
        <f t="shared" ca="1" si="4"/>
        <v>0</v>
      </c>
      <c r="S15" s="37">
        <f t="shared" ca="1" si="4"/>
        <v>0</v>
      </c>
      <c r="T15" s="37">
        <f t="shared" ca="1" si="4"/>
        <v>0</v>
      </c>
      <c r="U15" s="37">
        <f t="shared" ca="1" si="4"/>
        <v>0</v>
      </c>
      <c r="V15" s="37">
        <f t="shared" ca="1" si="4"/>
        <v>0</v>
      </c>
      <c r="W15" s="37">
        <f t="shared" ca="1" si="4"/>
        <v>0</v>
      </c>
      <c r="X15" s="37">
        <f t="shared" ca="1" si="4"/>
        <v>0</v>
      </c>
      <c r="Y15" s="37">
        <f t="shared" ca="1" si="4"/>
        <v>0</v>
      </c>
      <c r="Z15" s="37">
        <f t="shared" ca="1" si="4"/>
        <v>0</v>
      </c>
      <c r="AA15" s="37">
        <f t="shared" ca="1" si="4"/>
        <v>0</v>
      </c>
      <c r="AB15" s="37">
        <f t="shared" ca="1" si="4"/>
        <v>0</v>
      </c>
    </row>
    <row r="16" spans="1:28" outlineLevel="1">
      <c r="B16" s="345" t="s">
        <v>251</v>
      </c>
      <c r="D16" s="137"/>
      <c r="E16" s="137"/>
      <c r="F16" s="137"/>
      <c r="G16" s="144"/>
      <c r="H16" s="37">
        <f t="shared" ref="H16:AB16" ca="1" si="5">G16+H41-H83</f>
        <v>0</v>
      </c>
      <c r="I16" s="37">
        <f t="shared" ca="1" si="5"/>
        <v>0</v>
      </c>
      <c r="J16" s="37">
        <f t="shared" ca="1" si="5"/>
        <v>0</v>
      </c>
      <c r="K16" s="37">
        <f t="shared" ca="1" si="5"/>
        <v>0</v>
      </c>
      <c r="L16" s="37">
        <f t="shared" ca="1" si="5"/>
        <v>0</v>
      </c>
      <c r="M16" s="37">
        <f t="shared" ca="1" si="5"/>
        <v>0</v>
      </c>
      <c r="N16" s="37">
        <f t="shared" ca="1" si="5"/>
        <v>0</v>
      </c>
      <c r="O16" s="37">
        <f t="shared" ca="1" si="5"/>
        <v>0</v>
      </c>
      <c r="P16" s="37">
        <f t="shared" ca="1" si="5"/>
        <v>0</v>
      </c>
      <c r="Q16" s="37">
        <f t="shared" ca="1" si="5"/>
        <v>0</v>
      </c>
      <c r="R16" s="37">
        <f t="shared" ca="1" si="5"/>
        <v>0</v>
      </c>
      <c r="S16" s="37">
        <f t="shared" ca="1" si="5"/>
        <v>0</v>
      </c>
      <c r="T16" s="37">
        <f t="shared" ca="1" si="5"/>
        <v>0</v>
      </c>
      <c r="U16" s="37">
        <f t="shared" ca="1" si="5"/>
        <v>0</v>
      </c>
      <c r="V16" s="37">
        <f t="shared" ca="1" si="5"/>
        <v>0</v>
      </c>
      <c r="W16" s="37">
        <f t="shared" ca="1" si="5"/>
        <v>0</v>
      </c>
      <c r="X16" s="37">
        <f t="shared" ca="1" si="5"/>
        <v>0</v>
      </c>
      <c r="Y16" s="37">
        <f t="shared" ca="1" si="5"/>
        <v>0</v>
      </c>
      <c r="Z16" s="37">
        <f t="shared" ca="1" si="5"/>
        <v>0</v>
      </c>
      <c r="AA16" s="37">
        <f t="shared" ca="1" si="5"/>
        <v>0</v>
      </c>
      <c r="AB16" s="37">
        <f t="shared" ca="1" si="5"/>
        <v>0</v>
      </c>
    </row>
    <row r="17" spans="2:28" outlineLevel="1">
      <c r="B17" s="18" t="s">
        <v>357</v>
      </c>
      <c r="D17" s="137"/>
      <c r="E17" s="137"/>
      <c r="F17" s="137"/>
      <c r="G17" s="144"/>
      <c r="H17" s="37">
        <f t="shared" ref="H17:AB17" ca="1" si="6">G17+H42-H84</f>
        <v>0</v>
      </c>
      <c r="I17" s="37">
        <f t="shared" ca="1" si="6"/>
        <v>0</v>
      </c>
      <c r="J17" s="37">
        <f t="shared" ca="1" si="6"/>
        <v>0</v>
      </c>
      <c r="K17" s="37">
        <f t="shared" ca="1" si="6"/>
        <v>0</v>
      </c>
      <c r="L17" s="37">
        <f t="shared" ca="1" si="6"/>
        <v>0</v>
      </c>
      <c r="M17" s="37">
        <f t="shared" ca="1" si="6"/>
        <v>0</v>
      </c>
      <c r="N17" s="37">
        <f t="shared" ca="1" si="6"/>
        <v>0</v>
      </c>
      <c r="O17" s="37">
        <f t="shared" ca="1" si="6"/>
        <v>0</v>
      </c>
      <c r="P17" s="37">
        <f t="shared" ca="1" si="6"/>
        <v>0</v>
      </c>
      <c r="Q17" s="37">
        <f t="shared" ca="1" si="6"/>
        <v>0</v>
      </c>
      <c r="R17" s="37">
        <f t="shared" ca="1" si="6"/>
        <v>0</v>
      </c>
      <c r="S17" s="37">
        <f t="shared" ca="1" si="6"/>
        <v>0</v>
      </c>
      <c r="T17" s="37">
        <f t="shared" ca="1" si="6"/>
        <v>0</v>
      </c>
      <c r="U17" s="37">
        <f t="shared" ca="1" si="6"/>
        <v>0</v>
      </c>
      <c r="V17" s="37">
        <f t="shared" ca="1" si="6"/>
        <v>0</v>
      </c>
      <c r="W17" s="37">
        <f t="shared" ca="1" si="6"/>
        <v>0</v>
      </c>
      <c r="X17" s="37">
        <f t="shared" ca="1" si="6"/>
        <v>0</v>
      </c>
      <c r="Y17" s="37">
        <f t="shared" ca="1" si="6"/>
        <v>0</v>
      </c>
      <c r="Z17" s="37">
        <f t="shared" ca="1" si="6"/>
        <v>0</v>
      </c>
      <c r="AA17" s="37">
        <f t="shared" ca="1" si="6"/>
        <v>0</v>
      </c>
      <c r="AB17" s="37">
        <f t="shared" ca="1" si="6"/>
        <v>0</v>
      </c>
    </row>
    <row r="18" spans="2:28" outlineLevel="1">
      <c r="B18" s="18" t="s">
        <v>358</v>
      </c>
      <c r="D18" s="137"/>
      <c r="E18" s="137"/>
      <c r="F18" s="137"/>
      <c r="G18" s="144"/>
      <c r="H18" s="37">
        <f t="shared" ref="H18:AB19" ca="1" si="7">G18+H43-H85</f>
        <v>0</v>
      </c>
      <c r="I18" s="37">
        <f t="shared" ca="1" si="7"/>
        <v>0</v>
      </c>
      <c r="J18" s="37">
        <f t="shared" ca="1" si="7"/>
        <v>0</v>
      </c>
      <c r="K18" s="37">
        <f t="shared" ca="1" si="7"/>
        <v>0</v>
      </c>
      <c r="L18" s="37">
        <f t="shared" ca="1" si="7"/>
        <v>0</v>
      </c>
      <c r="M18" s="37">
        <f t="shared" ca="1" si="7"/>
        <v>0</v>
      </c>
      <c r="N18" s="37">
        <f t="shared" ca="1" si="7"/>
        <v>0</v>
      </c>
      <c r="O18" s="37">
        <f t="shared" ca="1" si="7"/>
        <v>0</v>
      </c>
      <c r="P18" s="37">
        <f t="shared" ca="1" si="7"/>
        <v>0</v>
      </c>
      <c r="Q18" s="37">
        <f t="shared" ca="1" si="7"/>
        <v>0</v>
      </c>
      <c r="R18" s="37">
        <f t="shared" ca="1" si="7"/>
        <v>0</v>
      </c>
      <c r="S18" s="37">
        <f t="shared" ca="1" si="7"/>
        <v>0</v>
      </c>
      <c r="T18" s="37">
        <f t="shared" ca="1" si="7"/>
        <v>0</v>
      </c>
      <c r="U18" s="37">
        <f t="shared" ca="1" si="7"/>
        <v>0</v>
      </c>
      <c r="V18" s="37">
        <f t="shared" ca="1" si="7"/>
        <v>0</v>
      </c>
      <c r="W18" s="37">
        <f t="shared" ca="1" si="7"/>
        <v>0</v>
      </c>
      <c r="X18" s="37">
        <f t="shared" ca="1" si="7"/>
        <v>0</v>
      </c>
      <c r="Y18" s="37">
        <f t="shared" ca="1" si="7"/>
        <v>0</v>
      </c>
      <c r="Z18" s="37">
        <f t="shared" ca="1" si="7"/>
        <v>0</v>
      </c>
      <c r="AA18" s="37">
        <f t="shared" ca="1" si="7"/>
        <v>0</v>
      </c>
      <c r="AB18" s="37">
        <f t="shared" ca="1" si="7"/>
        <v>0</v>
      </c>
    </row>
    <row r="19" spans="2:28" outlineLevel="1">
      <c r="B19" s="18" t="s">
        <v>359</v>
      </c>
      <c r="D19" s="137"/>
      <c r="E19" s="137"/>
      <c r="F19" s="137"/>
      <c r="G19" s="144"/>
      <c r="H19" s="37">
        <f t="shared" ref="H19:AB19" ca="1" si="8">G19+H44-H86</f>
        <v>0</v>
      </c>
      <c r="I19" s="37">
        <f t="shared" ca="1" si="7"/>
        <v>0</v>
      </c>
      <c r="J19" s="37">
        <f t="shared" ca="1" si="7"/>
        <v>0</v>
      </c>
      <c r="K19" s="37">
        <f t="shared" ca="1" si="7"/>
        <v>0</v>
      </c>
      <c r="L19" s="37">
        <f t="shared" ca="1" si="7"/>
        <v>0</v>
      </c>
      <c r="M19" s="37">
        <f t="shared" ca="1" si="7"/>
        <v>0</v>
      </c>
      <c r="N19" s="37">
        <f t="shared" ca="1" si="7"/>
        <v>0</v>
      </c>
      <c r="O19" s="37">
        <f t="shared" ca="1" si="8"/>
        <v>0</v>
      </c>
      <c r="P19" s="37">
        <f t="shared" ca="1" si="8"/>
        <v>0</v>
      </c>
      <c r="Q19" s="37">
        <f t="shared" ca="1" si="8"/>
        <v>0</v>
      </c>
      <c r="R19" s="37">
        <f t="shared" ca="1" si="8"/>
        <v>0</v>
      </c>
      <c r="S19" s="37">
        <f t="shared" ca="1" si="8"/>
        <v>0</v>
      </c>
      <c r="T19" s="37">
        <f t="shared" ca="1" si="8"/>
        <v>0</v>
      </c>
      <c r="U19" s="37">
        <f t="shared" ca="1" si="8"/>
        <v>0</v>
      </c>
      <c r="V19" s="37">
        <f t="shared" ca="1" si="8"/>
        <v>0</v>
      </c>
      <c r="W19" s="37">
        <f t="shared" ca="1" si="8"/>
        <v>0</v>
      </c>
      <c r="X19" s="37">
        <f t="shared" ca="1" si="8"/>
        <v>0</v>
      </c>
      <c r="Y19" s="37">
        <f t="shared" ca="1" si="8"/>
        <v>0</v>
      </c>
      <c r="Z19" s="37">
        <f t="shared" ca="1" si="8"/>
        <v>0</v>
      </c>
      <c r="AA19" s="37">
        <f t="shared" ca="1" si="8"/>
        <v>0</v>
      </c>
      <c r="AB19" s="37">
        <f t="shared" ca="1" si="8"/>
        <v>0</v>
      </c>
    </row>
    <row r="20" spans="2:28" outlineLevel="1">
      <c r="B20" s="18" t="s">
        <v>360</v>
      </c>
      <c r="D20" s="137"/>
      <c r="E20" s="137"/>
      <c r="F20" s="492"/>
      <c r="G20" s="144"/>
      <c r="H20" s="37">
        <f t="shared" ref="H20:AB20" ca="1" si="9">G20+H45-H87</f>
        <v>0</v>
      </c>
      <c r="I20" s="37">
        <f t="shared" ca="1" si="9"/>
        <v>0</v>
      </c>
      <c r="J20" s="37">
        <f t="shared" ca="1" si="9"/>
        <v>0</v>
      </c>
      <c r="K20" s="37">
        <f t="shared" ca="1" si="9"/>
        <v>0</v>
      </c>
      <c r="L20" s="37">
        <f t="shared" ca="1" si="9"/>
        <v>0</v>
      </c>
      <c r="M20" s="37">
        <f t="shared" ca="1" si="9"/>
        <v>0</v>
      </c>
      <c r="N20" s="37">
        <f t="shared" ca="1" si="9"/>
        <v>0</v>
      </c>
      <c r="O20" s="37">
        <f t="shared" ca="1" si="9"/>
        <v>0</v>
      </c>
      <c r="P20" s="37">
        <f t="shared" ca="1" si="9"/>
        <v>0</v>
      </c>
      <c r="Q20" s="37">
        <f t="shared" ca="1" si="9"/>
        <v>0</v>
      </c>
      <c r="R20" s="37">
        <f t="shared" ca="1" si="9"/>
        <v>0</v>
      </c>
      <c r="S20" s="37">
        <f t="shared" ca="1" si="9"/>
        <v>0</v>
      </c>
      <c r="T20" s="37">
        <f t="shared" ca="1" si="9"/>
        <v>0</v>
      </c>
      <c r="U20" s="37">
        <f t="shared" ca="1" si="9"/>
        <v>0</v>
      </c>
      <c r="V20" s="37">
        <f t="shared" ca="1" si="9"/>
        <v>0</v>
      </c>
      <c r="W20" s="37">
        <f t="shared" ca="1" si="9"/>
        <v>0</v>
      </c>
      <c r="X20" s="37">
        <f t="shared" ca="1" si="9"/>
        <v>0</v>
      </c>
      <c r="Y20" s="37">
        <f t="shared" ca="1" si="9"/>
        <v>0</v>
      </c>
      <c r="Z20" s="37">
        <f t="shared" ca="1" si="9"/>
        <v>0</v>
      </c>
      <c r="AA20" s="37">
        <f t="shared" ca="1" si="9"/>
        <v>0</v>
      </c>
      <c r="AB20" s="37">
        <f t="shared" ca="1" si="9"/>
        <v>0</v>
      </c>
    </row>
    <row r="21" spans="2:28" outlineLevel="1">
      <c r="B21" s="18" t="s">
        <v>361</v>
      </c>
      <c r="D21" s="137"/>
      <c r="E21" s="137"/>
      <c r="F21" s="137"/>
      <c r="G21" s="144"/>
      <c r="H21" s="37">
        <f t="shared" ref="H21:AB21" ca="1" si="10">G21+H46-H88</f>
        <v>0</v>
      </c>
      <c r="I21" s="37">
        <f t="shared" ca="1" si="10"/>
        <v>0</v>
      </c>
      <c r="J21" s="37">
        <f t="shared" ca="1" si="10"/>
        <v>0</v>
      </c>
      <c r="K21" s="37">
        <f t="shared" ca="1" si="10"/>
        <v>0</v>
      </c>
      <c r="L21" s="37">
        <f t="shared" ca="1" si="10"/>
        <v>0</v>
      </c>
      <c r="M21" s="37">
        <f t="shared" ca="1" si="10"/>
        <v>0</v>
      </c>
      <c r="N21" s="37">
        <f t="shared" ca="1" si="10"/>
        <v>0</v>
      </c>
      <c r="O21" s="37">
        <f t="shared" ca="1" si="10"/>
        <v>0</v>
      </c>
      <c r="P21" s="37">
        <f t="shared" ca="1" si="10"/>
        <v>0</v>
      </c>
      <c r="Q21" s="37">
        <f t="shared" ca="1" si="10"/>
        <v>0</v>
      </c>
      <c r="R21" s="37">
        <f t="shared" ca="1" si="10"/>
        <v>0</v>
      </c>
      <c r="S21" s="37">
        <f t="shared" ca="1" si="10"/>
        <v>0</v>
      </c>
      <c r="T21" s="37">
        <f t="shared" ca="1" si="10"/>
        <v>0</v>
      </c>
      <c r="U21" s="37">
        <f t="shared" ca="1" si="10"/>
        <v>0</v>
      </c>
      <c r="V21" s="37">
        <f t="shared" ca="1" si="10"/>
        <v>0</v>
      </c>
      <c r="W21" s="37">
        <f t="shared" ca="1" si="10"/>
        <v>0</v>
      </c>
      <c r="X21" s="37">
        <f t="shared" ca="1" si="10"/>
        <v>0</v>
      </c>
      <c r="Y21" s="37">
        <f t="shared" ca="1" si="10"/>
        <v>0</v>
      </c>
      <c r="Z21" s="37">
        <f t="shared" ca="1" si="10"/>
        <v>0</v>
      </c>
      <c r="AA21" s="37">
        <f t="shared" ca="1" si="10"/>
        <v>0</v>
      </c>
      <c r="AB21" s="37">
        <f t="shared" ca="1" si="10"/>
        <v>0</v>
      </c>
    </row>
    <row r="22" spans="2:28" outlineLevel="1">
      <c r="B22" s="18" t="s">
        <v>362</v>
      </c>
      <c r="D22" s="137"/>
      <c r="E22" s="137"/>
      <c r="F22" s="137"/>
      <c r="G22" s="144"/>
      <c r="H22" s="37">
        <f t="shared" ref="H22:AB22" ca="1" si="11">G22+H47-H89</f>
        <v>0</v>
      </c>
      <c r="I22" s="37">
        <f t="shared" ca="1" si="11"/>
        <v>0</v>
      </c>
      <c r="J22" s="37">
        <f t="shared" ca="1" si="11"/>
        <v>0</v>
      </c>
      <c r="K22" s="37">
        <f t="shared" ca="1" si="11"/>
        <v>0</v>
      </c>
      <c r="L22" s="37">
        <f t="shared" ca="1" si="11"/>
        <v>0</v>
      </c>
      <c r="M22" s="37">
        <f t="shared" ca="1" si="11"/>
        <v>0</v>
      </c>
      <c r="N22" s="37">
        <f t="shared" ca="1" si="11"/>
        <v>0</v>
      </c>
      <c r="O22" s="37">
        <f t="shared" ca="1" si="11"/>
        <v>0</v>
      </c>
      <c r="P22" s="37">
        <f t="shared" ca="1" si="11"/>
        <v>0</v>
      </c>
      <c r="Q22" s="37">
        <f t="shared" ca="1" si="11"/>
        <v>0</v>
      </c>
      <c r="R22" s="37">
        <f t="shared" ca="1" si="11"/>
        <v>0</v>
      </c>
      <c r="S22" s="37">
        <f t="shared" ca="1" si="11"/>
        <v>0</v>
      </c>
      <c r="T22" s="37">
        <f t="shared" ca="1" si="11"/>
        <v>0</v>
      </c>
      <c r="U22" s="37">
        <f t="shared" ca="1" si="11"/>
        <v>0</v>
      </c>
      <c r="V22" s="37">
        <f t="shared" ca="1" si="11"/>
        <v>0</v>
      </c>
      <c r="W22" s="37">
        <f t="shared" ca="1" si="11"/>
        <v>0</v>
      </c>
      <c r="X22" s="37">
        <f t="shared" ca="1" si="11"/>
        <v>0</v>
      </c>
      <c r="Y22" s="37">
        <f t="shared" ca="1" si="11"/>
        <v>0</v>
      </c>
      <c r="Z22" s="37">
        <f t="shared" ca="1" si="11"/>
        <v>0</v>
      </c>
      <c r="AA22" s="37">
        <f t="shared" ca="1" si="11"/>
        <v>0</v>
      </c>
      <c r="AB22" s="37">
        <f t="shared" ca="1" si="11"/>
        <v>0</v>
      </c>
    </row>
    <row r="23" spans="2:28" outlineLevel="1">
      <c r="B23" s="18"/>
      <c r="D23" s="137"/>
      <c r="E23" s="137"/>
      <c r="F23" s="137"/>
      <c r="G23" s="404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</row>
    <row r="24" spans="2:28" outlineLevel="1">
      <c r="B24" s="345" t="s">
        <v>394</v>
      </c>
      <c r="D24" s="137"/>
      <c r="E24" s="137"/>
      <c r="F24" s="137"/>
      <c r="G24" s="144">
        <f>'Balance Sheet'!I39</f>
        <v>0</v>
      </c>
      <c r="H24" s="37">
        <f ca="1">G24-H77</f>
        <v>-28006.6</v>
      </c>
      <c r="I24" s="37">
        <f t="shared" ref="I24:AB24" ca="1" si="12">H24-I77</f>
        <v>-75870.342857142852</v>
      </c>
      <c r="J24" s="37">
        <f t="shared" ca="1" si="12"/>
        <v>-139143.19183673468</v>
      </c>
      <c r="K24" s="37">
        <f t="shared" ca="1" si="12"/>
        <v>-211455.01924198249</v>
      </c>
      <c r="L24" s="37">
        <f t="shared" ca="1" si="12"/>
        <v>-294097.10770512285</v>
      </c>
      <c r="M24" s="37">
        <f t="shared" ca="1" si="12"/>
        <v>-388545.20880585467</v>
      </c>
      <c r="N24" s="37">
        <f t="shared" ca="1" si="12"/>
        <v>-496485.89577811962</v>
      </c>
      <c r="O24" s="37">
        <f t="shared" ca="1" si="12"/>
        <v>-619846.68088927958</v>
      </c>
      <c r="P24" s="37">
        <f t="shared" ca="1" si="12"/>
        <v>-740973.29244489095</v>
      </c>
      <c r="Q24" s="37">
        <f t="shared" ca="1" si="12"/>
        <v>-863994.59952885495</v>
      </c>
      <c r="R24" s="37">
        <f t="shared" ca="1" si="12"/>
        <v>-995551.40062772925</v>
      </c>
      <c r="S24" s="37">
        <f t="shared" ca="1" si="12"/>
        <v>-1135571.7693971216</v>
      </c>
      <c r="T24" s="37">
        <f t="shared" ca="1" si="12"/>
        <v>-1255782.4353531215</v>
      </c>
      <c r="U24" s="37">
        <f t="shared" ca="1" si="12"/>
        <v>-1379673.4677170168</v>
      </c>
      <c r="V24" s="37">
        <f t="shared" ca="1" si="12"/>
        <v>-1505843.1208511449</v>
      </c>
      <c r="W24" s="37">
        <f t="shared" ca="1" si="12"/>
        <v>-1632414.040845697</v>
      </c>
      <c r="X24" s="37">
        <f t="shared" ca="1" si="12"/>
        <v>-1759762.7191886695</v>
      </c>
      <c r="Y24" s="37">
        <f t="shared" ca="1" si="12"/>
        <v>-1887729.5934257859</v>
      </c>
      <c r="Z24" s="37">
        <f t="shared" ca="1" si="12"/>
        <v>-2015183.6209683653</v>
      </c>
      <c r="AA24" s="37">
        <f t="shared" ca="1" si="12"/>
        <v>-2140842.4569071145</v>
      </c>
      <c r="AB24" s="37">
        <f t="shared" ca="1" si="12"/>
        <v>-2267279.6028433992</v>
      </c>
    </row>
    <row r="25" spans="2:28" outlineLevel="1">
      <c r="B25" s="18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2:28" outlineLevel="1">
      <c r="B26" s="28" t="s">
        <v>173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2:28" outlineLevel="1">
      <c r="B27" s="2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spans="2:28" outlineLevel="1">
      <c r="B28" s="18" t="s">
        <v>54</v>
      </c>
      <c r="C28" s="18"/>
      <c r="D28" s="137"/>
      <c r="E28" s="137"/>
      <c r="F28" s="137"/>
      <c r="G28" s="137"/>
      <c r="H28" s="137">
        <f ca="1">H77</f>
        <v>28006.6</v>
      </c>
      <c r="I28" s="137">
        <f t="shared" ref="I28:AB28" ca="1" si="13">I77</f>
        <v>47863.742857142854</v>
      </c>
      <c r="J28" s="137">
        <f t="shared" ca="1" si="13"/>
        <v>63272.848979591829</v>
      </c>
      <c r="K28" s="137">
        <f t="shared" ca="1" si="13"/>
        <v>72311.827405247808</v>
      </c>
      <c r="L28" s="137">
        <f t="shared" ca="1" si="13"/>
        <v>82642.088463140361</v>
      </c>
      <c r="M28" s="137">
        <f t="shared" ca="1" si="13"/>
        <v>94448.101100731845</v>
      </c>
      <c r="N28" s="137">
        <f t="shared" ca="1" si="13"/>
        <v>107940.68697226496</v>
      </c>
      <c r="O28" s="137">
        <f t="shared" ca="1" si="13"/>
        <v>123360.78511115996</v>
      </c>
      <c r="P28" s="137">
        <f t="shared" ca="1" si="13"/>
        <v>121126.61155561139</v>
      </c>
      <c r="Q28" s="137">
        <f t="shared" ca="1" si="13"/>
        <v>123021.30708396403</v>
      </c>
      <c r="R28" s="137">
        <f t="shared" ca="1" si="13"/>
        <v>131556.80109887433</v>
      </c>
      <c r="S28" s="137">
        <f t="shared" ca="1" si="13"/>
        <v>140020.3687693924</v>
      </c>
      <c r="T28" s="137">
        <f t="shared" ca="1" si="13"/>
        <v>120210.66595599982</v>
      </c>
      <c r="U28" s="137">
        <f t="shared" ca="1" si="13"/>
        <v>123891.03236389525</v>
      </c>
      <c r="V28" s="137">
        <f t="shared" ca="1" si="13"/>
        <v>126169.65313412815</v>
      </c>
      <c r="W28" s="137">
        <f t="shared" ca="1" si="13"/>
        <v>126570.9199945522</v>
      </c>
      <c r="X28" s="137">
        <f t="shared" ca="1" si="13"/>
        <v>127348.67834297231</v>
      </c>
      <c r="Y28" s="137">
        <f t="shared" ca="1" si="13"/>
        <v>127966.87423711634</v>
      </c>
      <c r="Z28" s="137">
        <f t="shared" ca="1" si="13"/>
        <v>127454.02754257948</v>
      </c>
      <c r="AA28" s="137">
        <f t="shared" ca="1" si="13"/>
        <v>125658.83593874906</v>
      </c>
      <c r="AB28" s="137">
        <f t="shared" ca="1" si="13"/>
        <v>126437.14593628468</v>
      </c>
    </row>
    <row r="29" spans="2:28" outlineLevel="1">
      <c r="B29" s="18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2:28" outlineLevel="1">
      <c r="B30" s="28" t="s">
        <v>174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2:28" outlineLevel="1">
      <c r="B31" s="2"/>
    </row>
    <row r="32" spans="2:28" outlineLevel="1">
      <c r="B32" s="18" t="s">
        <v>237</v>
      </c>
      <c r="H32" s="137">
        <f>H35</f>
        <v>139000</v>
      </c>
      <c r="I32" s="137">
        <f t="shared" ref="I32:AB32" ca="1" si="14">I35</f>
        <v>107863.74285714285</v>
      </c>
      <c r="J32" s="137">
        <f t="shared" ca="1" si="14"/>
        <v>63272.848979591829</v>
      </c>
      <c r="K32" s="137">
        <f t="shared" ca="1" si="14"/>
        <v>72311.827405247808</v>
      </c>
      <c r="L32" s="137">
        <f t="shared" ca="1" si="14"/>
        <v>82642.088463140361</v>
      </c>
      <c r="M32" s="137">
        <f t="shared" ca="1" si="14"/>
        <v>94448.101100731845</v>
      </c>
      <c r="N32" s="137">
        <f t="shared" ca="1" si="14"/>
        <v>107940.68697226496</v>
      </c>
      <c r="O32" s="137">
        <f t="shared" ca="1" si="14"/>
        <v>123360.78511115996</v>
      </c>
      <c r="P32" s="137">
        <f t="shared" ca="1" si="14"/>
        <v>121126.61155561139</v>
      </c>
      <c r="Q32" s="137">
        <f t="shared" ca="1" si="14"/>
        <v>123021.30708396403</v>
      </c>
      <c r="R32" s="137">
        <f t="shared" ca="1" si="14"/>
        <v>131556.80109887433</v>
      </c>
      <c r="S32" s="137">
        <f t="shared" ca="1" si="14"/>
        <v>140020.3687693924</v>
      </c>
      <c r="T32" s="137">
        <f t="shared" ca="1" si="14"/>
        <v>120210.66595599982</v>
      </c>
      <c r="U32" s="137">
        <f t="shared" ca="1" si="14"/>
        <v>123891.03236389525</v>
      </c>
      <c r="V32" s="137">
        <f t="shared" ca="1" si="14"/>
        <v>126169.65313412815</v>
      </c>
      <c r="W32" s="137">
        <f t="shared" ca="1" si="14"/>
        <v>126570.9199945522</v>
      </c>
      <c r="X32" s="137">
        <f t="shared" ca="1" si="14"/>
        <v>127348.67834297231</v>
      </c>
      <c r="Y32" s="137">
        <f t="shared" ca="1" si="14"/>
        <v>127966.87423711634</v>
      </c>
      <c r="Z32" s="137">
        <f t="shared" ca="1" si="14"/>
        <v>127454.02754257948</v>
      </c>
      <c r="AA32" s="137">
        <f t="shared" ca="1" si="14"/>
        <v>125658.83593874906</v>
      </c>
      <c r="AB32" s="137">
        <f t="shared" ca="1" si="14"/>
        <v>126437.14593628468</v>
      </c>
    </row>
    <row r="33" spans="2:28" outlineLevel="1">
      <c r="B33" s="18" t="s">
        <v>54</v>
      </c>
      <c r="H33" s="30">
        <f ca="1">H28</f>
        <v>28006.6</v>
      </c>
      <c r="I33" s="30">
        <f t="shared" ref="I33:AB33" ca="1" si="15">I28</f>
        <v>47863.742857142854</v>
      </c>
      <c r="J33" s="30">
        <f t="shared" ca="1" si="15"/>
        <v>63272.848979591829</v>
      </c>
      <c r="K33" s="30">
        <f t="shared" ca="1" si="15"/>
        <v>72311.827405247808</v>
      </c>
      <c r="L33" s="30">
        <f t="shared" ca="1" si="15"/>
        <v>82642.088463140361</v>
      </c>
      <c r="M33" s="30">
        <f t="shared" ca="1" si="15"/>
        <v>94448.101100731845</v>
      </c>
      <c r="N33" s="30">
        <f t="shared" ca="1" si="15"/>
        <v>107940.68697226496</v>
      </c>
      <c r="O33" s="30">
        <f t="shared" ca="1" si="15"/>
        <v>123360.78511115996</v>
      </c>
      <c r="P33" s="30">
        <f t="shared" ca="1" si="15"/>
        <v>121126.61155561139</v>
      </c>
      <c r="Q33" s="30">
        <f t="shared" ca="1" si="15"/>
        <v>123021.30708396403</v>
      </c>
      <c r="R33" s="30">
        <f t="shared" ca="1" si="15"/>
        <v>131556.80109887433</v>
      </c>
      <c r="S33" s="30">
        <f t="shared" ca="1" si="15"/>
        <v>140020.3687693924</v>
      </c>
      <c r="T33" s="30">
        <f t="shared" ca="1" si="15"/>
        <v>120210.66595599982</v>
      </c>
      <c r="U33" s="30">
        <f t="shared" ca="1" si="15"/>
        <v>123891.03236389525</v>
      </c>
      <c r="V33" s="30">
        <f t="shared" ca="1" si="15"/>
        <v>126169.65313412815</v>
      </c>
      <c r="W33" s="30">
        <f t="shared" ca="1" si="15"/>
        <v>126570.9199945522</v>
      </c>
      <c r="X33" s="30">
        <f t="shared" ca="1" si="15"/>
        <v>127348.67834297231</v>
      </c>
      <c r="Y33" s="30">
        <f t="shared" ca="1" si="15"/>
        <v>127966.87423711634</v>
      </c>
      <c r="Z33" s="30">
        <f t="shared" ca="1" si="15"/>
        <v>127454.02754257948</v>
      </c>
      <c r="AA33" s="30">
        <f t="shared" ca="1" si="15"/>
        <v>125658.83593874906</v>
      </c>
      <c r="AB33" s="30">
        <f t="shared" ca="1" si="15"/>
        <v>126437.14593628468</v>
      </c>
    </row>
    <row r="34" spans="2:28">
      <c r="F34" s="23"/>
      <c r="G34" s="6"/>
    </row>
    <row r="35" spans="2:28">
      <c r="B35" s="28" t="s">
        <v>59</v>
      </c>
      <c r="C35" s="26"/>
      <c r="D35" s="26"/>
      <c r="E35" s="26"/>
      <c r="F35" s="66"/>
      <c r="G35" s="45"/>
      <c r="H35" s="340">
        <f>SUM(H37:H47)</f>
        <v>139000</v>
      </c>
      <c r="I35" s="340">
        <f ca="1">SUM(I37:I47)</f>
        <v>107863.74285714285</v>
      </c>
      <c r="J35" s="340">
        <f t="shared" ref="J35:AB35" ca="1" si="16">SUM(J37:J47)</f>
        <v>63272.848979591829</v>
      </c>
      <c r="K35" s="340">
        <f t="shared" ca="1" si="16"/>
        <v>72311.827405247808</v>
      </c>
      <c r="L35" s="340">
        <f t="shared" ca="1" si="16"/>
        <v>82642.088463140361</v>
      </c>
      <c r="M35" s="340">
        <f t="shared" ca="1" si="16"/>
        <v>94448.101100731845</v>
      </c>
      <c r="N35" s="340">
        <f t="shared" ca="1" si="16"/>
        <v>107940.68697226496</v>
      </c>
      <c r="O35" s="340">
        <f t="shared" ca="1" si="16"/>
        <v>123360.78511115996</v>
      </c>
      <c r="P35" s="340">
        <f t="shared" ca="1" si="16"/>
        <v>121126.61155561139</v>
      </c>
      <c r="Q35" s="340">
        <f t="shared" ca="1" si="16"/>
        <v>123021.30708396403</v>
      </c>
      <c r="R35" s="340">
        <f t="shared" ca="1" si="16"/>
        <v>131556.80109887433</v>
      </c>
      <c r="S35" s="340">
        <f t="shared" ca="1" si="16"/>
        <v>140020.3687693924</v>
      </c>
      <c r="T35" s="340">
        <f t="shared" ca="1" si="16"/>
        <v>120210.66595599982</v>
      </c>
      <c r="U35" s="340">
        <f t="shared" ca="1" si="16"/>
        <v>123891.03236389525</v>
      </c>
      <c r="V35" s="340">
        <f t="shared" ca="1" si="16"/>
        <v>126169.65313412815</v>
      </c>
      <c r="W35" s="340">
        <f t="shared" ca="1" si="16"/>
        <v>126570.9199945522</v>
      </c>
      <c r="X35" s="340">
        <f t="shared" ca="1" si="16"/>
        <v>127348.67834297231</v>
      </c>
      <c r="Y35" s="340">
        <f t="shared" ca="1" si="16"/>
        <v>127966.87423711634</v>
      </c>
      <c r="Z35" s="340">
        <f t="shared" ca="1" si="16"/>
        <v>127454.02754257948</v>
      </c>
      <c r="AA35" s="340">
        <f t="shared" ca="1" si="16"/>
        <v>125658.83593874906</v>
      </c>
      <c r="AB35" s="340">
        <f t="shared" ca="1" si="16"/>
        <v>126437.14593628468</v>
      </c>
    </row>
    <row r="36" spans="2:28">
      <c r="F36" s="6"/>
      <c r="G36" s="105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</row>
    <row r="37" spans="2:28">
      <c r="B37" t="str">
        <f>B12</f>
        <v>Terrenos</v>
      </c>
      <c r="F37" s="85"/>
      <c r="G37" s="105"/>
      <c r="H37" s="113">
        <f>CHOOSE($C$3,H104,H117,H130)</f>
        <v>139000</v>
      </c>
      <c r="I37" s="113">
        <f ca="1">CHOOSE($C$3,I104,I117,I130)</f>
        <v>107863.74285714285</v>
      </c>
      <c r="J37" s="113">
        <f t="shared" ref="J37:AB37" ca="1" si="17">CHOOSE($C$3,J104,J117,J130)</f>
        <v>63272.848979591829</v>
      </c>
      <c r="K37" s="113">
        <f t="shared" ca="1" si="17"/>
        <v>72311.827405247808</v>
      </c>
      <c r="L37" s="113">
        <f t="shared" ca="1" si="17"/>
        <v>82642.088463140361</v>
      </c>
      <c r="M37" s="113">
        <f t="shared" ca="1" si="17"/>
        <v>94448.101100731845</v>
      </c>
      <c r="N37" s="113">
        <f t="shared" ca="1" si="17"/>
        <v>107940.68697226496</v>
      </c>
      <c r="O37" s="113">
        <f t="shared" ca="1" si="17"/>
        <v>123360.78511115996</v>
      </c>
      <c r="P37" s="113">
        <f t="shared" ca="1" si="17"/>
        <v>121126.61155561139</v>
      </c>
      <c r="Q37" s="113">
        <f t="shared" ca="1" si="17"/>
        <v>123021.30708396403</v>
      </c>
      <c r="R37" s="113">
        <f t="shared" ca="1" si="17"/>
        <v>131556.80109887433</v>
      </c>
      <c r="S37" s="113">
        <f t="shared" ca="1" si="17"/>
        <v>140020.3687693924</v>
      </c>
      <c r="T37" s="113">
        <f t="shared" ca="1" si="17"/>
        <v>120210.66595599982</v>
      </c>
      <c r="U37" s="113">
        <f t="shared" ca="1" si="17"/>
        <v>123891.03236389525</v>
      </c>
      <c r="V37" s="113">
        <f t="shared" ca="1" si="17"/>
        <v>126169.65313412815</v>
      </c>
      <c r="W37" s="113">
        <f t="shared" ca="1" si="17"/>
        <v>126570.9199945522</v>
      </c>
      <c r="X37" s="113">
        <f t="shared" ca="1" si="17"/>
        <v>127348.67834297231</v>
      </c>
      <c r="Y37" s="113">
        <f t="shared" ca="1" si="17"/>
        <v>127966.87423711634</v>
      </c>
      <c r="Z37" s="113">
        <f t="shared" ca="1" si="17"/>
        <v>127454.02754257948</v>
      </c>
      <c r="AA37" s="113">
        <f t="shared" ca="1" si="17"/>
        <v>125658.83593874906</v>
      </c>
      <c r="AB37" s="113">
        <f t="shared" ca="1" si="17"/>
        <v>126437.14593628468</v>
      </c>
    </row>
    <row r="38" spans="2:28">
      <c r="B38" t="str">
        <f t="shared" ref="B38:B47" si="18">B13</f>
        <v>Edificações</v>
      </c>
      <c r="F38" s="85"/>
      <c r="G38" s="105"/>
      <c r="H38" s="113">
        <f t="shared" ref="H38:AB38" si="19">CHOOSE($C$3,H105,H118,H131)</f>
        <v>0</v>
      </c>
      <c r="I38" s="113">
        <f t="shared" si="19"/>
        <v>0</v>
      </c>
      <c r="J38" s="113">
        <f t="shared" si="19"/>
        <v>0</v>
      </c>
      <c r="K38" s="113">
        <f t="shared" si="19"/>
        <v>0</v>
      </c>
      <c r="L38" s="113">
        <f t="shared" si="19"/>
        <v>0</v>
      </c>
      <c r="M38" s="113">
        <f t="shared" si="19"/>
        <v>0</v>
      </c>
      <c r="N38" s="113">
        <f t="shared" si="19"/>
        <v>0</v>
      </c>
      <c r="O38" s="113">
        <f t="shared" si="19"/>
        <v>0</v>
      </c>
      <c r="P38" s="113">
        <f t="shared" si="19"/>
        <v>0</v>
      </c>
      <c r="Q38" s="113">
        <f t="shared" si="19"/>
        <v>0</v>
      </c>
      <c r="R38" s="113">
        <f t="shared" si="19"/>
        <v>0</v>
      </c>
      <c r="S38" s="113">
        <f t="shared" si="19"/>
        <v>0</v>
      </c>
      <c r="T38" s="113">
        <f t="shared" si="19"/>
        <v>0</v>
      </c>
      <c r="U38" s="113">
        <f t="shared" si="19"/>
        <v>0</v>
      </c>
      <c r="V38" s="113">
        <f t="shared" si="19"/>
        <v>0</v>
      </c>
      <c r="W38" s="113">
        <f t="shared" si="19"/>
        <v>0</v>
      </c>
      <c r="X38" s="113">
        <f t="shared" si="19"/>
        <v>0</v>
      </c>
      <c r="Y38" s="113">
        <f t="shared" si="19"/>
        <v>0</v>
      </c>
      <c r="Z38" s="113">
        <f t="shared" si="19"/>
        <v>0</v>
      </c>
      <c r="AA38" s="113">
        <f t="shared" si="19"/>
        <v>0</v>
      </c>
      <c r="AB38" s="113">
        <f t="shared" si="19"/>
        <v>0</v>
      </c>
    </row>
    <row r="39" spans="2:28">
      <c r="B39" t="str">
        <f t="shared" si="18"/>
        <v>Veículos</v>
      </c>
      <c r="F39" s="85"/>
      <c r="G39" s="105"/>
      <c r="H39" s="113">
        <f t="shared" ref="H39:AB39" si="20">CHOOSE($C$3,H106,H119,H132)</f>
        <v>0</v>
      </c>
      <c r="I39" s="113">
        <f t="shared" si="20"/>
        <v>0</v>
      </c>
      <c r="J39" s="113">
        <f t="shared" si="20"/>
        <v>0</v>
      </c>
      <c r="K39" s="113">
        <f t="shared" si="20"/>
        <v>0</v>
      </c>
      <c r="L39" s="113">
        <f t="shared" si="20"/>
        <v>0</v>
      </c>
      <c r="M39" s="113">
        <f t="shared" si="20"/>
        <v>0</v>
      </c>
      <c r="N39" s="113">
        <f t="shared" si="20"/>
        <v>0</v>
      </c>
      <c r="O39" s="113">
        <f t="shared" si="20"/>
        <v>0</v>
      </c>
      <c r="P39" s="113">
        <f t="shared" si="20"/>
        <v>0</v>
      </c>
      <c r="Q39" s="113">
        <f t="shared" si="20"/>
        <v>0</v>
      </c>
      <c r="R39" s="113">
        <f t="shared" si="20"/>
        <v>0</v>
      </c>
      <c r="S39" s="113">
        <f t="shared" si="20"/>
        <v>0</v>
      </c>
      <c r="T39" s="113">
        <f t="shared" si="20"/>
        <v>0</v>
      </c>
      <c r="U39" s="113">
        <f t="shared" si="20"/>
        <v>0</v>
      </c>
      <c r="V39" s="113">
        <f t="shared" si="20"/>
        <v>0</v>
      </c>
      <c r="W39" s="113">
        <f t="shared" si="20"/>
        <v>0</v>
      </c>
      <c r="X39" s="113">
        <f t="shared" si="20"/>
        <v>0</v>
      </c>
      <c r="Y39" s="113">
        <f t="shared" si="20"/>
        <v>0</v>
      </c>
      <c r="Z39" s="113">
        <f t="shared" si="20"/>
        <v>0</v>
      </c>
      <c r="AA39" s="113">
        <f t="shared" si="20"/>
        <v>0</v>
      </c>
      <c r="AB39" s="113">
        <f t="shared" si="20"/>
        <v>0</v>
      </c>
    </row>
    <row r="40" spans="2:28">
      <c r="B40" t="str">
        <f t="shared" si="18"/>
        <v>Máquinas e Equipamentos</v>
      </c>
      <c r="F40" s="85"/>
      <c r="G40" s="105"/>
      <c r="H40" s="113">
        <f t="shared" ref="H40:AB40" si="21">CHOOSE($C$3,H107,H120,H133)</f>
        <v>0</v>
      </c>
      <c r="I40" s="113">
        <f t="shared" si="21"/>
        <v>0</v>
      </c>
      <c r="J40" s="113">
        <f t="shared" si="21"/>
        <v>0</v>
      </c>
      <c r="K40" s="113">
        <f t="shared" si="21"/>
        <v>0</v>
      </c>
      <c r="L40" s="113">
        <f t="shared" si="21"/>
        <v>0</v>
      </c>
      <c r="M40" s="113">
        <f t="shared" si="21"/>
        <v>0</v>
      </c>
      <c r="N40" s="113">
        <f t="shared" si="21"/>
        <v>0</v>
      </c>
      <c r="O40" s="113">
        <f t="shared" si="21"/>
        <v>0</v>
      </c>
      <c r="P40" s="113">
        <f t="shared" si="21"/>
        <v>0</v>
      </c>
      <c r="Q40" s="113">
        <f t="shared" si="21"/>
        <v>0</v>
      </c>
      <c r="R40" s="113">
        <f t="shared" si="21"/>
        <v>0</v>
      </c>
      <c r="S40" s="113">
        <f t="shared" si="21"/>
        <v>0</v>
      </c>
      <c r="T40" s="113">
        <f t="shared" si="21"/>
        <v>0</v>
      </c>
      <c r="U40" s="113">
        <f t="shared" si="21"/>
        <v>0</v>
      </c>
      <c r="V40" s="113">
        <f t="shared" si="21"/>
        <v>0</v>
      </c>
      <c r="W40" s="113">
        <f t="shared" si="21"/>
        <v>0</v>
      </c>
      <c r="X40" s="113">
        <f t="shared" si="21"/>
        <v>0</v>
      </c>
      <c r="Y40" s="113">
        <f t="shared" si="21"/>
        <v>0</v>
      </c>
      <c r="Z40" s="113">
        <f t="shared" si="21"/>
        <v>0</v>
      </c>
      <c r="AA40" s="113">
        <f t="shared" si="21"/>
        <v>0</v>
      </c>
      <c r="AB40" s="113">
        <f t="shared" si="21"/>
        <v>0</v>
      </c>
    </row>
    <row r="41" spans="2:28">
      <c r="B41" t="str">
        <f t="shared" si="18"/>
        <v>Outros</v>
      </c>
      <c r="F41" s="85"/>
      <c r="G41" s="105"/>
      <c r="H41" s="113">
        <f t="shared" ref="H41:AB41" si="22">CHOOSE($C$3,H108,H121,H134)</f>
        <v>0</v>
      </c>
      <c r="I41" s="113">
        <f t="shared" si="22"/>
        <v>0</v>
      </c>
      <c r="J41" s="113">
        <f t="shared" si="22"/>
        <v>0</v>
      </c>
      <c r="K41" s="113">
        <f t="shared" si="22"/>
        <v>0</v>
      </c>
      <c r="L41" s="113">
        <f t="shared" si="22"/>
        <v>0</v>
      </c>
      <c r="M41" s="113">
        <f t="shared" si="22"/>
        <v>0</v>
      </c>
      <c r="N41" s="113">
        <f t="shared" si="22"/>
        <v>0</v>
      </c>
      <c r="O41" s="113">
        <f t="shared" si="22"/>
        <v>0</v>
      </c>
      <c r="P41" s="113">
        <f t="shared" si="22"/>
        <v>0</v>
      </c>
      <c r="Q41" s="113">
        <f t="shared" si="22"/>
        <v>0</v>
      </c>
      <c r="R41" s="113">
        <f t="shared" si="22"/>
        <v>0</v>
      </c>
      <c r="S41" s="113">
        <f t="shared" si="22"/>
        <v>0</v>
      </c>
      <c r="T41" s="113">
        <f t="shared" si="22"/>
        <v>0</v>
      </c>
      <c r="U41" s="113">
        <f t="shared" si="22"/>
        <v>0</v>
      </c>
      <c r="V41" s="113">
        <f t="shared" si="22"/>
        <v>0</v>
      </c>
      <c r="W41" s="113">
        <f t="shared" si="22"/>
        <v>0</v>
      </c>
      <c r="X41" s="113">
        <f t="shared" si="22"/>
        <v>0</v>
      </c>
      <c r="Y41" s="113">
        <f t="shared" si="22"/>
        <v>0</v>
      </c>
      <c r="Z41" s="113">
        <f t="shared" si="22"/>
        <v>0</v>
      </c>
      <c r="AA41" s="113">
        <f t="shared" si="22"/>
        <v>0</v>
      </c>
      <c r="AB41" s="113">
        <f t="shared" si="22"/>
        <v>0</v>
      </c>
    </row>
    <row r="42" spans="2:28">
      <c r="B42" t="str">
        <f t="shared" si="18"/>
        <v>Centro distribuição</v>
      </c>
      <c r="F42" s="85"/>
      <c r="G42" s="105"/>
      <c r="H42" s="113">
        <f t="shared" ref="H42:AB42" si="23">CHOOSE($C$3,H109,H122,H135)</f>
        <v>0</v>
      </c>
      <c r="I42" s="113">
        <f t="shared" si="23"/>
        <v>0</v>
      </c>
      <c r="J42" s="113">
        <f t="shared" si="23"/>
        <v>0</v>
      </c>
      <c r="K42" s="113">
        <f t="shared" si="23"/>
        <v>0</v>
      </c>
      <c r="L42" s="113">
        <f t="shared" si="23"/>
        <v>0</v>
      </c>
      <c r="M42" s="113">
        <f t="shared" si="23"/>
        <v>0</v>
      </c>
      <c r="N42" s="113">
        <f t="shared" si="23"/>
        <v>0</v>
      </c>
      <c r="O42" s="113">
        <f t="shared" si="23"/>
        <v>0</v>
      </c>
      <c r="P42" s="113">
        <f t="shared" si="23"/>
        <v>0</v>
      </c>
      <c r="Q42" s="113">
        <f t="shared" si="23"/>
        <v>0</v>
      </c>
      <c r="R42" s="113">
        <f t="shared" si="23"/>
        <v>0</v>
      </c>
      <c r="S42" s="113">
        <f t="shared" si="23"/>
        <v>0</v>
      </c>
      <c r="T42" s="113">
        <f t="shared" si="23"/>
        <v>0</v>
      </c>
      <c r="U42" s="113">
        <f t="shared" si="23"/>
        <v>0</v>
      </c>
      <c r="V42" s="113">
        <f t="shared" si="23"/>
        <v>0</v>
      </c>
      <c r="W42" s="113">
        <f t="shared" si="23"/>
        <v>0</v>
      </c>
      <c r="X42" s="113">
        <f t="shared" si="23"/>
        <v>0</v>
      </c>
      <c r="Y42" s="113">
        <f t="shared" si="23"/>
        <v>0</v>
      </c>
      <c r="Z42" s="113">
        <f t="shared" si="23"/>
        <v>0</v>
      </c>
      <c r="AA42" s="113">
        <f t="shared" si="23"/>
        <v>0</v>
      </c>
      <c r="AB42" s="113">
        <f t="shared" si="23"/>
        <v>0</v>
      </c>
    </row>
    <row r="43" spans="2:28">
      <c r="B43" t="str">
        <f t="shared" si="18"/>
        <v>Capex 7</v>
      </c>
      <c r="F43" s="85"/>
      <c r="G43" s="105"/>
      <c r="H43" s="113">
        <f t="shared" ref="H43:AB43" si="24">CHOOSE($C$3,H110,H123,H136)</f>
        <v>0</v>
      </c>
      <c r="I43" s="113">
        <f t="shared" si="24"/>
        <v>0</v>
      </c>
      <c r="J43" s="113">
        <f t="shared" si="24"/>
        <v>0</v>
      </c>
      <c r="K43" s="113">
        <f t="shared" si="24"/>
        <v>0</v>
      </c>
      <c r="L43" s="113">
        <f t="shared" si="24"/>
        <v>0</v>
      </c>
      <c r="M43" s="113">
        <f t="shared" si="24"/>
        <v>0</v>
      </c>
      <c r="N43" s="113">
        <f t="shared" si="24"/>
        <v>0</v>
      </c>
      <c r="O43" s="113">
        <f t="shared" si="24"/>
        <v>0</v>
      </c>
      <c r="P43" s="113">
        <f t="shared" si="24"/>
        <v>0</v>
      </c>
      <c r="Q43" s="113">
        <f t="shared" si="24"/>
        <v>0</v>
      </c>
      <c r="R43" s="113">
        <f t="shared" si="24"/>
        <v>0</v>
      </c>
      <c r="S43" s="113">
        <f t="shared" si="24"/>
        <v>0</v>
      </c>
      <c r="T43" s="113">
        <f t="shared" si="24"/>
        <v>0</v>
      </c>
      <c r="U43" s="113">
        <f t="shared" si="24"/>
        <v>0</v>
      </c>
      <c r="V43" s="113">
        <f t="shared" si="24"/>
        <v>0</v>
      </c>
      <c r="W43" s="113">
        <f t="shared" si="24"/>
        <v>0</v>
      </c>
      <c r="X43" s="113">
        <f t="shared" si="24"/>
        <v>0</v>
      </c>
      <c r="Y43" s="113">
        <f t="shared" si="24"/>
        <v>0</v>
      </c>
      <c r="Z43" s="113">
        <f t="shared" si="24"/>
        <v>0</v>
      </c>
      <c r="AA43" s="113">
        <f t="shared" si="24"/>
        <v>0</v>
      </c>
      <c r="AB43" s="113">
        <f t="shared" si="24"/>
        <v>0</v>
      </c>
    </row>
    <row r="44" spans="2:28">
      <c r="B44" t="str">
        <f t="shared" si="18"/>
        <v>Capex 8</v>
      </c>
      <c r="F44" s="85"/>
      <c r="G44" s="105"/>
      <c r="H44" s="113">
        <f t="shared" ref="H44:AB44" si="25">CHOOSE($C$3,H111,H124,H137)</f>
        <v>0</v>
      </c>
      <c r="I44" s="113">
        <f t="shared" si="25"/>
        <v>0</v>
      </c>
      <c r="J44" s="113">
        <f t="shared" si="25"/>
        <v>0</v>
      </c>
      <c r="K44" s="113">
        <f t="shared" si="25"/>
        <v>0</v>
      </c>
      <c r="L44" s="113">
        <f t="shared" si="25"/>
        <v>0</v>
      </c>
      <c r="M44" s="113">
        <f t="shared" si="25"/>
        <v>0</v>
      </c>
      <c r="N44" s="113">
        <f t="shared" si="25"/>
        <v>0</v>
      </c>
      <c r="O44" s="113">
        <f t="shared" si="25"/>
        <v>0</v>
      </c>
      <c r="P44" s="113">
        <f t="shared" si="25"/>
        <v>0</v>
      </c>
      <c r="Q44" s="113">
        <f t="shared" si="25"/>
        <v>0</v>
      </c>
      <c r="R44" s="113">
        <f t="shared" si="25"/>
        <v>0</v>
      </c>
      <c r="S44" s="113">
        <f t="shared" si="25"/>
        <v>0</v>
      </c>
      <c r="T44" s="113">
        <f t="shared" si="25"/>
        <v>0</v>
      </c>
      <c r="U44" s="113">
        <f t="shared" si="25"/>
        <v>0</v>
      </c>
      <c r="V44" s="113">
        <f t="shared" si="25"/>
        <v>0</v>
      </c>
      <c r="W44" s="113">
        <f t="shared" si="25"/>
        <v>0</v>
      </c>
      <c r="X44" s="113">
        <f t="shared" si="25"/>
        <v>0</v>
      </c>
      <c r="Y44" s="113">
        <f t="shared" si="25"/>
        <v>0</v>
      </c>
      <c r="Z44" s="113">
        <f t="shared" si="25"/>
        <v>0</v>
      </c>
      <c r="AA44" s="113">
        <f t="shared" si="25"/>
        <v>0</v>
      </c>
      <c r="AB44" s="113">
        <f t="shared" si="25"/>
        <v>0</v>
      </c>
    </row>
    <row r="45" spans="2:28">
      <c r="B45" t="str">
        <f t="shared" si="18"/>
        <v>Capex 9</v>
      </c>
      <c r="F45" s="6"/>
      <c r="G45" s="105"/>
      <c r="H45" s="113">
        <f t="shared" ref="H45:AB45" si="26">CHOOSE($C$3,H112,H125,H138)</f>
        <v>0</v>
      </c>
      <c r="I45" s="113">
        <f t="shared" si="26"/>
        <v>0</v>
      </c>
      <c r="J45" s="113">
        <f t="shared" si="26"/>
        <v>0</v>
      </c>
      <c r="K45" s="113">
        <f t="shared" si="26"/>
        <v>0</v>
      </c>
      <c r="L45" s="113">
        <f t="shared" si="26"/>
        <v>0</v>
      </c>
      <c r="M45" s="113">
        <f t="shared" si="26"/>
        <v>0</v>
      </c>
      <c r="N45" s="113">
        <f t="shared" si="26"/>
        <v>0</v>
      </c>
      <c r="O45" s="113">
        <f t="shared" si="26"/>
        <v>0</v>
      </c>
      <c r="P45" s="113">
        <f t="shared" si="26"/>
        <v>0</v>
      </c>
      <c r="Q45" s="113">
        <f t="shared" si="26"/>
        <v>0</v>
      </c>
      <c r="R45" s="113">
        <f t="shared" si="26"/>
        <v>0</v>
      </c>
      <c r="S45" s="113">
        <f t="shared" si="26"/>
        <v>0</v>
      </c>
      <c r="T45" s="113">
        <f t="shared" si="26"/>
        <v>0</v>
      </c>
      <c r="U45" s="113">
        <f t="shared" si="26"/>
        <v>0</v>
      </c>
      <c r="V45" s="113">
        <f t="shared" si="26"/>
        <v>0</v>
      </c>
      <c r="W45" s="113">
        <f t="shared" si="26"/>
        <v>0</v>
      </c>
      <c r="X45" s="113">
        <f t="shared" si="26"/>
        <v>0</v>
      </c>
      <c r="Y45" s="113">
        <f t="shared" si="26"/>
        <v>0</v>
      </c>
      <c r="Z45" s="113">
        <f t="shared" si="26"/>
        <v>0</v>
      </c>
      <c r="AA45" s="113">
        <f t="shared" si="26"/>
        <v>0</v>
      </c>
      <c r="AB45" s="113">
        <f t="shared" si="26"/>
        <v>0</v>
      </c>
    </row>
    <row r="46" spans="2:28">
      <c r="B46" t="str">
        <f t="shared" si="18"/>
        <v>Capex 10</v>
      </c>
      <c r="F46" s="6"/>
      <c r="G46" s="105"/>
      <c r="H46" s="113">
        <f t="shared" ref="H46:AB46" si="27">CHOOSE($C$3,H113,H126,H139)</f>
        <v>0</v>
      </c>
      <c r="I46" s="113">
        <f t="shared" si="27"/>
        <v>0</v>
      </c>
      <c r="J46" s="113">
        <f t="shared" si="27"/>
        <v>0</v>
      </c>
      <c r="K46" s="113">
        <f t="shared" si="27"/>
        <v>0</v>
      </c>
      <c r="L46" s="113">
        <f t="shared" si="27"/>
        <v>0</v>
      </c>
      <c r="M46" s="113">
        <f t="shared" si="27"/>
        <v>0</v>
      </c>
      <c r="N46" s="113">
        <f t="shared" si="27"/>
        <v>0</v>
      </c>
      <c r="O46" s="113">
        <f t="shared" si="27"/>
        <v>0</v>
      </c>
      <c r="P46" s="113">
        <f t="shared" si="27"/>
        <v>0</v>
      </c>
      <c r="Q46" s="113">
        <f t="shared" si="27"/>
        <v>0</v>
      </c>
      <c r="R46" s="113">
        <f t="shared" si="27"/>
        <v>0</v>
      </c>
      <c r="S46" s="113">
        <f t="shared" si="27"/>
        <v>0</v>
      </c>
      <c r="T46" s="113">
        <f t="shared" si="27"/>
        <v>0</v>
      </c>
      <c r="U46" s="113">
        <f t="shared" si="27"/>
        <v>0</v>
      </c>
      <c r="V46" s="113">
        <f t="shared" si="27"/>
        <v>0</v>
      </c>
      <c r="W46" s="113">
        <f t="shared" si="27"/>
        <v>0</v>
      </c>
      <c r="X46" s="113">
        <f t="shared" si="27"/>
        <v>0</v>
      </c>
      <c r="Y46" s="113">
        <f t="shared" si="27"/>
        <v>0</v>
      </c>
      <c r="Z46" s="113">
        <f t="shared" si="27"/>
        <v>0</v>
      </c>
      <c r="AA46" s="113">
        <f t="shared" si="27"/>
        <v>0</v>
      </c>
      <c r="AB46" s="113">
        <f t="shared" si="27"/>
        <v>0</v>
      </c>
    </row>
    <row r="47" spans="2:28">
      <c r="B47" t="str">
        <f t="shared" si="18"/>
        <v>Capex 11</v>
      </c>
      <c r="F47" s="6"/>
      <c r="G47" s="86"/>
      <c r="H47" s="113">
        <f t="shared" ref="H47:AB47" si="28">CHOOSE($C$3,H114,H127,H140)</f>
        <v>0</v>
      </c>
      <c r="I47" s="113">
        <f t="shared" si="28"/>
        <v>0</v>
      </c>
      <c r="J47" s="113">
        <f t="shared" si="28"/>
        <v>0</v>
      </c>
      <c r="K47" s="113">
        <f t="shared" si="28"/>
        <v>0</v>
      </c>
      <c r="L47" s="113">
        <f t="shared" si="28"/>
        <v>0</v>
      </c>
      <c r="M47" s="113">
        <f t="shared" si="28"/>
        <v>0</v>
      </c>
      <c r="N47" s="113">
        <f t="shared" si="28"/>
        <v>0</v>
      </c>
      <c r="O47" s="113">
        <f t="shared" si="28"/>
        <v>0</v>
      </c>
      <c r="P47" s="113">
        <f t="shared" si="28"/>
        <v>0</v>
      </c>
      <c r="Q47" s="113">
        <f t="shared" si="28"/>
        <v>0</v>
      </c>
      <c r="R47" s="113">
        <f t="shared" si="28"/>
        <v>0</v>
      </c>
      <c r="S47" s="113">
        <f t="shared" si="28"/>
        <v>0</v>
      </c>
      <c r="T47" s="113">
        <f t="shared" si="28"/>
        <v>0</v>
      </c>
      <c r="U47" s="113">
        <f t="shared" si="28"/>
        <v>0</v>
      </c>
      <c r="V47" s="113">
        <f t="shared" si="28"/>
        <v>0</v>
      </c>
      <c r="W47" s="113">
        <f t="shared" si="28"/>
        <v>0</v>
      </c>
      <c r="X47" s="113">
        <f t="shared" si="28"/>
        <v>0</v>
      </c>
      <c r="Y47" s="113">
        <f t="shared" si="28"/>
        <v>0</v>
      </c>
      <c r="Z47" s="113">
        <f t="shared" si="28"/>
        <v>0</v>
      </c>
      <c r="AA47" s="113">
        <f t="shared" si="28"/>
        <v>0</v>
      </c>
      <c r="AB47" s="113">
        <f t="shared" si="28"/>
        <v>0</v>
      </c>
    </row>
    <row r="48" spans="2:28">
      <c r="F48" s="23"/>
      <c r="G48" s="24"/>
    </row>
    <row r="49" spans="1:28" s="77" customFormat="1" outlineLevel="1">
      <c r="A49"/>
      <c r="B49" s="28" t="s">
        <v>364</v>
      </c>
      <c r="C49" s="26"/>
      <c r="D49" s="26"/>
      <c r="E49" s="26"/>
      <c r="F49" s="66"/>
      <c r="G49" s="45" t="s">
        <v>363</v>
      </c>
      <c r="H49" s="111"/>
      <c r="I49" s="111"/>
      <c r="J49" s="111"/>
      <c r="K49" s="111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</row>
    <row r="50" spans="1:28" s="77" customFormat="1" outlineLevel="1">
      <c r="A50"/>
      <c r="B50" s="2"/>
      <c r="C50"/>
      <c r="D50"/>
      <c r="E50"/>
      <c r="F50" s="6"/>
      <c r="G50" s="143"/>
      <c r="H50" s="339"/>
      <c r="I50" s="339"/>
      <c r="J50" s="339"/>
      <c r="K50" s="339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</row>
    <row r="51" spans="1:28" s="77" customFormat="1" outlineLevel="1">
      <c r="A51"/>
      <c r="B51" t="str">
        <f>B37</f>
        <v>Terrenos</v>
      </c>
      <c r="C51"/>
      <c r="D51"/>
      <c r="E51"/>
      <c r="F51"/>
      <c r="G51" s="144">
        <v>7</v>
      </c>
      <c r="H51" s="338">
        <f t="shared" ref="H51:I60" ca="1" si="29">SUM(OFFSET(H37,0,IF(H$6&gt;$G51,-$G51,-H$6),1,IF(H$6&gt;$G51,$G51,H$6)))*(1/$G51)</f>
        <v>0</v>
      </c>
      <c r="I51" s="338">
        <f ca="1">SUM(OFFSET(I37,0,IF(I$6&gt;$G51,-$G51,-I$6),1,IF(I$6&gt;$G51,$G51,I$6)))*(1/$G51)</f>
        <v>19857.142857142855</v>
      </c>
      <c r="J51" s="338">
        <f t="shared" ref="J51:AB51" ca="1" si="30">SUM(OFFSET(J37,0,IF(J$6&gt;$G51,-$G51,-J$6),1,IF(J$6&gt;$G51,$G51,J$6)))*(1/$G51)</f>
        <v>35266.24897959183</v>
      </c>
      <c r="K51" s="338">
        <f t="shared" ca="1" si="30"/>
        <v>44305.22740524781</v>
      </c>
      <c r="L51" s="338">
        <f t="shared" ca="1" si="30"/>
        <v>54635.488463140355</v>
      </c>
      <c r="M51" s="338">
        <f t="shared" ca="1" si="30"/>
        <v>66441.501100731839</v>
      </c>
      <c r="N51" s="338">
        <f t="shared" ca="1" si="30"/>
        <v>79934.086972264951</v>
      </c>
      <c r="O51" s="338">
        <f t="shared" ca="1" si="30"/>
        <v>95354.185111159954</v>
      </c>
      <c r="P51" s="338">
        <f t="shared" ca="1" si="30"/>
        <v>93120.011555611389</v>
      </c>
      <c r="Q51" s="338">
        <f t="shared" ca="1" si="30"/>
        <v>95014.707083964022</v>
      </c>
      <c r="R51" s="338">
        <f t="shared" ca="1" si="30"/>
        <v>103550.20109887433</v>
      </c>
      <c r="S51" s="338">
        <f t="shared" ca="1" si="30"/>
        <v>112013.76876939241</v>
      </c>
      <c r="T51" s="338">
        <f t="shared" ca="1" si="30"/>
        <v>120210.66595599982</v>
      </c>
      <c r="U51" s="338">
        <f t="shared" ca="1" si="30"/>
        <v>123891.03236389525</v>
      </c>
      <c r="V51" s="338">
        <f t="shared" ca="1" si="30"/>
        <v>126169.65313412815</v>
      </c>
      <c r="W51" s="338">
        <f t="shared" ca="1" si="30"/>
        <v>126570.9199945522</v>
      </c>
      <c r="X51" s="338">
        <f t="shared" ca="1" si="30"/>
        <v>127348.67834297231</v>
      </c>
      <c r="Y51" s="338">
        <f t="shared" ca="1" si="30"/>
        <v>127966.87423711634</v>
      </c>
      <c r="Z51" s="338">
        <f t="shared" ca="1" si="30"/>
        <v>127454.02754257948</v>
      </c>
      <c r="AA51" s="338">
        <f t="shared" ca="1" si="30"/>
        <v>125658.83593874906</v>
      </c>
      <c r="AB51" s="338">
        <f t="shared" ca="1" si="30"/>
        <v>126437.14593628468</v>
      </c>
    </row>
    <row r="52" spans="1:28" s="77" customFormat="1" outlineLevel="1">
      <c r="A52"/>
      <c r="B52" t="str">
        <f t="shared" ref="B52:B61" si="31">B38</f>
        <v>Edificações</v>
      </c>
      <c r="C52"/>
      <c r="D52"/>
      <c r="E52"/>
      <c r="F52"/>
      <c r="G52" s="144">
        <v>10</v>
      </c>
      <c r="H52" s="338">
        <f t="shared" ca="1" si="29"/>
        <v>0</v>
      </c>
      <c r="I52" s="338">
        <f t="shared" ca="1" si="29"/>
        <v>0</v>
      </c>
      <c r="J52" s="338">
        <f t="shared" ref="J52:AB52" ca="1" si="32">SUM(OFFSET(J38,0,IF(J$6&gt;$G52,-$G52,-J$6),1,IF(J$6&gt;$G52,$G52,J$6)))*(1/$G52)</f>
        <v>0</v>
      </c>
      <c r="K52" s="338">
        <f t="shared" ca="1" si="32"/>
        <v>0</v>
      </c>
      <c r="L52" s="338">
        <f t="shared" ca="1" si="32"/>
        <v>0</v>
      </c>
      <c r="M52" s="338">
        <f t="shared" ca="1" si="32"/>
        <v>0</v>
      </c>
      <c r="N52" s="338">
        <f t="shared" ca="1" si="32"/>
        <v>0</v>
      </c>
      <c r="O52" s="338">
        <f t="shared" ca="1" si="32"/>
        <v>0</v>
      </c>
      <c r="P52" s="338">
        <f t="shared" ca="1" si="32"/>
        <v>0</v>
      </c>
      <c r="Q52" s="338">
        <f t="shared" ca="1" si="32"/>
        <v>0</v>
      </c>
      <c r="R52" s="338">
        <f t="shared" ca="1" si="32"/>
        <v>0</v>
      </c>
      <c r="S52" s="338">
        <f t="shared" ca="1" si="32"/>
        <v>0</v>
      </c>
      <c r="T52" s="338">
        <f t="shared" ca="1" si="32"/>
        <v>0</v>
      </c>
      <c r="U52" s="338">
        <f t="shared" ca="1" si="32"/>
        <v>0</v>
      </c>
      <c r="V52" s="338">
        <f t="shared" ca="1" si="32"/>
        <v>0</v>
      </c>
      <c r="W52" s="338">
        <f t="shared" ca="1" si="32"/>
        <v>0</v>
      </c>
      <c r="X52" s="338">
        <f t="shared" ca="1" si="32"/>
        <v>0</v>
      </c>
      <c r="Y52" s="338">
        <f t="shared" ca="1" si="32"/>
        <v>0</v>
      </c>
      <c r="Z52" s="338">
        <f t="shared" ca="1" si="32"/>
        <v>0</v>
      </c>
      <c r="AA52" s="338">
        <f t="shared" ca="1" si="32"/>
        <v>0</v>
      </c>
      <c r="AB52" s="338">
        <f t="shared" ca="1" si="32"/>
        <v>0</v>
      </c>
    </row>
    <row r="53" spans="1:28" s="77" customFormat="1" outlineLevel="1">
      <c r="A53"/>
      <c r="B53" t="str">
        <f t="shared" si="31"/>
        <v>Veículos</v>
      </c>
      <c r="C53"/>
      <c r="D53"/>
      <c r="E53"/>
      <c r="F53"/>
      <c r="G53" s="144">
        <v>10</v>
      </c>
      <c r="H53" s="338">
        <f t="shared" ca="1" si="29"/>
        <v>0</v>
      </c>
      <c r="I53" s="338">
        <f t="shared" ca="1" si="29"/>
        <v>0</v>
      </c>
      <c r="J53" s="338">
        <f t="shared" ref="J53:AB53" ca="1" si="33">SUM(OFFSET(J39,0,IF(J$6&gt;$G53,-$G53,-J$6),1,IF(J$6&gt;$G53,$G53,J$6)))*(1/$G53)</f>
        <v>0</v>
      </c>
      <c r="K53" s="338">
        <f t="shared" ca="1" si="33"/>
        <v>0</v>
      </c>
      <c r="L53" s="338">
        <f t="shared" ca="1" si="33"/>
        <v>0</v>
      </c>
      <c r="M53" s="338">
        <f t="shared" ca="1" si="33"/>
        <v>0</v>
      </c>
      <c r="N53" s="338">
        <f t="shared" ca="1" si="33"/>
        <v>0</v>
      </c>
      <c r="O53" s="338">
        <f t="shared" ca="1" si="33"/>
        <v>0</v>
      </c>
      <c r="P53" s="338">
        <f t="shared" ca="1" si="33"/>
        <v>0</v>
      </c>
      <c r="Q53" s="338">
        <f t="shared" ca="1" si="33"/>
        <v>0</v>
      </c>
      <c r="R53" s="338">
        <f t="shared" ca="1" si="33"/>
        <v>0</v>
      </c>
      <c r="S53" s="338">
        <f t="shared" ca="1" si="33"/>
        <v>0</v>
      </c>
      <c r="T53" s="338">
        <f t="shared" ca="1" si="33"/>
        <v>0</v>
      </c>
      <c r="U53" s="338">
        <f t="shared" ca="1" si="33"/>
        <v>0</v>
      </c>
      <c r="V53" s="338">
        <f t="shared" ca="1" si="33"/>
        <v>0</v>
      </c>
      <c r="W53" s="338">
        <f t="shared" ca="1" si="33"/>
        <v>0</v>
      </c>
      <c r="X53" s="338">
        <f t="shared" ca="1" si="33"/>
        <v>0</v>
      </c>
      <c r="Y53" s="338">
        <f t="shared" ca="1" si="33"/>
        <v>0</v>
      </c>
      <c r="Z53" s="338">
        <f t="shared" ca="1" si="33"/>
        <v>0</v>
      </c>
      <c r="AA53" s="338">
        <f t="shared" ca="1" si="33"/>
        <v>0</v>
      </c>
      <c r="AB53" s="338">
        <f t="shared" ca="1" si="33"/>
        <v>0</v>
      </c>
    </row>
    <row r="54" spans="1:28" s="77" customFormat="1" outlineLevel="1">
      <c r="A54"/>
      <c r="B54" t="str">
        <f t="shared" si="31"/>
        <v>Máquinas e Equipamentos</v>
      </c>
      <c r="C54"/>
      <c r="D54"/>
      <c r="E54"/>
      <c r="F54"/>
      <c r="G54" s="144">
        <v>10</v>
      </c>
      <c r="H54" s="338">
        <f t="shared" ca="1" si="29"/>
        <v>0</v>
      </c>
      <c r="I54" s="338">
        <f t="shared" ca="1" si="29"/>
        <v>0</v>
      </c>
      <c r="J54" s="338">
        <f t="shared" ref="J54:AB54" ca="1" si="34">SUM(OFFSET(J40,0,IF(J$6&gt;$G54,-$G54,-J$6),1,IF(J$6&gt;$G54,$G54,J$6)))*(1/$G54)</f>
        <v>0</v>
      </c>
      <c r="K54" s="338">
        <f t="shared" ca="1" si="34"/>
        <v>0</v>
      </c>
      <c r="L54" s="338">
        <f t="shared" ca="1" si="34"/>
        <v>0</v>
      </c>
      <c r="M54" s="338">
        <f t="shared" ca="1" si="34"/>
        <v>0</v>
      </c>
      <c r="N54" s="338">
        <f t="shared" ca="1" si="34"/>
        <v>0</v>
      </c>
      <c r="O54" s="338">
        <f t="shared" ca="1" si="34"/>
        <v>0</v>
      </c>
      <c r="P54" s="338">
        <f t="shared" ca="1" si="34"/>
        <v>0</v>
      </c>
      <c r="Q54" s="338">
        <f t="shared" ca="1" si="34"/>
        <v>0</v>
      </c>
      <c r="R54" s="338">
        <f t="shared" ca="1" si="34"/>
        <v>0</v>
      </c>
      <c r="S54" s="338">
        <f t="shared" ca="1" si="34"/>
        <v>0</v>
      </c>
      <c r="T54" s="338">
        <f t="shared" ca="1" si="34"/>
        <v>0</v>
      </c>
      <c r="U54" s="338">
        <f t="shared" ca="1" si="34"/>
        <v>0</v>
      </c>
      <c r="V54" s="338">
        <f t="shared" ca="1" si="34"/>
        <v>0</v>
      </c>
      <c r="W54" s="338">
        <f t="shared" ca="1" si="34"/>
        <v>0</v>
      </c>
      <c r="X54" s="338">
        <f t="shared" ca="1" si="34"/>
        <v>0</v>
      </c>
      <c r="Y54" s="338">
        <f t="shared" ca="1" si="34"/>
        <v>0</v>
      </c>
      <c r="Z54" s="338">
        <f t="shared" ca="1" si="34"/>
        <v>0</v>
      </c>
      <c r="AA54" s="338">
        <f t="shared" ca="1" si="34"/>
        <v>0</v>
      </c>
      <c r="AB54" s="338">
        <f t="shared" ca="1" si="34"/>
        <v>0</v>
      </c>
    </row>
    <row r="55" spans="1:28" s="77" customFormat="1" outlineLevel="1">
      <c r="A55"/>
      <c r="B55" t="str">
        <f t="shared" si="31"/>
        <v>Outros</v>
      </c>
      <c r="C55"/>
      <c r="D55"/>
      <c r="E55"/>
      <c r="F55"/>
      <c r="G55" s="144">
        <v>10</v>
      </c>
      <c r="H55" s="338">
        <f t="shared" ca="1" si="29"/>
        <v>0</v>
      </c>
      <c r="I55" s="338">
        <f t="shared" ca="1" si="29"/>
        <v>0</v>
      </c>
      <c r="J55" s="338">
        <f t="shared" ref="J55:AB55" ca="1" si="35">SUM(OFFSET(J41,0,IF(J$6&gt;$G55,-$G55,-J$6),1,IF(J$6&gt;$G55,$G55,J$6)))*(1/$G55)</f>
        <v>0</v>
      </c>
      <c r="K55" s="338">
        <f t="shared" ca="1" si="35"/>
        <v>0</v>
      </c>
      <c r="L55" s="338">
        <f t="shared" ca="1" si="35"/>
        <v>0</v>
      </c>
      <c r="M55" s="338">
        <f t="shared" ca="1" si="35"/>
        <v>0</v>
      </c>
      <c r="N55" s="338">
        <f t="shared" ca="1" si="35"/>
        <v>0</v>
      </c>
      <c r="O55" s="338">
        <f t="shared" ca="1" si="35"/>
        <v>0</v>
      </c>
      <c r="P55" s="338">
        <f t="shared" ca="1" si="35"/>
        <v>0</v>
      </c>
      <c r="Q55" s="338">
        <f t="shared" ca="1" si="35"/>
        <v>0</v>
      </c>
      <c r="R55" s="338">
        <f t="shared" ca="1" si="35"/>
        <v>0</v>
      </c>
      <c r="S55" s="338">
        <f t="shared" ca="1" si="35"/>
        <v>0</v>
      </c>
      <c r="T55" s="338">
        <f t="shared" ca="1" si="35"/>
        <v>0</v>
      </c>
      <c r="U55" s="338">
        <f t="shared" ca="1" si="35"/>
        <v>0</v>
      </c>
      <c r="V55" s="338">
        <f t="shared" ca="1" si="35"/>
        <v>0</v>
      </c>
      <c r="W55" s="338">
        <f t="shared" ca="1" si="35"/>
        <v>0</v>
      </c>
      <c r="X55" s="338">
        <f t="shared" ca="1" si="35"/>
        <v>0</v>
      </c>
      <c r="Y55" s="338">
        <f t="shared" ca="1" si="35"/>
        <v>0</v>
      </c>
      <c r="Z55" s="338">
        <f t="shared" ca="1" si="35"/>
        <v>0</v>
      </c>
      <c r="AA55" s="338">
        <f t="shared" ca="1" si="35"/>
        <v>0</v>
      </c>
      <c r="AB55" s="338">
        <f t="shared" ca="1" si="35"/>
        <v>0</v>
      </c>
    </row>
    <row r="56" spans="1:28" s="77" customFormat="1" outlineLevel="1">
      <c r="A56"/>
      <c r="B56" t="str">
        <f t="shared" si="31"/>
        <v>Centro distribuição</v>
      </c>
      <c r="C56"/>
      <c r="D56"/>
      <c r="E56"/>
      <c r="F56"/>
      <c r="G56" s="144">
        <v>10</v>
      </c>
      <c r="H56" s="338">
        <f t="shared" ca="1" si="29"/>
        <v>0</v>
      </c>
      <c r="I56" s="338">
        <f t="shared" ca="1" si="29"/>
        <v>0</v>
      </c>
      <c r="J56" s="338">
        <f t="shared" ref="J56:AB56" ca="1" si="36">SUM(OFFSET(J42,0,IF(J$6&gt;$G56,-$G56,-J$6),1,IF(J$6&gt;$G56,$G56,J$6)))*(1/$G56)</f>
        <v>0</v>
      </c>
      <c r="K56" s="338">
        <f t="shared" ca="1" si="36"/>
        <v>0</v>
      </c>
      <c r="L56" s="338">
        <f t="shared" ca="1" si="36"/>
        <v>0</v>
      </c>
      <c r="M56" s="338">
        <f t="shared" ca="1" si="36"/>
        <v>0</v>
      </c>
      <c r="N56" s="338">
        <f t="shared" ca="1" si="36"/>
        <v>0</v>
      </c>
      <c r="O56" s="338">
        <f t="shared" ca="1" si="36"/>
        <v>0</v>
      </c>
      <c r="P56" s="338">
        <f t="shared" ca="1" si="36"/>
        <v>0</v>
      </c>
      <c r="Q56" s="338">
        <f t="shared" ca="1" si="36"/>
        <v>0</v>
      </c>
      <c r="R56" s="338">
        <f t="shared" ca="1" si="36"/>
        <v>0</v>
      </c>
      <c r="S56" s="338">
        <f t="shared" ca="1" si="36"/>
        <v>0</v>
      </c>
      <c r="T56" s="338">
        <f t="shared" ca="1" si="36"/>
        <v>0</v>
      </c>
      <c r="U56" s="338">
        <f t="shared" ca="1" si="36"/>
        <v>0</v>
      </c>
      <c r="V56" s="338">
        <f t="shared" ca="1" si="36"/>
        <v>0</v>
      </c>
      <c r="W56" s="338">
        <f t="shared" ca="1" si="36"/>
        <v>0</v>
      </c>
      <c r="X56" s="338">
        <f t="shared" ca="1" si="36"/>
        <v>0</v>
      </c>
      <c r="Y56" s="338">
        <f t="shared" ca="1" si="36"/>
        <v>0</v>
      </c>
      <c r="Z56" s="338">
        <f t="shared" ca="1" si="36"/>
        <v>0</v>
      </c>
      <c r="AA56" s="338">
        <f t="shared" ca="1" si="36"/>
        <v>0</v>
      </c>
      <c r="AB56" s="338">
        <f t="shared" ca="1" si="36"/>
        <v>0</v>
      </c>
    </row>
    <row r="57" spans="1:28" s="77" customFormat="1" outlineLevel="1">
      <c r="A57"/>
      <c r="B57" t="str">
        <f t="shared" si="31"/>
        <v>Capex 7</v>
      </c>
      <c r="C57"/>
      <c r="D57"/>
      <c r="E57"/>
      <c r="F57"/>
      <c r="G57" s="144">
        <v>1</v>
      </c>
      <c r="H57" s="338">
        <f t="shared" ca="1" si="29"/>
        <v>0</v>
      </c>
      <c r="I57" s="338">
        <f t="shared" ca="1" si="29"/>
        <v>0</v>
      </c>
      <c r="J57" s="338">
        <f t="shared" ref="J57:AB57" ca="1" si="37">SUM(OFFSET(J43,0,IF(J$6&gt;$G57,-$G57,-J$6),1,IF(J$6&gt;$G57,$G57,J$6)))*(1/$G57)</f>
        <v>0</v>
      </c>
      <c r="K57" s="338">
        <f t="shared" ca="1" si="37"/>
        <v>0</v>
      </c>
      <c r="L57" s="338">
        <f t="shared" ca="1" si="37"/>
        <v>0</v>
      </c>
      <c r="M57" s="338">
        <f t="shared" ca="1" si="37"/>
        <v>0</v>
      </c>
      <c r="N57" s="338">
        <f t="shared" ca="1" si="37"/>
        <v>0</v>
      </c>
      <c r="O57" s="338">
        <f t="shared" ca="1" si="37"/>
        <v>0</v>
      </c>
      <c r="P57" s="338">
        <f t="shared" ca="1" si="37"/>
        <v>0</v>
      </c>
      <c r="Q57" s="338">
        <f t="shared" ca="1" si="37"/>
        <v>0</v>
      </c>
      <c r="R57" s="338">
        <f t="shared" ca="1" si="37"/>
        <v>0</v>
      </c>
      <c r="S57" s="338">
        <f t="shared" ca="1" si="37"/>
        <v>0</v>
      </c>
      <c r="T57" s="338">
        <f t="shared" ca="1" si="37"/>
        <v>0</v>
      </c>
      <c r="U57" s="338">
        <f t="shared" ca="1" si="37"/>
        <v>0</v>
      </c>
      <c r="V57" s="338">
        <f t="shared" ca="1" si="37"/>
        <v>0</v>
      </c>
      <c r="W57" s="338">
        <f t="shared" ca="1" si="37"/>
        <v>0</v>
      </c>
      <c r="X57" s="338">
        <f t="shared" ca="1" si="37"/>
        <v>0</v>
      </c>
      <c r="Y57" s="338">
        <f t="shared" ca="1" si="37"/>
        <v>0</v>
      </c>
      <c r="Z57" s="338">
        <f t="shared" ca="1" si="37"/>
        <v>0</v>
      </c>
      <c r="AA57" s="338">
        <f t="shared" ca="1" si="37"/>
        <v>0</v>
      </c>
      <c r="AB57" s="338">
        <f t="shared" ca="1" si="37"/>
        <v>0</v>
      </c>
    </row>
    <row r="58" spans="1:28" s="77" customFormat="1" outlineLevel="1">
      <c r="A58"/>
      <c r="B58" t="str">
        <f t="shared" si="31"/>
        <v>Capex 8</v>
      </c>
      <c r="C58"/>
      <c r="D58"/>
      <c r="E58"/>
      <c r="F58"/>
      <c r="G58" s="144">
        <v>1</v>
      </c>
      <c r="H58" s="338">
        <f t="shared" ca="1" si="29"/>
        <v>0</v>
      </c>
      <c r="I58" s="338">
        <f t="shared" ca="1" si="29"/>
        <v>0</v>
      </c>
      <c r="J58" s="338">
        <f t="shared" ref="J58:AB58" ca="1" si="38">SUM(OFFSET(J44,0,IF(J$6&gt;$G58,-$G58,-J$6),1,IF(J$6&gt;$G58,$G58,J$6)))*(1/$G58)</f>
        <v>0</v>
      </c>
      <c r="K58" s="338">
        <f t="shared" ca="1" si="38"/>
        <v>0</v>
      </c>
      <c r="L58" s="338">
        <f t="shared" ca="1" si="38"/>
        <v>0</v>
      </c>
      <c r="M58" s="338">
        <f t="shared" ca="1" si="38"/>
        <v>0</v>
      </c>
      <c r="N58" s="338">
        <f t="shared" ca="1" si="38"/>
        <v>0</v>
      </c>
      <c r="O58" s="338">
        <f t="shared" ca="1" si="38"/>
        <v>0</v>
      </c>
      <c r="P58" s="338">
        <f t="shared" ca="1" si="38"/>
        <v>0</v>
      </c>
      <c r="Q58" s="338">
        <f t="shared" ca="1" si="38"/>
        <v>0</v>
      </c>
      <c r="R58" s="338">
        <f t="shared" ca="1" si="38"/>
        <v>0</v>
      </c>
      <c r="S58" s="338">
        <f t="shared" ca="1" si="38"/>
        <v>0</v>
      </c>
      <c r="T58" s="338">
        <f t="shared" ca="1" si="38"/>
        <v>0</v>
      </c>
      <c r="U58" s="338">
        <f t="shared" ca="1" si="38"/>
        <v>0</v>
      </c>
      <c r="V58" s="338">
        <f t="shared" ca="1" si="38"/>
        <v>0</v>
      </c>
      <c r="W58" s="338">
        <f t="shared" ca="1" si="38"/>
        <v>0</v>
      </c>
      <c r="X58" s="338">
        <f t="shared" ca="1" si="38"/>
        <v>0</v>
      </c>
      <c r="Y58" s="338">
        <f t="shared" ca="1" si="38"/>
        <v>0</v>
      </c>
      <c r="Z58" s="338">
        <f t="shared" ca="1" si="38"/>
        <v>0</v>
      </c>
      <c r="AA58" s="338">
        <f t="shared" ca="1" si="38"/>
        <v>0</v>
      </c>
      <c r="AB58" s="338">
        <f t="shared" ca="1" si="38"/>
        <v>0</v>
      </c>
    </row>
    <row r="59" spans="1:28" s="77" customFormat="1" outlineLevel="1">
      <c r="A59"/>
      <c r="B59" t="str">
        <f t="shared" si="31"/>
        <v>Capex 9</v>
      </c>
      <c r="C59"/>
      <c r="D59"/>
      <c r="E59"/>
      <c r="F59"/>
      <c r="G59" s="144">
        <v>1</v>
      </c>
      <c r="H59" s="338">
        <f t="shared" ca="1" si="29"/>
        <v>0</v>
      </c>
      <c r="I59" s="338">
        <f t="shared" ca="1" si="29"/>
        <v>0</v>
      </c>
      <c r="J59" s="338">
        <f t="shared" ref="J59:AB59" ca="1" si="39">SUM(OFFSET(J45,0,IF(J$6&gt;$G59,-$G59,-J$6),1,IF(J$6&gt;$G59,$G59,J$6)))*(1/$G59)</f>
        <v>0</v>
      </c>
      <c r="K59" s="338">
        <f t="shared" ca="1" si="39"/>
        <v>0</v>
      </c>
      <c r="L59" s="338">
        <f t="shared" ca="1" si="39"/>
        <v>0</v>
      </c>
      <c r="M59" s="338">
        <f t="shared" ca="1" si="39"/>
        <v>0</v>
      </c>
      <c r="N59" s="338">
        <f t="shared" ca="1" si="39"/>
        <v>0</v>
      </c>
      <c r="O59" s="338">
        <f t="shared" ca="1" si="39"/>
        <v>0</v>
      </c>
      <c r="P59" s="338">
        <f t="shared" ca="1" si="39"/>
        <v>0</v>
      </c>
      <c r="Q59" s="338">
        <f t="shared" ca="1" si="39"/>
        <v>0</v>
      </c>
      <c r="R59" s="338">
        <f t="shared" ca="1" si="39"/>
        <v>0</v>
      </c>
      <c r="S59" s="338">
        <f t="shared" ca="1" si="39"/>
        <v>0</v>
      </c>
      <c r="T59" s="338">
        <f t="shared" ca="1" si="39"/>
        <v>0</v>
      </c>
      <c r="U59" s="338">
        <f t="shared" ca="1" si="39"/>
        <v>0</v>
      </c>
      <c r="V59" s="338">
        <f t="shared" ca="1" si="39"/>
        <v>0</v>
      </c>
      <c r="W59" s="338">
        <f t="shared" ca="1" si="39"/>
        <v>0</v>
      </c>
      <c r="X59" s="338">
        <f t="shared" ca="1" si="39"/>
        <v>0</v>
      </c>
      <c r="Y59" s="338">
        <f t="shared" ca="1" si="39"/>
        <v>0</v>
      </c>
      <c r="Z59" s="338">
        <f t="shared" ca="1" si="39"/>
        <v>0</v>
      </c>
      <c r="AA59" s="338">
        <f t="shared" ca="1" si="39"/>
        <v>0</v>
      </c>
      <c r="AB59" s="338">
        <f t="shared" ca="1" si="39"/>
        <v>0</v>
      </c>
    </row>
    <row r="60" spans="1:28" s="77" customFormat="1" outlineLevel="1">
      <c r="A60"/>
      <c r="B60" t="str">
        <f t="shared" si="31"/>
        <v>Capex 10</v>
      </c>
      <c r="C60"/>
      <c r="D60"/>
      <c r="E60"/>
      <c r="F60"/>
      <c r="G60" s="144">
        <v>1</v>
      </c>
      <c r="H60" s="338">
        <f t="shared" ca="1" si="29"/>
        <v>0</v>
      </c>
      <c r="I60" s="338">
        <f t="shared" ca="1" si="29"/>
        <v>0</v>
      </c>
      <c r="J60" s="338">
        <f t="shared" ref="J60:AB60" ca="1" si="40">SUM(OFFSET(J46,0,IF(J$6&gt;$G60,-$G60,-J$6),1,IF(J$6&gt;$G60,$G60,J$6)))*(1/$G60)</f>
        <v>0</v>
      </c>
      <c r="K60" s="338">
        <f t="shared" ca="1" si="40"/>
        <v>0</v>
      </c>
      <c r="L60" s="338">
        <f t="shared" ca="1" si="40"/>
        <v>0</v>
      </c>
      <c r="M60" s="338">
        <f t="shared" ca="1" si="40"/>
        <v>0</v>
      </c>
      <c r="N60" s="338">
        <f t="shared" ca="1" si="40"/>
        <v>0</v>
      </c>
      <c r="O60" s="338">
        <f t="shared" ca="1" si="40"/>
        <v>0</v>
      </c>
      <c r="P60" s="338">
        <f t="shared" ca="1" si="40"/>
        <v>0</v>
      </c>
      <c r="Q60" s="338">
        <f t="shared" ca="1" si="40"/>
        <v>0</v>
      </c>
      <c r="R60" s="338">
        <f t="shared" ca="1" si="40"/>
        <v>0</v>
      </c>
      <c r="S60" s="338">
        <f t="shared" ca="1" si="40"/>
        <v>0</v>
      </c>
      <c r="T60" s="338">
        <f t="shared" ca="1" si="40"/>
        <v>0</v>
      </c>
      <c r="U60" s="338">
        <f t="shared" ca="1" si="40"/>
        <v>0</v>
      </c>
      <c r="V60" s="338">
        <f t="shared" ca="1" si="40"/>
        <v>0</v>
      </c>
      <c r="W60" s="338">
        <f t="shared" ca="1" si="40"/>
        <v>0</v>
      </c>
      <c r="X60" s="338">
        <f t="shared" ca="1" si="40"/>
        <v>0</v>
      </c>
      <c r="Y60" s="338">
        <f t="shared" ca="1" si="40"/>
        <v>0</v>
      </c>
      <c r="Z60" s="338">
        <f t="shared" ca="1" si="40"/>
        <v>0</v>
      </c>
      <c r="AA60" s="338">
        <f t="shared" ca="1" si="40"/>
        <v>0</v>
      </c>
      <c r="AB60" s="338">
        <f t="shared" ca="1" si="40"/>
        <v>0</v>
      </c>
    </row>
    <row r="61" spans="1:28" s="77" customFormat="1" outlineLevel="1">
      <c r="A61"/>
      <c r="B61" t="str">
        <f t="shared" si="31"/>
        <v>Capex 11</v>
      </c>
      <c r="C61"/>
      <c r="D61"/>
      <c r="E61"/>
      <c r="F61"/>
      <c r="G61" s="144">
        <v>1</v>
      </c>
      <c r="H61" s="338">
        <f t="shared" ref="H61:AB61" ca="1" si="41">SUM(OFFSET(H47,0,IF(H$6&gt;$G61,-$G61,-H$6),1,IF(H$6&gt;$G61,$G61,H$6)))*(1/$G61)</f>
        <v>0</v>
      </c>
      <c r="I61" s="338">
        <f t="shared" ca="1" si="41"/>
        <v>0</v>
      </c>
      <c r="J61" s="338">
        <f t="shared" ca="1" si="41"/>
        <v>0</v>
      </c>
      <c r="K61" s="338">
        <f t="shared" ca="1" si="41"/>
        <v>0</v>
      </c>
      <c r="L61" s="338">
        <f t="shared" ca="1" si="41"/>
        <v>0</v>
      </c>
      <c r="M61" s="338">
        <f t="shared" ca="1" si="41"/>
        <v>0</v>
      </c>
      <c r="N61" s="338">
        <f t="shared" ca="1" si="41"/>
        <v>0</v>
      </c>
      <c r="O61" s="338">
        <f t="shared" ca="1" si="41"/>
        <v>0</v>
      </c>
      <c r="P61" s="338">
        <f t="shared" ca="1" si="41"/>
        <v>0</v>
      </c>
      <c r="Q61" s="338">
        <f t="shared" ca="1" si="41"/>
        <v>0</v>
      </c>
      <c r="R61" s="338">
        <f t="shared" ca="1" si="41"/>
        <v>0</v>
      </c>
      <c r="S61" s="338">
        <f t="shared" ca="1" si="41"/>
        <v>0</v>
      </c>
      <c r="T61" s="338">
        <f t="shared" ca="1" si="41"/>
        <v>0</v>
      </c>
      <c r="U61" s="338">
        <f t="shared" ca="1" si="41"/>
        <v>0</v>
      </c>
      <c r="V61" s="338">
        <f t="shared" ca="1" si="41"/>
        <v>0</v>
      </c>
      <c r="W61" s="338">
        <f t="shared" ca="1" si="41"/>
        <v>0</v>
      </c>
      <c r="X61" s="338">
        <f t="shared" ca="1" si="41"/>
        <v>0</v>
      </c>
      <c r="Y61" s="338">
        <f t="shared" ca="1" si="41"/>
        <v>0</v>
      </c>
      <c r="Z61" s="338">
        <f t="shared" ca="1" si="41"/>
        <v>0</v>
      </c>
      <c r="AA61" s="338">
        <f t="shared" ca="1" si="41"/>
        <v>0</v>
      </c>
      <c r="AB61" s="338">
        <f t="shared" ca="1" si="41"/>
        <v>0</v>
      </c>
    </row>
    <row r="62" spans="1:28" s="77" customFormat="1" outlineLevel="1">
      <c r="A62"/>
      <c r="B62" s="2"/>
      <c r="C62"/>
      <c r="D62"/>
      <c r="E62"/>
      <c r="F62"/>
      <c r="G62" s="85"/>
    </row>
    <row r="63" spans="1:28" s="77" customFormat="1" outlineLevel="1">
      <c r="A63"/>
      <c r="B63" s="28" t="s">
        <v>365</v>
      </c>
      <c r="C63" s="26"/>
      <c r="D63" s="26"/>
      <c r="E63" s="26"/>
      <c r="F63" s="66"/>
      <c r="G63" s="45" t="s">
        <v>363</v>
      </c>
      <c r="H63" s="111"/>
      <c r="I63" s="111"/>
      <c r="J63" s="111"/>
      <c r="K63" s="111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</row>
    <row r="64" spans="1:28" s="77" customFormat="1" outlineLevel="1">
      <c r="A64"/>
      <c r="B64" s="2"/>
      <c r="C64"/>
      <c r="D64"/>
      <c r="E64"/>
      <c r="F64" s="6"/>
      <c r="G64" s="143"/>
      <c r="H64" s="452">
        <v>0.85964781072594298</v>
      </c>
      <c r="I64" s="339">
        <f>SUM(H65:O65)-G65</f>
        <v>224042.80000000002</v>
      </c>
      <c r="J64" s="339"/>
      <c r="K64" s="339"/>
      <c r="L64" s="110"/>
      <c r="M64" s="110"/>
      <c r="N64" s="110"/>
      <c r="O64" s="110"/>
      <c r="P64" s="110"/>
      <c r="Q64" s="110"/>
      <c r="R64" s="444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</row>
    <row r="65" spans="1:28" s="77" customFormat="1" outlineLevel="1">
      <c r="A65"/>
      <c r="B65" t="str">
        <f>B51</f>
        <v>Terrenos</v>
      </c>
      <c r="C65"/>
      <c r="D65"/>
      <c r="E65"/>
      <c r="F65" s="29">
        <f>'Balance Sheet'!I37+'Balance Sheet'!I39+'Balance Sheet'!I38</f>
        <v>280066</v>
      </c>
      <c r="G65" s="144">
        <v>10</v>
      </c>
      <c r="H65" s="338">
        <f>F65/G65</f>
        <v>28006.6</v>
      </c>
      <c r="I65" s="338">
        <f>H65</f>
        <v>28006.6</v>
      </c>
      <c r="J65" s="338">
        <f>I65</f>
        <v>28006.6</v>
      </c>
      <c r="K65" s="338">
        <f t="shared" ref="K65:S65" si="42">J65</f>
        <v>28006.6</v>
      </c>
      <c r="L65" s="338">
        <f t="shared" si="42"/>
        <v>28006.6</v>
      </c>
      <c r="M65" s="338">
        <f t="shared" si="42"/>
        <v>28006.6</v>
      </c>
      <c r="N65" s="338">
        <f t="shared" si="42"/>
        <v>28006.6</v>
      </c>
      <c r="O65" s="338">
        <f t="shared" si="42"/>
        <v>28006.6</v>
      </c>
      <c r="P65" s="338">
        <f t="shared" si="42"/>
        <v>28006.6</v>
      </c>
      <c r="Q65" s="338">
        <f t="shared" si="42"/>
        <v>28006.6</v>
      </c>
      <c r="R65" s="338">
        <f t="shared" si="42"/>
        <v>28006.6</v>
      </c>
      <c r="S65" s="338">
        <f t="shared" si="42"/>
        <v>28006.6</v>
      </c>
      <c r="T65" s="338"/>
      <c r="U65" s="338"/>
      <c r="V65" s="551"/>
      <c r="W65" s="338">
        <v>0</v>
      </c>
      <c r="X65" s="338">
        <v>0</v>
      </c>
      <c r="Y65" s="338">
        <v>0</v>
      </c>
      <c r="Z65" s="338">
        <v>0</v>
      </c>
      <c r="AA65" s="338">
        <v>0</v>
      </c>
      <c r="AB65" s="338">
        <v>0</v>
      </c>
    </row>
    <row r="66" spans="1:28" s="77" customFormat="1" outlineLevel="1">
      <c r="A66"/>
      <c r="B66" t="str">
        <f t="shared" ref="B66:B75" si="43">B52</f>
        <v>Edificações</v>
      </c>
      <c r="C66"/>
      <c r="D66"/>
      <c r="E66"/>
      <c r="F66"/>
      <c r="G66" s="144">
        <v>0</v>
      </c>
      <c r="H66" s="338"/>
      <c r="I66" s="338"/>
      <c r="J66" s="338"/>
      <c r="K66" s="338"/>
      <c r="L66" s="338"/>
      <c r="M66" s="338"/>
      <c r="N66" s="338"/>
      <c r="O66" s="338"/>
      <c r="P66" s="338"/>
      <c r="Q66" s="338"/>
      <c r="R66" s="338"/>
      <c r="S66" s="338"/>
      <c r="T66" s="338"/>
      <c r="U66" s="338"/>
      <c r="V66" s="338"/>
      <c r="W66" s="338"/>
      <c r="X66" s="338"/>
      <c r="Y66" s="338"/>
      <c r="Z66" s="338"/>
      <c r="AA66" s="338"/>
      <c r="AB66" s="338"/>
    </row>
    <row r="67" spans="1:28" s="77" customFormat="1" outlineLevel="1">
      <c r="A67"/>
      <c r="B67" t="str">
        <f t="shared" si="43"/>
        <v>Veículos</v>
      </c>
      <c r="C67"/>
      <c r="D67"/>
      <c r="E67"/>
      <c r="F67"/>
      <c r="G67" s="144">
        <v>0</v>
      </c>
      <c r="H67" s="338"/>
      <c r="I67" s="338"/>
      <c r="J67" s="338"/>
      <c r="K67" s="338"/>
      <c r="L67" s="338"/>
      <c r="M67" s="338"/>
      <c r="N67" s="338"/>
      <c r="O67" s="338"/>
      <c r="P67" s="338"/>
      <c r="Q67" s="338"/>
      <c r="R67" s="338"/>
      <c r="S67" s="338"/>
      <c r="T67" s="338"/>
      <c r="U67" s="338"/>
      <c r="V67" s="338"/>
      <c r="W67" s="338"/>
      <c r="X67" s="338"/>
      <c r="Y67" s="338"/>
      <c r="Z67" s="338"/>
      <c r="AA67" s="338"/>
      <c r="AB67" s="338"/>
    </row>
    <row r="68" spans="1:28" s="77" customFormat="1" outlineLevel="1">
      <c r="A68"/>
      <c r="B68" t="str">
        <f t="shared" si="43"/>
        <v>Máquinas e Equipamentos</v>
      </c>
      <c r="C68"/>
      <c r="D68"/>
      <c r="E68"/>
      <c r="F68"/>
      <c r="G68" s="144">
        <v>0</v>
      </c>
      <c r="H68" s="338"/>
      <c r="I68" s="338"/>
      <c r="J68" s="338"/>
      <c r="K68" s="338"/>
      <c r="L68" s="338"/>
      <c r="M68" s="338"/>
      <c r="N68" s="338"/>
      <c r="O68" s="338"/>
      <c r="P68" s="338"/>
      <c r="Q68" s="338"/>
      <c r="R68" s="338"/>
      <c r="S68" s="338"/>
      <c r="T68" s="338"/>
      <c r="U68" s="338"/>
      <c r="V68" s="338"/>
      <c r="W68" s="338"/>
      <c r="X68" s="338"/>
      <c r="Y68" s="338"/>
      <c r="Z68" s="338"/>
      <c r="AA68" s="338"/>
      <c r="AB68" s="338"/>
    </row>
    <row r="69" spans="1:28" s="77" customFormat="1" outlineLevel="1">
      <c r="A69"/>
      <c r="B69" t="str">
        <f t="shared" si="43"/>
        <v>Outros</v>
      </c>
      <c r="C69"/>
      <c r="D69"/>
      <c r="E69"/>
      <c r="F69"/>
      <c r="G69" s="144">
        <v>0</v>
      </c>
      <c r="H69" s="338"/>
      <c r="I69" s="338"/>
      <c r="J69" s="338"/>
      <c r="K69" s="338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38"/>
      <c r="AA69" s="338"/>
      <c r="AB69" s="338"/>
    </row>
    <row r="70" spans="1:28" s="77" customFormat="1" outlineLevel="1">
      <c r="A70"/>
      <c r="B70" t="str">
        <f t="shared" si="43"/>
        <v>Centro distribuição</v>
      </c>
      <c r="C70"/>
      <c r="D70"/>
      <c r="E70"/>
      <c r="F70"/>
      <c r="G70" s="144">
        <v>0</v>
      </c>
      <c r="H70" s="338"/>
      <c r="I70" s="338"/>
      <c r="J70" s="338"/>
      <c r="K70" s="338"/>
      <c r="L70" s="338"/>
      <c r="M70" s="338"/>
      <c r="N70" s="338"/>
      <c r="O70" s="338"/>
      <c r="P70" s="338"/>
      <c r="Q70" s="338"/>
      <c r="R70" s="338"/>
      <c r="S70" s="338"/>
      <c r="T70" s="338"/>
      <c r="U70" s="338"/>
      <c r="V70" s="338"/>
      <c r="W70" s="338"/>
      <c r="X70" s="338"/>
      <c r="Y70" s="338"/>
      <c r="Z70" s="338"/>
      <c r="AA70" s="338"/>
      <c r="AB70" s="338"/>
    </row>
    <row r="71" spans="1:28" s="77" customFormat="1" outlineLevel="1">
      <c r="A71"/>
      <c r="B71" t="str">
        <f t="shared" si="43"/>
        <v>Capex 7</v>
      </c>
      <c r="C71"/>
      <c r="D71"/>
      <c r="E71"/>
      <c r="F71"/>
      <c r="G71" s="144">
        <v>0</v>
      </c>
      <c r="H71" s="338"/>
      <c r="I71" s="338"/>
      <c r="J71" s="338"/>
      <c r="K71" s="338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V71" s="338"/>
      <c r="W71" s="338"/>
      <c r="X71" s="338"/>
      <c r="Y71" s="338"/>
      <c r="Z71" s="338"/>
      <c r="AA71" s="338"/>
      <c r="AB71" s="338"/>
    </row>
    <row r="72" spans="1:28" s="77" customFormat="1" outlineLevel="1">
      <c r="A72"/>
      <c r="B72" t="str">
        <f t="shared" si="43"/>
        <v>Capex 8</v>
      </c>
      <c r="C72"/>
      <c r="D72"/>
      <c r="E72"/>
      <c r="F72"/>
      <c r="G72" s="144">
        <v>0</v>
      </c>
      <c r="H72" s="338"/>
      <c r="I72" s="338"/>
      <c r="J72" s="338"/>
      <c r="K72" s="338"/>
      <c r="L72" s="338"/>
      <c r="M72" s="338"/>
      <c r="N72" s="338"/>
      <c r="O72" s="338"/>
      <c r="P72" s="338"/>
      <c r="Q72" s="338"/>
      <c r="R72" s="338"/>
      <c r="S72" s="338"/>
      <c r="T72" s="338"/>
      <c r="U72" s="338"/>
      <c r="V72" s="338"/>
      <c r="W72" s="338"/>
      <c r="X72" s="338"/>
      <c r="Y72" s="338"/>
      <c r="Z72" s="338"/>
      <c r="AA72" s="338"/>
      <c r="AB72" s="338"/>
    </row>
    <row r="73" spans="1:28" s="77" customFormat="1" outlineLevel="1">
      <c r="A73"/>
      <c r="B73" t="str">
        <f t="shared" si="43"/>
        <v>Capex 9</v>
      </c>
      <c r="C73"/>
      <c r="D73"/>
      <c r="E73"/>
      <c r="F73"/>
      <c r="G73" s="144">
        <v>0</v>
      </c>
      <c r="H73" s="338"/>
      <c r="I73" s="338"/>
      <c r="J73" s="338"/>
      <c r="K73" s="338"/>
      <c r="L73" s="338"/>
      <c r="M73" s="338"/>
      <c r="N73" s="338"/>
      <c r="O73" s="338"/>
      <c r="P73" s="338"/>
      <c r="Q73" s="338"/>
      <c r="R73" s="338"/>
      <c r="S73" s="338"/>
      <c r="T73" s="338"/>
      <c r="U73" s="338"/>
      <c r="V73" s="338"/>
      <c r="W73" s="338"/>
      <c r="X73" s="338"/>
      <c r="Y73" s="338"/>
      <c r="Z73" s="338"/>
      <c r="AA73" s="338"/>
      <c r="AB73" s="338"/>
    </row>
    <row r="74" spans="1:28" s="77" customFormat="1" outlineLevel="1">
      <c r="A74"/>
      <c r="B74" t="str">
        <f t="shared" si="43"/>
        <v>Capex 10</v>
      </c>
      <c r="C74"/>
      <c r="D74"/>
      <c r="E74"/>
      <c r="F74"/>
      <c r="G74" s="144">
        <v>0</v>
      </c>
      <c r="H74" s="338"/>
      <c r="I74" s="338"/>
      <c r="J74" s="338"/>
      <c r="K74" s="338"/>
      <c r="L74" s="338"/>
      <c r="M74" s="338"/>
      <c r="N74" s="338"/>
      <c r="O74" s="338"/>
      <c r="P74" s="338"/>
      <c r="Q74" s="338"/>
      <c r="R74" s="338"/>
      <c r="S74" s="338"/>
      <c r="T74" s="338"/>
      <c r="U74" s="338"/>
      <c r="V74" s="338"/>
      <c r="W74" s="338"/>
      <c r="X74" s="338"/>
      <c r="Y74" s="338"/>
      <c r="Z74" s="338"/>
      <c r="AA74" s="338"/>
      <c r="AB74" s="338"/>
    </row>
    <row r="75" spans="1:28" s="77" customFormat="1" outlineLevel="1">
      <c r="A75"/>
      <c r="B75" t="str">
        <f t="shared" si="43"/>
        <v>Capex 11</v>
      </c>
      <c r="C75"/>
      <c r="D75"/>
      <c r="E75"/>
      <c r="F75"/>
      <c r="G75" s="144">
        <v>0</v>
      </c>
      <c r="H75" s="338"/>
      <c r="I75" s="338"/>
      <c r="J75" s="338"/>
      <c r="K75" s="338"/>
      <c r="L75" s="338"/>
      <c r="M75" s="338"/>
      <c r="N75" s="338"/>
      <c r="O75" s="338"/>
      <c r="P75" s="338"/>
      <c r="Q75" s="338"/>
      <c r="R75" s="338"/>
      <c r="S75" s="338"/>
      <c r="T75" s="338"/>
      <c r="U75" s="338"/>
      <c r="V75" s="338"/>
      <c r="W75" s="338"/>
      <c r="X75" s="338"/>
      <c r="Y75" s="338"/>
      <c r="Z75" s="338"/>
      <c r="AA75" s="338"/>
      <c r="AB75" s="338"/>
    </row>
    <row r="76" spans="1:28" s="77" customFormat="1">
      <c r="A76"/>
      <c r="B76" s="25"/>
      <c r="C76"/>
      <c r="D76"/>
      <c r="E76"/>
      <c r="F76"/>
      <c r="G76" s="85"/>
      <c r="H76" s="110"/>
      <c r="I76" s="110">
        <f>50298-39492</f>
        <v>10806</v>
      </c>
      <c r="J76" s="110">
        <f>56550-48555</f>
        <v>7995</v>
      </c>
      <c r="K76" s="110">
        <f>52346-52264</f>
        <v>82</v>
      </c>
      <c r="L76" s="110"/>
      <c r="M76" s="110"/>
      <c r="N76" s="110"/>
      <c r="O76" s="110"/>
      <c r="P76" s="110"/>
      <c r="Q76" s="110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</row>
    <row r="77" spans="1:28" s="77" customFormat="1">
      <c r="A77"/>
      <c r="B77" s="28" t="s">
        <v>366</v>
      </c>
      <c r="C77" s="26"/>
      <c r="D77" s="26"/>
      <c r="E77" s="26"/>
      <c r="F77" s="66"/>
      <c r="G77" s="45" t="s">
        <v>363</v>
      </c>
      <c r="H77" s="340">
        <f ca="1">SUM(H79:H89)</f>
        <v>28006.6</v>
      </c>
      <c r="I77" s="340">
        <f ca="1">SUM(I79:I89)</f>
        <v>47863.742857142854</v>
      </c>
      <c r="J77" s="340">
        <f ca="1">SUM(J79:J89)</f>
        <v>63272.848979591829</v>
      </c>
      <c r="K77" s="340">
        <f t="shared" ref="K77:AB77" ca="1" si="44">SUM(K79:K89)</f>
        <v>72311.827405247808</v>
      </c>
      <c r="L77" s="340">
        <f t="shared" ca="1" si="44"/>
        <v>82642.088463140361</v>
      </c>
      <c r="M77" s="340">
        <f t="shared" ca="1" si="44"/>
        <v>94448.101100731845</v>
      </c>
      <c r="N77" s="340">
        <f t="shared" ca="1" si="44"/>
        <v>107940.68697226496</v>
      </c>
      <c r="O77" s="340">
        <f t="shared" ca="1" si="44"/>
        <v>123360.78511115996</v>
      </c>
      <c r="P77" s="340">
        <f t="shared" ca="1" si="44"/>
        <v>121126.61155561139</v>
      </c>
      <c r="Q77" s="340">
        <f t="shared" ca="1" si="44"/>
        <v>123021.30708396403</v>
      </c>
      <c r="R77" s="340">
        <f t="shared" ca="1" si="44"/>
        <v>131556.80109887433</v>
      </c>
      <c r="S77" s="340">
        <f t="shared" ca="1" si="44"/>
        <v>140020.3687693924</v>
      </c>
      <c r="T77" s="340">
        <f t="shared" ca="1" si="44"/>
        <v>120210.66595599982</v>
      </c>
      <c r="U77" s="340">
        <f t="shared" ca="1" si="44"/>
        <v>123891.03236389525</v>
      </c>
      <c r="V77" s="340">
        <f t="shared" ca="1" si="44"/>
        <v>126169.65313412815</v>
      </c>
      <c r="W77" s="340">
        <f t="shared" ca="1" si="44"/>
        <v>126570.9199945522</v>
      </c>
      <c r="X77" s="340">
        <f t="shared" ca="1" si="44"/>
        <v>127348.67834297231</v>
      </c>
      <c r="Y77" s="340">
        <f t="shared" ca="1" si="44"/>
        <v>127966.87423711634</v>
      </c>
      <c r="Z77" s="340">
        <f t="shared" ca="1" si="44"/>
        <v>127454.02754257948</v>
      </c>
      <c r="AA77" s="340">
        <f t="shared" ca="1" si="44"/>
        <v>125658.83593874906</v>
      </c>
      <c r="AB77" s="340">
        <f t="shared" ca="1" si="44"/>
        <v>126437.14593628468</v>
      </c>
    </row>
    <row r="78" spans="1:28" s="77" customFormat="1">
      <c r="A78"/>
      <c r="B78" s="2"/>
      <c r="C78"/>
      <c r="D78"/>
      <c r="E78"/>
      <c r="F78" s="6"/>
      <c r="G78" s="143"/>
      <c r="H78" s="339"/>
      <c r="I78" s="339"/>
      <c r="J78" s="339"/>
      <c r="K78" s="339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</row>
    <row r="79" spans="1:28" s="77" customFormat="1">
      <c r="A79"/>
      <c r="B79" t="str">
        <f>B65</f>
        <v>Terrenos</v>
      </c>
      <c r="C79"/>
      <c r="D79"/>
      <c r="E79"/>
      <c r="F79"/>
      <c r="G79" s="144"/>
      <c r="H79" s="338">
        <f ca="1">H65+H51</f>
        <v>28006.6</v>
      </c>
      <c r="I79" s="338">
        <f ca="1">I65+I51</f>
        <v>47863.742857142854</v>
      </c>
      <c r="J79" s="338">
        <f ca="1">J65+J51</f>
        <v>63272.848979591829</v>
      </c>
      <c r="K79" s="338">
        <f t="shared" ref="I79:AB89" ca="1" si="45">K65+K51</f>
        <v>72311.827405247808</v>
      </c>
      <c r="L79" s="338">
        <f t="shared" ca="1" si="45"/>
        <v>82642.088463140361</v>
      </c>
      <c r="M79" s="338">
        <f t="shared" ca="1" si="45"/>
        <v>94448.101100731845</v>
      </c>
      <c r="N79" s="338">
        <f t="shared" ca="1" si="45"/>
        <v>107940.68697226496</v>
      </c>
      <c r="O79" s="338">
        <f t="shared" ca="1" si="45"/>
        <v>123360.78511115996</v>
      </c>
      <c r="P79" s="338">
        <f t="shared" ca="1" si="45"/>
        <v>121126.61155561139</v>
      </c>
      <c r="Q79" s="338">
        <f t="shared" ca="1" si="45"/>
        <v>123021.30708396403</v>
      </c>
      <c r="R79" s="338">
        <f t="shared" ca="1" si="45"/>
        <v>131556.80109887433</v>
      </c>
      <c r="S79" s="338">
        <f t="shared" ca="1" si="45"/>
        <v>140020.3687693924</v>
      </c>
      <c r="T79" s="338">
        <f t="shared" ca="1" si="45"/>
        <v>120210.66595599982</v>
      </c>
      <c r="U79" s="338">
        <f t="shared" ca="1" si="45"/>
        <v>123891.03236389525</v>
      </c>
      <c r="V79" s="338">
        <f t="shared" ca="1" si="45"/>
        <v>126169.65313412815</v>
      </c>
      <c r="W79" s="338">
        <f t="shared" ca="1" si="45"/>
        <v>126570.9199945522</v>
      </c>
      <c r="X79" s="338">
        <f t="shared" ca="1" si="45"/>
        <v>127348.67834297231</v>
      </c>
      <c r="Y79" s="338">
        <f t="shared" ca="1" si="45"/>
        <v>127966.87423711634</v>
      </c>
      <c r="Z79" s="338">
        <f t="shared" ca="1" si="45"/>
        <v>127454.02754257948</v>
      </c>
      <c r="AA79" s="338">
        <f t="shared" ca="1" si="45"/>
        <v>125658.83593874906</v>
      </c>
      <c r="AB79" s="338">
        <f t="shared" ca="1" si="45"/>
        <v>126437.14593628468</v>
      </c>
    </row>
    <row r="80" spans="1:28" s="77" customFormat="1">
      <c r="A80"/>
      <c r="B80" t="str">
        <f t="shared" ref="B80:B89" si="46">B66</f>
        <v>Edificações</v>
      </c>
      <c r="C80"/>
      <c r="D80"/>
      <c r="E80"/>
      <c r="F80"/>
      <c r="G80" s="144"/>
      <c r="H80" s="338">
        <f t="shared" ref="H80:H89" ca="1" si="47">H66+H52</f>
        <v>0</v>
      </c>
      <c r="I80" s="338">
        <f t="shared" ref="I80:W80" ca="1" si="48">I66+I52</f>
        <v>0</v>
      </c>
      <c r="J80" s="338">
        <f t="shared" ca="1" si="48"/>
        <v>0</v>
      </c>
      <c r="K80" s="338">
        <f t="shared" ca="1" si="48"/>
        <v>0</v>
      </c>
      <c r="L80" s="338">
        <f t="shared" ca="1" si="48"/>
        <v>0</v>
      </c>
      <c r="M80" s="338">
        <f t="shared" ca="1" si="48"/>
        <v>0</v>
      </c>
      <c r="N80" s="338">
        <f t="shared" ca="1" si="48"/>
        <v>0</v>
      </c>
      <c r="O80" s="338">
        <f t="shared" ca="1" si="48"/>
        <v>0</v>
      </c>
      <c r="P80" s="338">
        <f t="shared" ca="1" si="48"/>
        <v>0</v>
      </c>
      <c r="Q80" s="338">
        <f t="shared" ca="1" si="48"/>
        <v>0</v>
      </c>
      <c r="R80" s="338">
        <f t="shared" ca="1" si="48"/>
        <v>0</v>
      </c>
      <c r="S80" s="338">
        <f t="shared" ca="1" si="48"/>
        <v>0</v>
      </c>
      <c r="T80" s="338">
        <f t="shared" ca="1" si="48"/>
        <v>0</v>
      </c>
      <c r="U80" s="338">
        <f t="shared" ca="1" si="48"/>
        <v>0</v>
      </c>
      <c r="V80" s="338">
        <f t="shared" ca="1" si="48"/>
        <v>0</v>
      </c>
      <c r="W80" s="338">
        <f t="shared" ca="1" si="48"/>
        <v>0</v>
      </c>
      <c r="X80" s="338">
        <f t="shared" ca="1" si="45"/>
        <v>0</v>
      </c>
      <c r="Y80" s="338">
        <f t="shared" ca="1" si="45"/>
        <v>0</v>
      </c>
      <c r="Z80" s="338">
        <f t="shared" ca="1" si="45"/>
        <v>0</v>
      </c>
      <c r="AA80" s="338">
        <f t="shared" ca="1" si="45"/>
        <v>0</v>
      </c>
      <c r="AB80" s="338">
        <f t="shared" ca="1" si="45"/>
        <v>0</v>
      </c>
    </row>
    <row r="81" spans="1:28" s="77" customFormat="1">
      <c r="A81"/>
      <c r="B81" t="str">
        <f t="shared" si="46"/>
        <v>Veículos</v>
      </c>
      <c r="C81"/>
      <c r="D81"/>
      <c r="E81"/>
      <c r="F81"/>
      <c r="G81" s="144"/>
      <c r="H81" s="338">
        <f t="shared" ca="1" si="47"/>
        <v>0</v>
      </c>
      <c r="I81" s="338">
        <f t="shared" ca="1" si="45"/>
        <v>0</v>
      </c>
      <c r="J81" s="338">
        <f t="shared" ca="1" si="45"/>
        <v>0</v>
      </c>
      <c r="K81" s="338">
        <f t="shared" ca="1" si="45"/>
        <v>0</v>
      </c>
      <c r="L81" s="338">
        <f t="shared" ca="1" si="45"/>
        <v>0</v>
      </c>
      <c r="M81" s="338">
        <f t="shared" ca="1" si="45"/>
        <v>0</v>
      </c>
      <c r="N81" s="338">
        <f t="shared" ca="1" si="45"/>
        <v>0</v>
      </c>
      <c r="O81" s="338">
        <f t="shared" ca="1" si="45"/>
        <v>0</v>
      </c>
      <c r="P81" s="338">
        <f t="shared" ca="1" si="45"/>
        <v>0</v>
      </c>
      <c r="Q81" s="338">
        <f t="shared" ca="1" si="45"/>
        <v>0</v>
      </c>
      <c r="R81" s="338">
        <f t="shared" ca="1" si="45"/>
        <v>0</v>
      </c>
      <c r="S81" s="338">
        <f t="shared" ca="1" si="45"/>
        <v>0</v>
      </c>
      <c r="T81" s="338">
        <f t="shared" ca="1" si="45"/>
        <v>0</v>
      </c>
      <c r="U81" s="338">
        <f t="shared" ca="1" si="45"/>
        <v>0</v>
      </c>
      <c r="V81" s="338">
        <f t="shared" ca="1" si="45"/>
        <v>0</v>
      </c>
      <c r="W81" s="338">
        <f t="shared" ca="1" si="45"/>
        <v>0</v>
      </c>
      <c r="X81" s="338">
        <f t="shared" ca="1" si="45"/>
        <v>0</v>
      </c>
      <c r="Y81" s="338">
        <f t="shared" ca="1" si="45"/>
        <v>0</v>
      </c>
      <c r="Z81" s="338">
        <f t="shared" ca="1" si="45"/>
        <v>0</v>
      </c>
      <c r="AA81" s="338">
        <f t="shared" ca="1" si="45"/>
        <v>0</v>
      </c>
      <c r="AB81" s="338">
        <f t="shared" ca="1" si="45"/>
        <v>0</v>
      </c>
    </row>
    <row r="82" spans="1:28" s="77" customFormat="1">
      <c r="A82"/>
      <c r="B82" t="str">
        <f t="shared" si="46"/>
        <v>Máquinas e Equipamentos</v>
      </c>
      <c r="C82"/>
      <c r="D82"/>
      <c r="E82"/>
      <c r="F82"/>
      <c r="G82" s="144"/>
      <c r="H82" s="338">
        <f t="shared" ca="1" si="47"/>
        <v>0</v>
      </c>
      <c r="I82" s="338">
        <f t="shared" ca="1" si="45"/>
        <v>0</v>
      </c>
      <c r="J82" s="338">
        <f t="shared" ca="1" si="45"/>
        <v>0</v>
      </c>
      <c r="K82" s="338">
        <f t="shared" ca="1" si="45"/>
        <v>0</v>
      </c>
      <c r="L82" s="338">
        <f t="shared" ca="1" si="45"/>
        <v>0</v>
      </c>
      <c r="M82" s="338">
        <f t="shared" ca="1" si="45"/>
        <v>0</v>
      </c>
      <c r="N82" s="338">
        <f t="shared" ca="1" si="45"/>
        <v>0</v>
      </c>
      <c r="O82" s="338">
        <f t="shared" ca="1" si="45"/>
        <v>0</v>
      </c>
      <c r="P82" s="338">
        <f t="shared" ca="1" si="45"/>
        <v>0</v>
      </c>
      <c r="Q82" s="338">
        <f t="shared" ca="1" si="45"/>
        <v>0</v>
      </c>
      <c r="R82" s="338">
        <f t="shared" ca="1" si="45"/>
        <v>0</v>
      </c>
      <c r="S82" s="338">
        <f t="shared" ca="1" si="45"/>
        <v>0</v>
      </c>
      <c r="T82" s="338">
        <f t="shared" ca="1" si="45"/>
        <v>0</v>
      </c>
      <c r="U82" s="338">
        <f t="shared" ca="1" si="45"/>
        <v>0</v>
      </c>
      <c r="V82" s="338">
        <f t="shared" ca="1" si="45"/>
        <v>0</v>
      </c>
      <c r="W82" s="338">
        <f t="shared" ca="1" si="45"/>
        <v>0</v>
      </c>
      <c r="X82" s="338">
        <f t="shared" ca="1" si="45"/>
        <v>0</v>
      </c>
      <c r="Y82" s="338">
        <f t="shared" ca="1" si="45"/>
        <v>0</v>
      </c>
      <c r="Z82" s="338">
        <f t="shared" ca="1" si="45"/>
        <v>0</v>
      </c>
      <c r="AA82" s="338">
        <f t="shared" ca="1" si="45"/>
        <v>0</v>
      </c>
      <c r="AB82" s="338">
        <f t="shared" ca="1" si="45"/>
        <v>0</v>
      </c>
    </row>
    <row r="83" spans="1:28" s="77" customFormat="1">
      <c r="A83"/>
      <c r="B83" t="str">
        <f t="shared" si="46"/>
        <v>Outros</v>
      </c>
      <c r="C83"/>
      <c r="D83"/>
      <c r="E83"/>
      <c r="F83"/>
      <c r="G83" s="144"/>
      <c r="H83" s="338">
        <f t="shared" ca="1" si="47"/>
        <v>0</v>
      </c>
      <c r="I83" s="338">
        <f t="shared" ca="1" si="45"/>
        <v>0</v>
      </c>
      <c r="J83" s="338">
        <f t="shared" ca="1" si="45"/>
        <v>0</v>
      </c>
      <c r="K83" s="338">
        <f t="shared" ca="1" si="45"/>
        <v>0</v>
      </c>
      <c r="L83" s="338">
        <f t="shared" ca="1" si="45"/>
        <v>0</v>
      </c>
      <c r="M83" s="338">
        <f t="shared" ca="1" si="45"/>
        <v>0</v>
      </c>
      <c r="N83" s="338">
        <f t="shared" ca="1" si="45"/>
        <v>0</v>
      </c>
      <c r="O83" s="338">
        <f t="shared" ca="1" si="45"/>
        <v>0</v>
      </c>
      <c r="P83" s="338">
        <f t="shared" ca="1" si="45"/>
        <v>0</v>
      </c>
      <c r="Q83" s="338">
        <f t="shared" ca="1" si="45"/>
        <v>0</v>
      </c>
      <c r="R83" s="338">
        <f t="shared" ca="1" si="45"/>
        <v>0</v>
      </c>
      <c r="S83" s="338">
        <f t="shared" ca="1" si="45"/>
        <v>0</v>
      </c>
      <c r="T83" s="338">
        <f t="shared" ca="1" si="45"/>
        <v>0</v>
      </c>
      <c r="U83" s="338">
        <f t="shared" ca="1" si="45"/>
        <v>0</v>
      </c>
      <c r="V83" s="338">
        <f t="shared" ca="1" si="45"/>
        <v>0</v>
      </c>
      <c r="W83" s="338">
        <f t="shared" ca="1" si="45"/>
        <v>0</v>
      </c>
      <c r="X83" s="338">
        <f t="shared" ca="1" si="45"/>
        <v>0</v>
      </c>
      <c r="Y83" s="338">
        <f t="shared" ca="1" si="45"/>
        <v>0</v>
      </c>
      <c r="Z83" s="338">
        <f t="shared" ca="1" si="45"/>
        <v>0</v>
      </c>
      <c r="AA83" s="338">
        <f t="shared" ca="1" si="45"/>
        <v>0</v>
      </c>
      <c r="AB83" s="338">
        <f t="shared" ca="1" si="45"/>
        <v>0</v>
      </c>
    </row>
    <row r="84" spans="1:28" s="77" customFormat="1">
      <c r="A84"/>
      <c r="B84" t="str">
        <f t="shared" si="46"/>
        <v>Centro distribuição</v>
      </c>
      <c r="C84"/>
      <c r="D84"/>
      <c r="E84"/>
      <c r="F84"/>
      <c r="G84" s="144"/>
      <c r="H84" s="338">
        <f t="shared" ca="1" si="47"/>
        <v>0</v>
      </c>
      <c r="I84" s="338">
        <f t="shared" ca="1" si="45"/>
        <v>0</v>
      </c>
      <c r="J84" s="338">
        <f t="shared" ca="1" si="45"/>
        <v>0</v>
      </c>
      <c r="K84" s="338">
        <f t="shared" ca="1" si="45"/>
        <v>0</v>
      </c>
      <c r="L84" s="338">
        <f t="shared" ca="1" si="45"/>
        <v>0</v>
      </c>
      <c r="M84" s="338">
        <f t="shared" ca="1" si="45"/>
        <v>0</v>
      </c>
      <c r="N84" s="338">
        <f t="shared" ca="1" si="45"/>
        <v>0</v>
      </c>
      <c r="O84" s="338">
        <f t="shared" ca="1" si="45"/>
        <v>0</v>
      </c>
      <c r="P84" s="338">
        <f t="shared" ca="1" si="45"/>
        <v>0</v>
      </c>
      <c r="Q84" s="338">
        <f t="shared" ca="1" si="45"/>
        <v>0</v>
      </c>
      <c r="R84" s="338">
        <f t="shared" ca="1" si="45"/>
        <v>0</v>
      </c>
      <c r="S84" s="338">
        <f t="shared" ca="1" si="45"/>
        <v>0</v>
      </c>
      <c r="T84" s="338">
        <f t="shared" ca="1" si="45"/>
        <v>0</v>
      </c>
      <c r="U84" s="338">
        <f t="shared" ca="1" si="45"/>
        <v>0</v>
      </c>
      <c r="V84" s="338">
        <f t="shared" ca="1" si="45"/>
        <v>0</v>
      </c>
      <c r="W84" s="338">
        <f t="shared" ca="1" si="45"/>
        <v>0</v>
      </c>
      <c r="X84" s="338">
        <f t="shared" ca="1" si="45"/>
        <v>0</v>
      </c>
      <c r="Y84" s="338">
        <f t="shared" ca="1" si="45"/>
        <v>0</v>
      </c>
      <c r="Z84" s="338">
        <f t="shared" ca="1" si="45"/>
        <v>0</v>
      </c>
      <c r="AA84" s="338">
        <f t="shared" ca="1" si="45"/>
        <v>0</v>
      </c>
      <c r="AB84" s="338">
        <f t="shared" ca="1" si="45"/>
        <v>0</v>
      </c>
    </row>
    <row r="85" spans="1:28" s="77" customFormat="1">
      <c r="A85"/>
      <c r="B85" t="str">
        <f t="shared" si="46"/>
        <v>Capex 7</v>
      </c>
      <c r="C85"/>
      <c r="D85"/>
      <c r="E85"/>
      <c r="F85"/>
      <c r="G85" s="144"/>
      <c r="H85" s="338">
        <f t="shared" ca="1" si="47"/>
        <v>0</v>
      </c>
      <c r="I85" s="338">
        <f t="shared" ca="1" si="45"/>
        <v>0</v>
      </c>
      <c r="J85" s="338">
        <f t="shared" ca="1" si="45"/>
        <v>0</v>
      </c>
      <c r="K85" s="338">
        <f t="shared" ca="1" si="45"/>
        <v>0</v>
      </c>
      <c r="L85" s="338">
        <f t="shared" ca="1" si="45"/>
        <v>0</v>
      </c>
      <c r="M85" s="338">
        <f t="shared" ca="1" si="45"/>
        <v>0</v>
      </c>
      <c r="N85" s="338">
        <f t="shared" ca="1" si="45"/>
        <v>0</v>
      </c>
      <c r="O85" s="338">
        <f t="shared" ca="1" si="45"/>
        <v>0</v>
      </c>
      <c r="P85" s="338">
        <f t="shared" ca="1" si="45"/>
        <v>0</v>
      </c>
      <c r="Q85" s="338">
        <f t="shared" ca="1" si="45"/>
        <v>0</v>
      </c>
      <c r="R85" s="338">
        <f t="shared" ca="1" si="45"/>
        <v>0</v>
      </c>
      <c r="S85" s="338">
        <f t="shared" ca="1" si="45"/>
        <v>0</v>
      </c>
      <c r="T85" s="338">
        <f t="shared" ca="1" si="45"/>
        <v>0</v>
      </c>
      <c r="U85" s="338">
        <f t="shared" ca="1" si="45"/>
        <v>0</v>
      </c>
      <c r="V85" s="338">
        <f t="shared" ca="1" si="45"/>
        <v>0</v>
      </c>
      <c r="W85" s="338">
        <f t="shared" ca="1" si="45"/>
        <v>0</v>
      </c>
      <c r="X85" s="338">
        <f t="shared" ca="1" si="45"/>
        <v>0</v>
      </c>
      <c r="Y85" s="338">
        <f t="shared" ca="1" si="45"/>
        <v>0</v>
      </c>
      <c r="Z85" s="338">
        <f t="shared" ca="1" si="45"/>
        <v>0</v>
      </c>
      <c r="AA85" s="338">
        <f t="shared" ca="1" si="45"/>
        <v>0</v>
      </c>
      <c r="AB85" s="338">
        <f t="shared" ca="1" si="45"/>
        <v>0</v>
      </c>
    </row>
    <row r="86" spans="1:28" s="77" customFormat="1">
      <c r="A86"/>
      <c r="B86" t="str">
        <f t="shared" si="46"/>
        <v>Capex 8</v>
      </c>
      <c r="C86"/>
      <c r="D86"/>
      <c r="E86"/>
      <c r="F86"/>
      <c r="G86" s="144"/>
      <c r="H86" s="338">
        <f t="shared" ca="1" si="47"/>
        <v>0</v>
      </c>
      <c r="I86" s="338">
        <f t="shared" ca="1" si="45"/>
        <v>0</v>
      </c>
      <c r="J86" s="338">
        <f t="shared" ca="1" si="45"/>
        <v>0</v>
      </c>
      <c r="K86" s="338">
        <f t="shared" ca="1" si="45"/>
        <v>0</v>
      </c>
      <c r="L86" s="338">
        <f t="shared" ca="1" si="45"/>
        <v>0</v>
      </c>
      <c r="M86" s="338">
        <f t="shared" ca="1" si="45"/>
        <v>0</v>
      </c>
      <c r="N86" s="338">
        <f t="shared" ca="1" si="45"/>
        <v>0</v>
      </c>
      <c r="O86" s="338">
        <f t="shared" ca="1" si="45"/>
        <v>0</v>
      </c>
      <c r="P86" s="338">
        <f t="shared" ca="1" si="45"/>
        <v>0</v>
      </c>
      <c r="Q86" s="338">
        <f t="shared" ca="1" si="45"/>
        <v>0</v>
      </c>
      <c r="R86" s="338">
        <f t="shared" ca="1" si="45"/>
        <v>0</v>
      </c>
      <c r="S86" s="338">
        <f t="shared" ca="1" si="45"/>
        <v>0</v>
      </c>
      <c r="T86" s="338">
        <f t="shared" ca="1" si="45"/>
        <v>0</v>
      </c>
      <c r="U86" s="338">
        <f t="shared" ca="1" si="45"/>
        <v>0</v>
      </c>
      <c r="V86" s="338">
        <f t="shared" ca="1" si="45"/>
        <v>0</v>
      </c>
      <c r="W86" s="338">
        <f t="shared" ca="1" si="45"/>
        <v>0</v>
      </c>
      <c r="X86" s="338">
        <f t="shared" ca="1" si="45"/>
        <v>0</v>
      </c>
      <c r="Y86" s="338">
        <f t="shared" ca="1" si="45"/>
        <v>0</v>
      </c>
      <c r="Z86" s="338">
        <f t="shared" ca="1" si="45"/>
        <v>0</v>
      </c>
      <c r="AA86" s="338">
        <f t="shared" ca="1" si="45"/>
        <v>0</v>
      </c>
      <c r="AB86" s="338">
        <f t="shared" ca="1" si="45"/>
        <v>0</v>
      </c>
    </row>
    <row r="87" spans="1:28" s="77" customFormat="1">
      <c r="A87"/>
      <c r="B87" t="str">
        <f t="shared" si="46"/>
        <v>Capex 9</v>
      </c>
      <c r="C87"/>
      <c r="D87"/>
      <c r="E87"/>
      <c r="F87"/>
      <c r="G87" s="144"/>
      <c r="H87" s="338">
        <f t="shared" ca="1" si="47"/>
        <v>0</v>
      </c>
      <c r="I87" s="338">
        <f t="shared" ca="1" si="45"/>
        <v>0</v>
      </c>
      <c r="J87" s="338">
        <f t="shared" ca="1" si="45"/>
        <v>0</v>
      </c>
      <c r="K87" s="338">
        <f t="shared" ca="1" si="45"/>
        <v>0</v>
      </c>
      <c r="L87" s="338">
        <f t="shared" ca="1" si="45"/>
        <v>0</v>
      </c>
      <c r="M87" s="338">
        <f t="shared" ca="1" si="45"/>
        <v>0</v>
      </c>
      <c r="N87" s="338">
        <f t="shared" ca="1" si="45"/>
        <v>0</v>
      </c>
      <c r="O87" s="338">
        <f t="shared" ca="1" si="45"/>
        <v>0</v>
      </c>
      <c r="P87" s="338">
        <f t="shared" ca="1" si="45"/>
        <v>0</v>
      </c>
      <c r="Q87" s="338">
        <f t="shared" ca="1" si="45"/>
        <v>0</v>
      </c>
      <c r="R87" s="338">
        <f t="shared" ca="1" si="45"/>
        <v>0</v>
      </c>
      <c r="S87" s="338">
        <f t="shared" ca="1" si="45"/>
        <v>0</v>
      </c>
      <c r="T87" s="338">
        <f t="shared" ca="1" si="45"/>
        <v>0</v>
      </c>
      <c r="U87" s="338">
        <f t="shared" ca="1" si="45"/>
        <v>0</v>
      </c>
      <c r="V87" s="338">
        <f t="shared" ca="1" si="45"/>
        <v>0</v>
      </c>
      <c r="W87" s="338">
        <f t="shared" ca="1" si="45"/>
        <v>0</v>
      </c>
      <c r="X87" s="338">
        <f t="shared" ca="1" si="45"/>
        <v>0</v>
      </c>
      <c r="Y87" s="338">
        <f t="shared" ca="1" si="45"/>
        <v>0</v>
      </c>
      <c r="Z87" s="338">
        <f t="shared" ca="1" si="45"/>
        <v>0</v>
      </c>
      <c r="AA87" s="338">
        <f t="shared" ca="1" si="45"/>
        <v>0</v>
      </c>
      <c r="AB87" s="338">
        <f t="shared" ca="1" si="45"/>
        <v>0</v>
      </c>
    </row>
    <row r="88" spans="1:28" s="77" customFormat="1">
      <c r="A88"/>
      <c r="B88" t="str">
        <f t="shared" si="46"/>
        <v>Capex 10</v>
      </c>
      <c r="C88"/>
      <c r="D88"/>
      <c r="E88"/>
      <c r="F88"/>
      <c r="G88" s="144"/>
      <c r="H88" s="338">
        <f t="shared" ca="1" si="47"/>
        <v>0</v>
      </c>
      <c r="I88" s="338">
        <f t="shared" ca="1" si="45"/>
        <v>0</v>
      </c>
      <c r="J88" s="338">
        <f t="shared" ca="1" si="45"/>
        <v>0</v>
      </c>
      <c r="K88" s="338">
        <f t="shared" ca="1" si="45"/>
        <v>0</v>
      </c>
      <c r="L88" s="338">
        <f t="shared" ca="1" si="45"/>
        <v>0</v>
      </c>
      <c r="M88" s="338">
        <f t="shared" ca="1" si="45"/>
        <v>0</v>
      </c>
      <c r="N88" s="338">
        <f t="shared" ca="1" si="45"/>
        <v>0</v>
      </c>
      <c r="O88" s="338">
        <f t="shared" ca="1" si="45"/>
        <v>0</v>
      </c>
      <c r="P88" s="338">
        <f t="shared" ca="1" si="45"/>
        <v>0</v>
      </c>
      <c r="Q88" s="338">
        <f t="shared" ca="1" si="45"/>
        <v>0</v>
      </c>
      <c r="R88" s="338">
        <f t="shared" ca="1" si="45"/>
        <v>0</v>
      </c>
      <c r="S88" s="338">
        <f t="shared" ca="1" si="45"/>
        <v>0</v>
      </c>
      <c r="T88" s="338">
        <f t="shared" ca="1" si="45"/>
        <v>0</v>
      </c>
      <c r="U88" s="338">
        <f t="shared" ca="1" si="45"/>
        <v>0</v>
      </c>
      <c r="V88" s="338">
        <f t="shared" ca="1" si="45"/>
        <v>0</v>
      </c>
      <c r="W88" s="338">
        <f t="shared" ca="1" si="45"/>
        <v>0</v>
      </c>
      <c r="X88" s="338">
        <f t="shared" ca="1" si="45"/>
        <v>0</v>
      </c>
      <c r="Y88" s="338">
        <f t="shared" ca="1" si="45"/>
        <v>0</v>
      </c>
      <c r="Z88" s="338">
        <f t="shared" ca="1" si="45"/>
        <v>0</v>
      </c>
      <c r="AA88" s="338">
        <f t="shared" ca="1" si="45"/>
        <v>0</v>
      </c>
      <c r="AB88" s="338">
        <f t="shared" ca="1" si="45"/>
        <v>0</v>
      </c>
    </row>
    <row r="89" spans="1:28" s="77" customFormat="1">
      <c r="A89"/>
      <c r="B89" t="str">
        <f t="shared" si="46"/>
        <v>Capex 11</v>
      </c>
      <c r="C89"/>
      <c r="D89"/>
      <c r="E89"/>
      <c r="F89"/>
      <c r="G89" s="144"/>
      <c r="H89" s="338">
        <f t="shared" ca="1" si="47"/>
        <v>0</v>
      </c>
      <c r="I89" s="338">
        <f t="shared" ca="1" si="45"/>
        <v>0</v>
      </c>
      <c r="J89" s="338">
        <f t="shared" ca="1" si="45"/>
        <v>0</v>
      </c>
      <c r="K89" s="338">
        <f t="shared" ca="1" si="45"/>
        <v>0</v>
      </c>
      <c r="L89" s="338">
        <f t="shared" ca="1" si="45"/>
        <v>0</v>
      </c>
      <c r="M89" s="338">
        <f t="shared" ca="1" si="45"/>
        <v>0</v>
      </c>
      <c r="N89" s="338">
        <f t="shared" ca="1" si="45"/>
        <v>0</v>
      </c>
      <c r="O89" s="338">
        <f t="shared" ca="1" si="45"/>
        <v>0</v>
      </c>
      <c r="P89" s="338">
        <f t="shared" ca="1" si="45"/>
        <v>0</v>
      </c>
      <c r="Q89" s="338">
        <f t="shared" ca="1" si="45"/>
        <v>0</v>
      </c>
      <c r="R89" s="338">
        <f t="shared" ca="1" si="45"/>
        <v>0</v>
      </c>
      <c r="S89" s="338">
        <f t="shared" ca="1" si="45"/>
        <v>0</v>
      </c>
      <c r="T89" s="338">
        <f t="shared" ca="1" si="45"/>
        <v>0</v>
      </c>
      <c r="U89" s="338">
        <f t="shared" ca="1" si="45"/>
        <v>0</v>
      </c>
      <c r="V89" s="338">
        <f t="shared" ca="1" si="45"/>
        <v>0</v>
      </c>
      <c r="W89" s="338">
        <f t="shared" ca="1" si="45"/>
        <v>0</v>
      </c>
      <c r="X89" s="338">
        <f t="shared" ca="1" si="45"/>
        <v>0</v>
      </c>
      <c r="Y89" s="338">
        <f t="shared" ca="1" si="45"/>
        <v>0</v>
      </c>
      <c r="Z89" s="338">
        <f t="shared" ca="1" si="45"/>
        <v>0</v>
      </c>
      <c r="AA89" s="338">
        <f t="shared" ca="1" si="45"/>
        <v>0</v>
      </c>
      <c r="AB89" s="338">
        <f t="shared" ca="1" si="45"/>
        <v>0</v>
      </c>
    </row>
    <row r="90" spans="1:28" s="77" customFormat="1">
      <c r="A90"/>
      <c r="B90"/>
      <c r="C90"/>
      <c r="D90"/>
      <c r="E90"/>
      <c r="F90"/>
      <c r="G90" s="85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</row>
    <row r="91" spans="1:28" s="77" customFormat="1">
      <c r="A91"/>
      <c r="B91" s="28" t="s">
        <v>407</v>
      </c>
      <c r="C91" s="26"/>
      <c r="D91" s="26"/>
      <c r="E91" s="26"/>
      <c r="F91" s="66"/>
      <c r="G91" s="45"/>
      <c r="H91" s="111"/>
      <c r="I91" s="111"/>
      <c r="J91" s="111"/>
      <c r="K91" s="111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</row>
    <row r="92" spans="1:28" s="77" customFormat="1">
      <c r="A92"/>
      <c r="B92" s="18" t="s">
        <v>72</v>
      </c>
      <c r="C92"/>
      <c r="D92"/>
      <c r="E92"/>
      <c r="F92"/>
      <c r="G92" s="142"/>
      <c r="H92" s="114">
        <f>IF(G92-($G93*$G92)&lt;0,0,G92-($G93*$G92))</f>
        <v>0</v>
      </c>
      <c r="I92" s="114">
        <f t="shared" ref="I92:AB92" si="49">IF(H92-($G93*$G92)&lt;0,0,H92-($G93*$G92))</f>
        <v>0</v>
      </c>
      <c r="J92" s="114">
        <f t="shared" si="49"/>
        <v>0</v>
      </c>
      <c r="K92" s="114">
        <f t="shared" si="49"/>
        <v>0</v>
      </c>
      <c r="L92" s="114">
        <f t="shared" si="49"/>
        <v>0</v>
      </c>
      <c r="M92" s="114">
        <f t="shared" si="49"/>
        <v>0</v>
      </c>
      <c r="N92" s="114">
        <f t="shared" si="49"/>
        <v>0</v>
      </c>
      <c r="O92" s="114">
        <f t="shared" si="49"/>
        <v>0</v>
      </c>
      <c r="P92" s="114">
        <f t="shared" si="49"/>
        <v>0</v>
      </c>
      <c r="Q92" s="114">
        <f t="shared" si="49"/>
        <v>0</v>
      </c>
      <c r="R92" s="114">
        <f t="shared" si="49"/>
        <v>0</v>
      </c>
      <c r="S92" s="114">
        <f t="shared" si="49"/>
        <v>0</v>
      </c>
      <c r="T92" s="114">
        <f t="shared" si="49"/>
        <v>0</v>
      </c>
      <c r="U92" s="114">
        <f t="shared" si="49"/>
        <v>0</v>
      </c>
      <c r="V92" s="114">
        <f t="shared" si="49"/>
        <v>0</v>
      </c>
      <c r="W92" s="114">
        <f t="shared" si="49"/>
        <v>0</v>
      </c>
      <c r="X92" s="114">
        <f t="shared" si="49"/>
        <v>0</v>
      </c>
      <c r="Y92" s="114">
        <f t="shared" si="49"/>
        <v>0</v>
      </c>
      <c r="Z92" s="114">
        <f t="shared" si="49"/>
        <v>0</v>
      </c>
      <c r="AA92" s="114">
        <f t="shared" si="49"/>
        <v>0</v>
      </c>
      <c r="AB92" s="114">
        <f t="shared" si="49"/>
        <v>0</v>
      </c>
    </row>
    <row r="93" spans="1:28" s="77" customFormat="1">
      <c r="A93"/>
      <c r="B93" s="2" t="s">
        <v>408</v>
      </c>
      <c r="C93"/>
      <c r="D93"/>
      <c r="E93"/>
      <c r="F93"/>
      <c r="G93" s="418">
        <v>0.1</v>
      </c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</row>
    <row r="94" spans="1:28" s="77" customFormat="1">
      <c r="A94"/>
      <c r="B94"/>
      <c r="C94"/>
      <c r="D94"/>
      <c r="E94"/>
      <c r="F94"/>
      <c r="G94"/>
    </row>
    <row r="95" spans="1:28" s="77" customFormat="1">
      <c r="A95"/>
      <c r="B95"/>
      <c r="C95"/>
      <c r="D95"/>
      <c r="E95"/>
      <c r="F95"/>
      <c r="G95"/>
    </row>
    <row r="96" spans="1:28" s="77" customFormat="1">
      <c r="A96"/>
      <c r="B96" s="28" t="s">
        <v>421</v>
      </c>
      <c r="C96" s="26"/>
      <c r="D96" s="26"/>
      <c r="E96" s="26"/>
      <c r="F96" s="66"/>
      <c r="G96" s="45"/>
      <c r="H96" s="111"/>
      <c r="I96" s="111"/>
      <c r="J96" s="111"/>
      <c r="K96" s="111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</row>
    <row r="97" spans="1:28" s="77" customFormat="1">
      <c r="A97"/>
      <c r="B97" s="345" t="s">
        <v>417</v>
      </c>
      <c r="C97"/>
      <c r="D97"/>
      <c r="E97"/>
      <c r="F97"/>
      <c r="G97" s="142">
        <v>8</v>
      </c>
      <c r="H97" s="338">
        <f t="shared" ref="H97:AB97" ca="1" si="50">SUM(OFFSET(H83,0,IF(H$6&gt;$G97,-$G97,-H$6),1,IF(H$6&gt;$G97,$G97,H$6)))*(1/$G97)</f>
        <v>0</v>
      </c>
      <c r="I97" s="338">
        <f t="shared" ca="1" si="50"/>
        <v>0</v>
      </c>
      <c r="J97" s="338">
        <f t="shared" ca="1" si="50"/>
        <v>0</v>
      </c>
      <c r="K97" s="338">
        <f t="shared" ca="1" si="50"/>
        <v>0</v>
      </c>
      <c r="L97" s="338">
        <f t="shared" ca="1" si="50"/>
        <v>0</v>
      </c>
      <c r="M97" s="338">
        <f t="shared" ca="1" si="50"/>
        <v>0</v>
      </c>
      <c r="N97" s="338">
        <f t="shared" ca="1" si="50"/>
        <v>0</v>
      </c>
      <c r="O97" s="338">
        <f t="shared" ca="1" si="50"/>
        <v>0</v>
      </c>
      <c r="P97" s="338">
        <f t="shared" ca="1" si="50"/>
        <v>0</v>
      </c>
      <c r="Q97" s="338">
        <f t="shared" ca="1" si="50"/>
        <v>0</v>
      </c>
      <c r="R97" s="338">
        <f t="shared" ca="1" si="50"/>
        <v>0</v>
      </c>
      <c r="S97" s="338">
        <f t="shared" ca="1" si="50"/>
        <v>0</v>
      </c>
      <c r="T97" s="338">
        <f t="shared" ca="1" si="50"/>
        <v>0</v>
      </c>
      <c r="U97" s="338">
        <f t="shared" ca="1" si="50"/>
        <v>0</v>
      </c>
      <c r="V97" s="338">
        <f t="shared" ca="1" si="50"/>
        <v>0</v>
      </c>
      <c r="W97" s="338">
        <f t="shared" ca="1" si="50"/>
        <v>0</v>
      </c>
      <c r="X97" s="338">
        <f t="shared" ca="1" si="50"/>
        <v>0</v>
      </c>
      <c r="Y97" s="338">
        <f t="shared" ca="1" si="50"/>
        <v>0</v>
      </c>
      <c r="Z97" s="338">
        <f t="shared" ca="1" si="50"/>
        <v>0</v>
      </c>
      <c r="AA97" s="338">
        <f t="shared" ca="1" si="50"/>
        <v>0</v>
      </c>
      <c r="AB97" s="338">
        <f t="shared" ca="1" si="50"/>
        <v>0</v>
      </c>
    </row>
    <row r="98" spans="1:28" s="77" customFormat="1">
      <c r="A98"/>
      <c r="B98" s="345" t="s">
        <v>418</v>
      </c>
      <c r="C98"/>
      <c r="D98"/>
      <c r="E98"/>
      <c r="F98"/>
      <c r="G98" s="142">
        <v>500000</v>
      </c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</row>
    <row r="99" spans="1:28" s="77" customFormat="1">
      <c r="A99"/>
      <c r="B99"/>
      <c r="C99"/>
      <c r="D99"/>
      <c r="E99"/>
      <c r="F99"/>
      <c r="G99"/>
    </row>
    <row r="100" spans="1:28" s="77" customFormat="1">
      <c r="A100"/>
      <c r="B100"/>
      <c r="C100"/>
      <c r="D100"/>
      <c r="E100"/>
      <c r="F100"/>
      <c r="G100"/>
    </row>
    <row r="101" spans="1:28" s="77" customFormat="1">
      <c r="A101"/>
      <c r="B101" s="28" t="s">
        <v>252</v>
      </c>
      <c r="C101" s="26"/>
      <c r="D101" s="26"/>
      <c r="E101" s="26"/>
      <c r="F101" s="66"/>
      <c r="G101" s="45"/>
      <c r="H101" s="111"/>
      <c r="I101" s="111"/>
      <c r="J101" s="111"/>
      <c r="K101" s="111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</row>
    <row r="102" spans="1:28" s="77" customFormat="1">
      <c r="A102"/>
      <c r="B102"/>
      <c r="C102"/>
      <c r="D102"/>
      <c r="E102"/>
      <c r="F102"/>
      <c r="G102"/>
      <c r="H102" s="77">
        <v>0.52863000000000004</v>
      </c>
    </row>
    <row r="103" spans="1:28" s="77" customFormat="1">
      <c r="A103"/>
      <c r="B103" s="2" t="str">
        <f>B2</f>
        <v>Base Case</v>
      </c>
      <c r="C103"/>
      <c r="D103"/>
      <c r="E103"/>
      <c r="F103"/>
      <c r="G103"/>
      <c r="H103" s="116">
        <f ca="1">AVERAGE(H104:N104)</f>
        <v>95354.185111159954</v>
      </c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</row>
    <row r="104" spans="1:28" s="77" customFormat="1">
      <c r="A104"/>
      <c r="B104" s="77" t="str">
        <f>B12</f>
        <v>Terrenos</v>
      </c>
      <c r="C104"/>
      <c r="D104"/>
      <c r="E104"/>
      <c r="F104"/>
      <c r="H104" s="341">
        <v>139000</v>
      </c>
      <c r="I104" s="341">
        <f ca="1">I28+60000</f>
        <v>107863.74285714285</v>
      </c>
      <c r="J104" s="341">
        <f t="shared" ref="J104:AB104" ca="1" si="51">J28</f>
        <v>63272.848979591829</v>
      </c>
      <c r="K104" s="341">
        <f t="shared" ca="1" si="51"/>
        <v>72311.827405247808</v>
      </c>
      <c r="L104" s="341">
        <f t="shared" ca="1" si="51"/>
        <v>82642.088463140361</v>
      </c>
      <c r="M104" s="341">
        <f t="shared" ca="1" si="51"/>
        <v>94448.101100731845</v>
      </c>
      <c r="N104" s="341">
        <f t="shared" ca="1" si="51"/>
        <v>107940.68697226496</v>
      </c>
      <c r="O104" s="341">
        <f t="shared" ca="1" si="51"/>
        <v>123360.78511115996</v>
      </c>
      <c r="P104" s="341">
        <f t="shared" ca="1" si="51"/>
        <v>121126.61155561139</v>
      </c>
      <c r="Q104" s="341">
        <f t="shared" ca="1" si="51"/>
        <v>123021.30708396403</v>
      </c>
      <c r="R104" s="341">
        <f t="shared" ca="1" si="51"/>
        <v>131556.80109887433</v>
      </c>
      <c r="S104" s="341">
        <f t="shared" ca="1" si="51"/>
        <v>140020.3687693924</v>
      </c>
      <c r="T104" s="341">
        <f t="shared" ca="1" si="51"/>
        <v>120210.66595599982</v>
      </c>
      <c r="U104" s="341">
        <f t="shared" ca="1" si="51"/>
        <v>123891.03236389525</v>
      </c>
      <c r="V104" s="341">
        <f t="shared" ca="1" si="51"/>
        <v>126169.65313412815</v>
      </c>
      <c r="W104" s="341">
        <f t="shared" ca="1" si="51"/>
        <v>126570.9199945522</v>
      </c>
      <c r="X104" s="341">
        <f t="shared" ca="1" si="51"/>
        <v>127348.67834297231</v>
      </c>
      <c r="Y104" s="341">
        <f t="shared" ca="1" si="51"/>
        <v>127966.87423711634</v>
      </c>
      <c r="Z104" s="341">
        <f t="shared" ca="1" si="51"/>
        <v>127454.02754257948</v>
      </c>
      <c r="AA104" s="341">
        <f t="shared" ca="1" si="51"/>
        <v>125658.83593874906</v>
      </c>
      <c r="AB104" s="341">
        <f t="shared" ca="1" si="51"/>
        <v>126437.14593628468</v>
      </c>
    </row>
    <row r="105" spans="1:28" s="77" customFormat="1">
      <c r="A105"/>
      <c r="B105" s="77" t="str">
        <f t="shared" ref="B105:B114" si="52">B13</f>
        <v>Edificações</v>
      </c>
      <c r="C105"/>
      <c r="D105"/>
      <c r="E105"/>
      <c r="F105"/>
      <c r="G105"/>
      <c r="H105" s="341"/>
      <c r="I105" s="341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>
        <v>0</v>
      </c>
      <c r="T105" s="341">
        <v>0</v>
      </c>
      <c r="U105" s="341">
        <v>0</v>
      </c>
      <c r="V105" s="341">
        <v>0</v>
      </c>
      <c r="W105" s="341">
        <v>0</v>
      </c>
      <c r="X105" s="341">
        <v>0</v>
      </c>
      <c r="Y105" s="341">
        <v>0</v>
      </c>
      <c r="Z105" s="341">
        <v>0</v>
      </c>
      <c r="AA105" s="341">
        <v>0</v>
      </c>
      <c r="AB105" s="341">
        <v>0</v>
      </c>
    </row>
    <row r="106" spans="1:28" s="77" customFormat="1">
      <c r="A106"/>
      <c r="B106" s="77" t="str">
        <f t="shared" si="52"/>
        <v>Veículos</v>
      </c>
      <c r="C106"/>
      <c r="D106"/>
      <c r="E106"/>
      <c r="F106"/>
      <c r="G106"/>
      <c r="H106" s="341">
        <v>0</v>
      </c>
      <c r="I106" s="341">
        <v>0</v>
      </c>
      <c r="J106" s="341">
        <v>0</v>
      </c>
      <c r="K106" s="341">
        <v>0</v>
      </c>
      <c r="L106" s="341">
        <v>0</v>
      </c>
      <c r="M106" s="341">
        <v>0</v>
      </c>
      <c r="N106" s="341">
        <v>0</v>
      </c>
      <c r="O106" s="341">
        <v>0</v>
      </c>
      <c r="P106" s="341">
        <v>0</v>
      </c>
      <c r="Q106" s="341">
        <v>0</v>
      </c>
      <c r="R106" s="341">
        <v>0</v>
      </c>
      <c r="S106" s="341">
        <v>0</v>
      </c>
      <c r="T106" s="341">
        <v>0</v>
      </c>
      <c r="U106" s="341">
        <v>0</v>
      </c>
      <c r="V106" s="341">
        <v>0</v>
      </c>
      <c r="W106" s="341">
        <v>0</v>
      </c>
      <c r="X106" s="341">
        <v>0</v>
      </c>
      <c r="Y106" s="341">
        <v>0</v>
      </c>
      <c r="Z106" s="341">
        <v>0</v>
      </c>
      <c r="AA106" s="341">
        <v>0</v>
      </c>
      <c r="AB106" s="341">
        <v>0</v>
      </c>
    </row>
    <row r="107" spans="1:28" s="77" customFormat="1">
      <c r="A107"/>
      <c r="B107" s="77" t="str">
        <f t="shared" si="52"/>
        <v>Máquinas e Equipamentos</v>
      </c>
      <c r="C107"/>
      <c r="D107"/>
      <c r="E107"/>
      <c r="F107"/>
      <c r="G107"/>
      <c r="H107" s="341">
        <v>0</v>
      </c>
      <c r="I107" s="341">
        <v>0</v>
      </c>
      <c r="J107" s="341">
        <v>0</v>
      </c>
      <c r="K107" s="341">
        <v>0</v>
      </c>
      <c r="L107" s="341">
        <v>0</v>
      </c>
      <c r="M107" s="341">
        <v>0</v>
      </c>
      <c r="N107" s="341">
        <v>0</v>
      </c>
      <c r="O107" s="341">
        <v>0</v>
      </c>
      <c r="P107" s="341">
        <v>0</v>
      </c>
      <c r="Q107" s="341">
        <v>0</v>
      </c>
      <c r="R107" s="341">
        <v>0</v>
      </c>
      <c r="S107" s="341">
        <v>0</v>
      </c>
      <c r="T107" s="341">
        <v>0</v>
      </c>
      <c r="U107" s="341">
        <v>0</v>
      </c>
      <c r="V107" s="341">
        <v>0</v>
      </c>
      <c r="W107" s="341">
        <v>0</v>
      </c>
      <c r="X107" s="341">
        <v>0</v>
      </c>
      <c r="Y107" s="341">
        <v>0</v>
      </c>
      <c r="Z107" s="341">
        <v>0</v>
      </c>
      <c r="AA107" s="341">
        <v>0</v>
      </c>
      <c r="AB107" s="341">
        <v>0</v>
      </c>
    </row>
    <row r="108" spans="1:28" s="77" customFormat="1">
      <c r="A108"/>
      <c r="B108" s="77" t="str">
        <f t="shared" si="52"/>
        <v>Outros</v>
      </c>
      <c r="C108"/>
      <c r="D108"/>
      <c r="E108"/>
      <c r="F108"/>
      <c r="G108"/>
      <c r="H108" s="341">
        <v>0</v>
      </c>
      <c r="I108" s="341">
        <v>0</v>
      </c>
      <c r="J108" s="341">
        <v>0</v>
      </c>
      <c r="K108" s="341">
        <v>0</v>
      </c>
      <c r="L108" s="341">
        <v>0</v>
      </c>
      <c r="M108" s="341">
        <v>0</v>
      </c>
      <c r="N108" s="341">
        <v>0</v>
      </c>
      <c r="O108" s="341">
        <v>0</v>
      </c>
      <c r="P108" s="341">
        <v>0</v>
      </c>
      <c r="Q108" s="341">
        <v>0</v>
      </c>
      <c r="R108" s="341">
        <v>0</v>
      </c>
      <c r="S108" s="341">
        <v>0</v>
      </c>
      <c r="T108" s="341">
        <v>0</v>
      </c>
      <c r="U108" s="341">
        <v>0</v>
      </c>
      <c r="V108" s="341">
        <v>0</v>
      </c>
      <c r="W108" s="341">
        <v>0</v>
      </c>
      <c r="X108" s="341">
        <v>0</v>
      </c>
      <c r="Y108" s="341">
        <v>0</v>
      </c>
      <c r="Z108" s="341">
        <v>0</v>
      </c>
      <c r="AA108" s="341">
        <v>0</v>
      </c>
      <c r="AB108" s="341">
        <v>0</v>
      </c>
    </row>
    <row r="109" spans="1:28" s="77" customFormat="1">
      <c r="A109"/>
      <c r="B109" s="77" t="str">
        <f t="shared" si="52"/>
        <v>Centro distribuição</v>
      </c>
      <c r="C109"/>
      <c r="D109"/>
      <c r="E109"/>
      <c r="F109"/>
      <c r="G109"/>
      <c r="H109" s="341">
        <v>0</v>
      </c>
      <c r="I109" s="341">
        <v>0</v>
      </c>
      <c r="J109" s="341">
        <v>0</v>
      </c>
      <c r="K109" s="341">
        <v>0</v>
      </c>
      <c r="L109" s="341">
        <v>0</v>
      </c>
      <c r="M109" s="341">
        <v>0</v>
      </c>
      <c r="N109" s="341">
        <v>0</v>
      </c>
      <c r="O109" s="341">
        <v>0</v>
      </c>
      <c r="P109" s="341">
        <v>0</v>
      </c>
      <c r="Q109" s="341">
        <v>0</v>
      </c>
      <c r="R109" s="341">
        <v>0</v>
      </c>
      <c r="S109" s="341">
        <v>0</v>
      </c>
      <c r="T109" s="341">
        <v>0</v>
      </c>
      <c r="U109" s="341">
        <v>0</v>
      </c>
      <c r="V109" s="341">
        <v>0</v>
      </c>
      <c r="W109" s="341">
        <v>0</v>
      </c>
      <c r="X109" s="341">
        <v>0</v>
      </c>
      <c r="Y109" s="341">
        <v>0</v>
      </c>
      <c r="Z109" s="341">
        <v>0</v>
      </c>
      <c r="AA109" s="341">
        <v>0</v>
      </c>
      <c r="AB109" s="341">
        <v>0</v>
      </c>
    </row>
    <row r="110" spans="1:28" s="77" customFormat="1">
      <c r="A110"/>
      <c r="B110" s="77" t="str">
        <f t="shared" si="52"/>
        <v>Capex 7</v>
      </c>
      <c r="C110"/>
      <c r="D110"/>
      <c r="E110"/>
      <c r="F110"/>
      <c r="G110"/>
      <c r="H110" s="341">
        <v>0</v>
      </c>
      <c r="I110" s="341">
        <v>0</v>
      </c>
      <c r="J110" s="341">
        <v>0</v>
      </c>
      <c r="K110" s="341">
        <v>0</v>
      </c>
      <c r="L110" s="341">
        <v>0</v>
      </c>
      <c r="M110" s="341">
        <v>0</v>
      </c>
      <c r="N110" s="341">
        <v>0</v>
      </c>
      <c r="O110" s="341">
        <v>0</v>
      </c>
      <c r="P110" s="341">
        <v>0</v>
      </c>
      <c r="Q110" s="341">
        <v>0</v>
      </c>
      <c r="R110" s="341">
        <v>0</v>
      </c>
      <c r="S110" s="341">
        <v>0</v>
      </c>
      <c r="T110" s="341">
        <v>0</v>
      </c>
      <c r="U110" s="341">
        <v>0</v>
      </c>
      <c r="V110" s="341">
        <v>0</v>
      </c>
      <c r="W110" s="341">
        <v>0</v>
      </c>
      <c r="X110" s="341">
        <v>0</v>
      </c>
      <c r="Y110" s="341">
        <v>0</v>
      </c>
      <c r="Z110" s="341">
        <v>0</v>
      </c>
      <c r="AA110" s="341">
        <v>0</v>
      </c>
      <c r="AB110" s="341">
        <v>0</v>
      </c>
    </row>
    <row r="111" spans="1:28">
      <c r="B111" s="77" t="str">
        <f t="shared" si="52"/>
        <v>Capex 8</v>
      </c>
      <c r="H111" s="341">
        <v>0</v>
      </c>
      <c r="I111" s="341">
        <v>0</v>
      </c>
      <c r="J111" s="341">
        <v>0</v>
      </c>
      <c r="K111" s="341">
        <v>0</v>
      </c>
      <c r="L111" s="341">
        <v>0</v>
      </c>
      <c r="M111" s="341">
        <v>0</v>
      </c>
      <c r="N111" s="341">
        <v>0</v>
      </c>
      <c r="O111" s="341">
        <v>0</v>
      </c>
      <c r="P111" s="341">
        <v>0</v>
      </c>
      <c r="Q111" s="341">
        <v>0</v>
      </c>
      <c r="R111" s="341">
        <v>0</v>
      </c>
      <c r="S111" s="341">
        <v>0</v>
      </c>
      <c r="T111" s="341">
        <v>0</v>
      </c>
      <c r="U111" s="341">
        <v>0</v>
      </c>
      <c r="V111" s="341">
        <v>0</v>
      </c>
      <c r="W111" s="341">
        <v>0</v>
      </c>
      <c r="X111" s="341">
        <v>0</v>
      </c>
      <c r="Y111" s="341">
        <v>0</v>
      </c>
      <c r="Z111" s="341">
        <v>0</v>
      </c>
      <c r="AA111" s="341">
        <v>0</v>
      </c>
      <c r="AB111" s="341">
        <v>0</v>
      </c>
    </row>
    <row r="112" spans="1:28">
      <c r="B112" s="77" t="str">
        <f t="shared" si="52"/>
        <v>Capex 9</v>
      </c>
      <c r="H112" s="341">
        <v>0</v>
      </c>
      <c r="I112" s="341">
        <v>0</v>
      </c>
      <c r="J112" s="341">
        <v>0</v>
      </c>
      <c r="K112" s="341">
        <v>0</v>
      </c>
      <c r="L112" s="341">
        <v>0</v>
      </c>
      <c r="M112" s="341">
        <v>0</v>
      </c>
      <c r="N112" s="341">
        <v>0</v>
      </c>
      <c r="O112" s="341">
        <v>0</v>
      </c>
      <c r="P112" s="341">
        <v>0</v>
      </c>
      <c r="Q112" s="341">
        <v>0</v>
      </c>
      <c r="R112" s="341">
        <v>0</v>
      </c>
      <c r="S112" s="341">
        <v>0</v>
      </c>
      <c r="T112" s="341">
        <v>0</v>
      </c>
      <c r="U112" s="341">
        <v>0</v>
      </c>
      <c r="V112" s="341">
        <v>0</v>
      </c>
      <c r="W112" s="341">
        <v>0</v>
      </c>
      <c r="X112" s="341">
        <v>0</v>
      </c>
      <c r="Y112" s="341">
        <v>0</v>
      </c>
      <c r="Z112" s="341">
        <v>0</v>
      </c>
      <c r="AA112" s="341">
        <v>0</v>
      </c>
      <c r="AB112" s="341">
        <v>0</v>
      </c>
    </row>
    <row r="113" spans="1:28">
      <c r="B113" s="77" t="str">
        <f t="shared" si="52"/>
        <v>Capex 10</v>
      </c>
      <c r="H113" s="341">
        <v>0</v>
      </c>
      <c r="I113" s="341">
        <v>0</v>
      </c>
      <c r="J113" s="341">
        <v>0</v>
      </c>
      <c r="K113" s="341">
        <v>0</v>
      </c>
      <c r="L113" s="341">
        <v>0</v>
      </c>
      <c r="M113" s="341">
        <v>0</v>
      </c>
      <c r="N113" s="341">
        <v>0</v>
      </c>
      <c r="O113" s="341">
        <v>0</v>
      </c>
      <c r="P113" s="341">
        <v>0</v>
      </c>
      <c r="Q113" s="341">
        <v>0</v>
      </c>
      <c r="R113" s="341">
        <v>0</v>
      </c>
      <c r="S113" s="341">
        <v>0</v>
      </c>
      <c r="T113" s="341">
        <v>0</v>
      </c>
      <c r="U113" s="341">
        <v>0</v>
      </c>
      <c r="V113" s="341">
        <v>0</v>
      </c>
      <c r="W113" s="341">
        <v>0</v>
      </c>
      <c r="X113" s="341">
        <v>0</v>
      </c>
      <c r="Y113" s="341">
        <v>0</v>
      </c>
      <c r="Z113" s="341">
        <v>0</v>
      </c>
      <c r="AA113" s="341">
        <v>0</v>
      </c>
      <c r="AB113" s="341">
        <v>0</v>
      </c>
    </row>
    <row r="114" spans="1:28">
      <c r="B114" s="77" t="str">
        <f t="shared" si="52"/>
        <v>Capex 11</v>
      </c>
      <c r="G114" s="37"/>
      <c r="H114" s="341">
        <v>0</v>
      </c>
      <c r="I114" s="341">
        <v>0</v>
      </c>
      <c r="J114" s="341">
        <v>0</v>
      </c>
      <c r="K114" s="341">
        <v>0</v>
      </c>
      <c r="L114" s="341">
        <v>0</v>
      </c>
      <c r="M114" s="341">
        <v>0</v>
      </c>
      <c r="N114" s="341">
        <v>0</v>
      </c>
      <c r="O114" s="341">
        <v>0</v>
      </c>
      <c r="P114" s="341">
        <v>0</v>
      </c>
      <c r="Q114" s="341">
        <v>0</v>
      </c>
      <c r="R114" s="341">
        <v>0</v>
      </c>
      <c r="S114" s="341">
        <v>0</v>
      </c>
      <c r="T114" s="341">
        <v>0</v>
      </c>
      <c r="U114" s="341">
        <v>0</v>
      </c>
      <c r="V114" s="341">
        <v>0</v>
      </c>
      <c r="W114" s="341">
        <v>0</v>
      </c>
      <c r="X114" s="341">
        <v>0</v>
      </c>
      <c r="Y114" s="341">
        <v>0</v>
      </c>
      <c r="Z114" s="341">
        <v>0</v>
      </c>
      <c r="AA114" s="341">
        <v>0</v>
      </c>
      <c r="AB114" s="341">
        <v>0</v>
      </c>
    </row>
    <row r="115" spans="1:28">
      <c r="H115" s="89">
        <f t="shared" ref="H115:R115" si="53">SUM(H104:H114)</f>
        <v>139000</v>
      </c>
      <c r="I115" s="89">
        <f t="shared" ca="1" si="53"/>
        <v>107863.74285714285</v>
      </c>
      <c r="J115" s="89">
        <f t="shared" ca="1" si="53"/>
        <v>63272.848979591829</v>
      </c>
      <c r="K115" s="89">
        <f t="shared" ca="1" si="53"/>
        <v>72311.827405247808</v>
      </c>
      <c r="L115" s="89">
        <f t="shared" ca="1" si="53"/>
        <v>82642.088463140361</v>
      </c>
      <c r="M115" s="89">
        <f t="shared" ca="1" si="53"/>
        <v>94448.101100731845</v>
      </c>
      <c r="N115" s="89">
        <f t="shared" ca="1" si="53"/>
        <v>107940.68697226496</v>
      </c>
      <c r="O115" s="89">
        <f t="shared" ca="1" si="53"/>
        <v>123360.78511115996</v>
      </c>
      <c r="P115" s="89">
        <f t="shared" ca="1" si="53"/>
        <v>121126.61155561139</v>
      </c>
      <c r="Q115" s="89">
        <f t="shared" ca="1" si="53"/>
        <v>123021.30708396403</v>
      </c>
      <c r="R115" s="89">
        <f t="shared" ca="1" si="53"/>
        <v>131556.80109887433</v>
      </c>
    </row>
    <row r="116" spans="1:28">
      <c r="B116" s="2" t="str">
        <f>B3</f>
        <v>Client Case</v>
      </c>
      <c r="G116" s="37"/>
      <c r="H116" s="220"/>
      <c r="I116" s="107"/>
      <c r="J116" s="107"/>
      <c r="K116" s="106"/>
      <c r="L116" s="107"/>
      <c r="M116" s="107"/>
      <c r="N116" s="107"/>
      <c r="O116" s="106"/>
      <c r="P116" s="107"/>
      <c r="Q116" s="107"/>
      <c r="R116" s="107"/>
      <c r="S116" s="106"/>
      <c r="T116" s="107"/>
      <c r="U116" s="107"/>
      <c r="V116" s="107"/>
      <c r="W116" s="106"/>
      <c r="X116" s="107"/>
      <c r="Y116" s="107"/>
      <c r="Z116" s="107"/>
      <c r="AA116" s="106"/>
      <c r="AB116" s="107"/>
    </row>
    <row r="117" spans="1:28" s="77" customFormat="1">
      <c r="A117"/>
      <c r="B117" s="77" t="str">
        <f>B12</f>
        <v>Terrenos</v>
      </c>
      <c r="C117"/>
      <c r="D117"/>
      <c r="E117"/>
      <c r="F117"/>
      <c r="G117"/>
      <c r="H117" s="341">
        <f>H104</f>
        <v>139000</v>
      </c>
      <c r="I117" s="341">
        <f t="shared" ref="I117:AB117" ca="1" si="54">I104</f>
        <v>107863.74285714285</v>
      </c>
      <c r="J117" s="341">
        <f t="shared" ca="1" si="54"/>
        <v>63272.848979591829</v>
      </c>
      <c r="K117" s="341">
        <f t="shared" ca="1" si="54"/>
        <v>72311.827405247808</v>
      </c>
      <c r="L117" s="341">
        <f t="shared" ca="1" si="54"/>
        <v>82642.088463140361</v>
      </c>
      <c r="M117" s="341">
        <f t="shared" ca="1" si="54"/>
        <v>94448.101100731845</v>
      </c>
      <c r="N117" s="341">
        <f t="shared" ca="1" si="54"/>
        <v>107940.68697226496</v>
      </c>
      <c r="O117" s="341">
        <f t="shared" ca="1" si="54"/>
        <v>123360.78511115996</v>
      </c>
      <c r="P117" s="341">
        <f t="shared" ca="1" si="54"/>
        <v>121126.61155561139</v>
      </c>
      <c r="Q117" s="341">
        <f t="shared" ca="1" si="54"/>
        <v>123021.30708396403</v>
      </c>
      <c r="R117" s="341">
        <f t="shared" ca="1" si="54"/>
        <v>131556.80109887433</v>
      </c>
      <c r="S117" s="341">
        <f t="shared" ca="1" si="54"/>
        <v>140020.3687693924</v>
      </c>
      <c r="T117" s="341">
        <f t="shared" ca="1" si="54"/>
        <v>120210.66595599982</v>
      </c>
      <c r="U117" s="341">
        <f t="shared" ca="1" si="54"/>
        <v>123891.03236389525</v>
      </c>
      <c r="V117" s="341">
        <f t="shared" ca="1" si="54"/>
        <v>126169.65313412815</v>
      </c>
      <c r="W117" s="341">
        <f t="shared" ca="1" si="54"/>
        <v>126570.9199945522</v>
      </c>
      <c r="X117" s="341">
        <f t="shared" ca="1" si="54"/>
        <v>127348.67834297231</v>
      </c>
      <c r="Y117" s="341">
        <f t="shared" ca="1" si="54"/>
        <v>127966.87423711634</v>
      </c>
      <c r="Z117" s="341">
        <f t="shared" ca="1" si="54"/>
        <v>127454.02754257948</v>
      </c>
      <c r="AA117" s="341">
        <f t="shared" ca="1" si="54"/>
        <v>125658.83593874906</v>
      </c>
      <c r="AB117" s="341">
        <f t="shared" ca="1" si="54"/>
        <v>126437.14593628468</v>
      </c>
    </row>
    <row r="118" spans="1:28" s="77" customFormat="1">
      <c r="A118"/>
      <c r="B118" s="77" t="str">
        <f t="shared" ref="B118:B127" si="55">B13</f>
        <v>Edificações</v>
      </c>
      <c r="C118"/>
      <c r="D118"/>
      <c r="E118"/>
      <c r="F118"/>
      <c r="G118"/>
      <c r="H118" s="341">
        <f t="shared" ref="H118:R127" si="56">H105</f>
        <v>0</v>
      </c>
      <c r="I118" s="341">
        <f t="shared" si="56"/>
        <v>0</v>
      </c>
      <c r="J118" s="341">
        <f t="shared" si="56"/>
        <v>0</v>
      </c>
      <c r="K118" s="341">
        <f t="shared" si="56"/>
        <v>0</v>
      </c>
      <c r="L118" s="341">
        <f t="shared" si="56"/>
        <v>0</v>
      </c>
      <c r="M118" s="341">
        <f t="shared" si="56"/>
        <v>0</v>
      </c>
      <c r="N118" s="341">
        <f t="shared" si="56"/>
        <v>0</v>
      </c>
      <c r="O118" s="341">
        <f t="shared" si="56"/>
        <v>0</v>
      </c>
      <c r="P118" s="341">
        <f t="shared" si="56"/>
        <v>0</v>
      </c>
      <c r="Q118" s="341">
        <f t="shared" si="56"/>
        <v>0</v>
      </c>
      <c r="R118" s="341">
        <f t="shared" si="56"/>
        <v>0</v>
      </c>
      <c r="S118" s="341">
        <f t="shared" ref="S118:AB118" si="57">S105</f>
        <v>0</v>
      </c>
      <c r="T118" s="341">
        <f t="shared" si="57"/>
        <v>0</v>
      </c>
      <c r="U118" s="341">
        <f t="shared" si="57"/>
        <v>0</v>
      </c>
      <c r="V118" s="341">
        <f t="shared" si="57"/>
        <v>0</v>
      </c>
      <c r="W118" s="341">
        <f t="shared" si="57"/>
        <v>0</v>
      </c>
      <c r="X118" s="341">
        <f t="shared" si="57"/>
        <v>0</v>
      </c>
      <c r="Y118" s="341">
        <f t="shared" si="57"/>
        <v>0</v>
      </c>
      <c r="Z118" s="341">
        <f t="shared" si="57"/>
        <v>0</v>
      </c>
      <c r="AA118" s="341">
        <f t="shared" si="57"/>
        <v>0</v>
      </c>
      <c r="AB118" s="341">
        <f t="shared" si="57"/>
        <v>0</v>
      </c>
    </row>
    <row r="119" spans="1:28" s="77" customFormat="1">
      <c r="A119"/>
      <c r="B119" s="77" t="str">
        <f t="shared" si="55"/>
        <v>Veículos</v>
      </c>
      <c r="C119"/>
      <c r="D119"/>
      <c r="E119"/>
      <c r="F119"/>
      <c r="G119"/>
      <c r="H119" s="341">
        <f t="shared" si="56"/>
        <v>0</v>
      </c>
      <c r="I119" s="341">
        <f t="shared" si="56"/>
        <v>0</v>
      </c>
      <c r="J119" s="341">
        <f t="shared" si="56"/>
        <v>0</v>
      </c>
      <c r="K119" s="341">
        <f t="shared" si="56"/>
        <v>0</v>
      </c>
      <c r="L119" s="341">
        <f t="shared" si="56"/>
        <v>0</v>
      </c>
      <c r="M119" s="341">
        <f t="shared" si="56"/>
        <v>0</v>
      </c>
      <c r="N119" s="341">
        <f t="shared" si="56"/>
        <v>0</v>
      </c>
      <c r="O119" s="341">
        <f t="shared" si="56"/>
        <v>0</v>
      </c>
      <c r="P119" s="341">
        <f t="shared" si="56"/>
        <v>0</v>
      </c>
      <c r="Q119" s="341">
        <f t="shared" si="56"/>
        <v>0</v>
      </c>
      <c r="R119" s="341">
        <f t="shared" si="56"/>
        <v>0</v>
      </c>
      <c r="S119" s="341">
        <f t="shared" ref="S119:AB119" si="58">S106</f>
        <v>0</v>
      </c>
      <c r="T119" s="341">
        <f t="shared" si="58"/>
        <v>0</v>
      </c>
      <c r="U119" s="341">
        <f t="shared" si="58"/>
        <v>0</v>
      </c>
      <c r="V119" s="341">
        <f t="shared" si="58"/>
        <v>0</v>
      </c>
      <c r="W119" s="341">
        <f t="shared" si="58"/>
        <v>0</v>
      </c>
      <c r="X119" s="341">
        <f t="shared" si="58"/>
        <v>0</v>
      </c>
      <c r="Y119" s="341">
        <f t="shared" si="58"/>
        <v>0</v>
      </c>
      <c r="Z119" s="341">
        <f t="shared" si="58"/>
        <v>0</v>
      </c>
      <c r="AA119" s="341">
        <f t="shared" si="58"/>
        <v>0</v>
      </c>
      <c r="AB119" s="341">
        <f t="shared" si="58"/>
        <v>0</v>
      </c>
    </row>
    <row r="120" spans="1:28" s="77" customFormat="1">
      <c r="A120"/>
      <c r="B120" s="77" t="str">
        <f t="shared" si="55"/>
        <v>Máquinas e Equipamentos</v>
      </c>
      <c r="C120"/>
      <c r="D120"/>
      <c r="E120"/>
      <c r="F120"/>
      <c r="G120"/>
      <c r="H120" s="341">
        <f t="shared" si="56"/>
        <v>0</v>
      </c>
      <c r="I120" s="341">
        <f t="shared" si="56"/>
        <v>0</v>
      </c>
      <c r="J120" s="341">
        <f t="shared" si="56"/>
        <v>0</v>
      </c>
      <c r="K120" s="341">
        <f t="shared" si="56"/>
        <v>0</v>
      </c>
      <c r="L120" s="341">
        <f t="shared" si="56"/>
        <v>0</v>
      </c>
      <c r="M120" s="341">
        <f t="shared" si="56"/>
        <v>0</v>
      </c>
      <c r="N120" s="341">
        <f t="shared" si="56"/>
        <v>0</v>
      </c>
      <c r="O120" s="341">
        <f t="shared" si="56"/>
        <v>0</v>
      </c>
      <c r="P120" s="341">
        <f t="shared" si="56"/>
        <v>0</v>
      </c>
      <c r="Q120" s="341">
        <f t="shared" si="56"/>
        <v>0</v>
      </c>
      <c r="R120" s="341">
        <f t="shared" si="56"/>
        <v>0</v>
      </c>
      <c r="S120" s="341">
        <f t="shared" ref="S120:AB120" si="59">S107</f>
        <v>0</v>
      </c>
      <c r="T120" s="341">
        <f t="shared" si="59"/>
        <v>0</v>
      </c>
      <c r="U120" s="341">
        <f t="shared" si="59"/>
        <v>0</v>
      </c>
      <c r="V120" s="341">
        <f t="shared" si="59"/>
        <v>0</v>
      </c>
      <c r="W120" s="341">
        <f t="shared" si="59"/>
        <v>0</v>
      </c>
      <c r="X120" s="341">
        <f t="shared" si="59"/>
        <v>0</v>
      </c>
      <c r="Y120" s="341">
        <f t="shared" si="59"/>
        <v>0</v>
      </c>
      <c r="Z120" s="341">
        <f t="shared" si="59"/>
        <v>0</v>
      </c>
      <c r="AA120" s="341">
        <f t="shared" si="59"/>
        <v>0</v>
      </c>
      <c r="AB120" s="341">
        <f t="shared" si="59"/>
        <v>0</v>
      </c>
    </row>
    <row r="121" spans="1:28" s="77" customFormat="1">
      <c r="A121"/>
      <c r="B121" s="77" t="str">
        <f t="shared" si="55"/>
        <v>Outros</v>
      </c>
      <c r="C121"/>
      <c r="D121"/>
      <c r="E121"/>
      <c r="F121"/>
      <c r="G121"/>
      <c r="H121" s="341">
        <f t="shared" si="56"/>
        <v>0</v>
      </c>
      <c r="I121" s="341">
        <f t="shared" si="56"/>
        <v>0</v>
      </c>
      <c r="J121" s="341">
        <f t="shared" si="56"/>
        <v>0</v>
      </c>
      <c r="K121" s="341">
        <f t="shared" si="56"/>
        <v>0</v>
      </c>
      <c r="L121" s="341">
        <f t="shared" si="56"/>
        <v>0</v>
      </c>
      <c r="M121" s="341">
        <f t="shared" si="56"/>
        <v>0</v>
      </c>
      <c r="N121" s="341">
        <f t="shared" si="56"/>
        <v>0</v>
      </c>
      <c r="O121" s="341">
        <f t="shared" si="56"/>
        <v>0</v>
      </c>
      <c r="P121" s="341">
        <f t="shared" si="56"/>
        <v>0</v>
      </c>
      <c r="Q121" s="341">
        <f t="shared" si="56"/>
        <v>0</v>
      </c>
      <c r="R121" s="341">
        <f t="shared" si="56"/>
        <v>0</v>
      </c>
      <c r="S121" s="341">
        <f t="shared" ref="S121:AB121" si="60">S108</f>
        <v>0</v>
      </c>
      <c r="T121" s="341">
        <f t="shared" si="60"/>
        <v>0</v>
      </c>
      <c r="U121" s="341">
        <f t="shared" si="60"/>
        <v>0</v>
      </c>
      <c r="V121" s="341">
        <f t="shared" si="60"/>
        <v>0</v>
      </c>
      <c r="W121" s="341">
        <f t="shared" si="60"/>
        <v>0</v>
      </c>
      <c r="X121" s="341">
        <f t="shared" si="60"/>
        <v>0</v>
      </c>
      <c r="Y121" s="341">
        <f t="shared" si="60"/>
        <v>0</v>
      </c>
      <c r="Z121" s="341">
        <f t="shared" si="60"/>
        <v>0</v>
      </c>
      <c r="AA121" s="341">
        <f t="shared" si="60"/>
        <v>0</v>
      </c>
      <c r="AB121" s="341">
        <f t="shared" si="60"/>
        <v>0</v>
      </c>
    </row>
    <row r="122" spans="1:28" s="77" customFormat="1">
      <c r="A122"/>
      <c r="B122" s="77" t="str">
        <f t="shared" si="55"/>
        <v>Centro distribuição</v>
      </c>
      <c r="C122"/>
      <c r="D122"/>
      <c r="E122"/>
      <c r="F122"/>
      <c r="G122"/>
      <c r="H122" s="341">
        <f t="shared" si="56"/>
        <v>0</v>
      </c>
      <c r="I122" s="341">
        <f t="shared" si="56"/>
        <v>0</v>
      </c>
      <c r="J122" s="341">
        <f t="shared" si="56"/>
        <v>0</v>
      </c>
      <c r="K122" s="341">
        <f t="shared" si="56"/>
        <v>0</v>
      </c>
      <c r="L122" s="341">
        <f t="shared" si="56"/>
        <v>0</v>
      </c>
      <c r="M122" s="341">
        <f t="shared" si="56"/>
        <v>0</v>
      </c>
      <c r="N122" s="341">
        <f t="shared" si="56"/>
        <v>0</v>
      </c>
      <c r="O122" s="341">
        <f t="shared" si="56"/>
        <v>0</v>
      </c>
      <c r="P122" s="341">
        <f t="shared" si="56"/>
        <v>0</v>
      </c>
      <c r="Q122" s="341">
        <f t="shared" si="56"/>
        <v>0</v>
      </c>
      <c r="R122" s="341">
        <f t="shared" si="56"/>
        <v>0</v>
      </c>
      <c r="S122" s="341">
        <f t="shared" ref="S122:AB122" si="61">S109</f>
        <v>0</v>
      </c>
      <c r="T122" s="341">
        <f t="shared" si="61"/>
        <v>0</v>
      </c>
      <c r="U122" s="341">
        <f t="shared" si="61"/>
        <v>0</v>
      </c>
      <c r="V122" s="341">
        <f t="shared" si="61"/>
        <v>0</v>
      </c>
      <c r="W122" s="341">
        <f t="shared" si="61"/>
        <v>0</v>
      </c>
      <c r="X122" s="341">
        <f t="shared" si="61"/>
        <v>0</v>
      </c>
      <c r="Y122" s="341">
        <f t="shared" si="61"/>
        <v>0</v>
      </c>
      <c r="Z122" s="341">
        <f t="shared" si="61"/>
        <v>0</v>
      </c>
      <c r="AA122" s="341">
        <f t="shared" si="61"/>
        <v>0</v>
      </c>
      <c r="AB122" s="341">
        <f t="shared" si="61"/>
        <v>0</v>
      </c>
    </row>
    <row r="123" spans="1:28" s="77" customFormat="1">
      <c r="A123"/>
      <c r="B123" s="77" t="str">
        <f t="shared" si="55"/>
        <v>Capex 7</v>
      </c>
      <c r="C123"/>
      <c r="D123"/>
      <c r="E123"/>
      <c r="F123"/>
      <c r="G123"/>
      <c r="H123" s="341">
        <f t="shared" si="56"/>
        <v>0</v>
      </c>
      <c r="I123" s="341">
        <f t="shared" si="56"/>
        <v>0</v>
      </c>
      <c r="J123" s="341">
        <f t="shared" si="56"/>
        <v>0</v>
      </c>
      <c r="K123" s="341">
        <f t="shared" si="56"/>
        <v>0</v>
      </c>
      <c r="L123" s="341">
        <f t="shared" si="56"/>
        <v>0</v>
      </c>
      <c r="M123" s="341">
        <f t="shared" si="56"/>
        <v>0</v>
      </c>
      <c r="N123" s="341">
        <f t="shared" si="56"/>
        <v>0</v>
      </c>
      <c r="O123" s="341">
        <f t="shared" si="56"/>
        <v>0</v>
      </c>
      <c r="P123" s="341">
        <f t="shared" si="56"/>
        <v>0</v>
      </c>
      <c r="Q123" s="341">
        <f t="shared" si="56"/>
        <v>0</v>
      </c>
      <c r="R123" s="341">
        <f t="shared" si="56"/>
        <v>0</v>
      </c>
      <c r="S123" s="341">
        <f t="shared" ref="S123:AB123" si="62">S110</f>
        <v>0</v>
      </c>
      <c r="T123" s="341">
        <f t="shared" si="62"/>
        <v>0</v>
      </c>
      <c r="U123" s="341">
        <f t="shared" si="62"/>
        <v>0</v>
      </c>
      <c r="V123" s="341">
        <f t="shared" si="62"/>
        <v>0</v>
      </c>
      <c r="W123" s="341">
        <f t="shared" si="62"/>
        <v>0</v>
      </c>
      <c r="X123" s="341">
        <f t="shared" si="62"/>
        <v>0</v>
      </c>
      <c r="Y123" s="341">
        <f t="shared" si="62"/>
        <v>0</v>
      </c>
      <c r="Z123" s="341">
        <f t="shared" si="62"/>
        <v>0</v>
      </c>
      <c r="AA123" s="341">
        <f t="shared" si="62"/>
        <v>0</v>
      </c>
      <c r="AB123" s="341">
        <f t="shared" si="62"/>
        <v>0</v>
      </c>
    </row>
    <row r="124" spans="1:28">
      <c r="B124" s="77" t="str">
        <f t="shared" si="55"/>
        <v>Capex 8</v>
      </c>
      <c r="H124" s="341">
        <f t="shared" si="56"/>
        <v>0</v>
      </c>
      <c r="I124" s="341">
        <f t="shared" si="56"/>
        <v>0</v>
      </c>
      <c r="J124" s="341">
        <f t="shared" si="56"/>
        <v>0</v>
      </c>
      <c r="K124" s="341">
        <f t="shared" si="56"/>
        <v>0</v>
      </c>
      <c r="L124" s="341">
        <f t="shared" si="56"/>
        <v>0</v>
      </c>
      <c r="M124" s="341">
        <f t="shared" si="56"/>
        <v>0</v>
      </c>
      <c r="N124" s="341">
        <f t="shared" si="56"/>
        <v>0</v>
      </c>
      <c r="O124" s="341">
        <f t="shared" si="56"/>
        <v>0</v>
      </c>
      <c r="P124" s="341">
        <f t="shared" si="56"/>
        <v>0</v>
      </c>
      <c r="Q124" s="341">
        <f t="shared" si="56"/>
        <v>0</v>
      </c>
      <c r="R124" s="341">
        <f t="shared" si="56"/>
        <v>0</v>
      </c>
      <c r="S124" s="341">
        <f t="shared" ref="S124:AB124" si="63">S111</f>
        <v>0</v>
      </c>
      <c r="T124" s="341">
        <f t="shared" si="63"/>
        <v>0</v>
      </c>
      <c r="U124" s="341">
        <f t="shared" si="63"/>
        <v>0</v>
      </c>
      <c r="V124" s="341">
        <f t="shared" si="63"/>
        <v>0</v>
      </c>
      <c r="W124" s="341">
        <f t="shared" si="63"/>
        <v>0</v>
      </c>
      <c r="X124" s="341">
        <f t="shared" si="63"/>
        <v>0</v>
      </c>
      <c r="Y124" s="341">
        <f t="shared" si="63"/>
        <v>0</v>
      </c>
      <c r="Z124" s="341">
        <f t="shared" si="63"/>
        <v>0</v>
      </c>
      <c r="AA124" s="341">
        <f t="shared" si="63"/>
        <v>0</v>
      </c>
      <c r="AB124" s="341">
        <f t="shared" si="63"/>
        <v>0</v>
      </c>
    </row>
    <row r="125" spans="1:28">
      <c r="B125" s="77" t="str">
        <f t="shared" si="55"/>
        <v>Capex 9</v>
      </c>
      <c r="H125" s="341">
        <f t="shared" si="56"/>
        <v>0</v>
      </c>
      <c r="I125" s="341">
        <f t="shared" si="56"/>
        <v>0</v>
      </c>
      <c r="J125" s="341">
        <f t="shared" si="56"/>
        <v>0</v>
      </c>
      <c r="K125" s="341">
        <f t="shared" si="56"/>
        <v>0</v>
      </c>
      <c r="L125" s="341">
        <f t="shared" si="56"/>
        <v>0</v>
      </c>
      <c r="M125" s="341">
        <f t="shared" si="56"/>
        <v>0</v>
      </c>
      <c r="N125" s="341">
        <f t="shared" si="56"/>
        <v>0</v>
      </c>
      <c r="O125" s="341">
        <f t="shared" si="56"/>
        <v>0</v>
      </c>
      <c r="P125" s="341">
        <f t="shared" si="56"/>
        <v>0</v>
      </c>
      <c r="Q125" s="341">
        <f t="shared" si="56"/>
        <v>0</v>
      </c>
      <c r="R125" s="341">
        <f t="shared" si="56"/>
        <v>0</v>
      </c>
      <c r="S125" s="341">
        <f t="shared" ref="S125:AB125" si="64">S112</f>
        <v>0</v>
      </c>
      <c r="T125" s="341">
        <f t="shared" si="64"/>
        <v>0</v>
      </c>
      <c r="U125" s="341">
        <f t="shared" si="64"/>
        <v>0</v>
      </c>
      <c r="V125" s="341">
        <f t="shared" si="64"/>
        <v>0</v>
      </c>
      <c r="W125" s="341">
        <f t="shared" si="64"/>
        <v>0</v>
      </c>
      <c r="X125" s="341">
        <f t="shared" si="64"/>
        <v>0</v>
      </c>
      <c r="Y125" s="341">
        <f t="shared" si="64"/>
        <v>0</v>
      </c>
      <c r="Z125" s="341">
        <f t="shared" si="64"/>
        <v>0</v>
      </c>
      <c r="AA125" s="341">
        <f t="shared" si="64"/>
        <v>0</v>
      </c>
      <c r="AB125" s="341">
        <f t="shared" si="64"/>
        <v>0</v>
      </c>
    </row>
    <row r="126" spans="1:28">
      <c r="B126" s="77" t="str">
        <f t="shared" si="55"/>
        <v>Capex 10</v>
      </c>
      <c r="H126" s="341">
        <f t="shared" si="56"/>
        <v>0</v>
      </c>
      <c r="I126" s="341">
        <f t="shared" si="56"/>
        <v>0</v>
      </c>
      <c r="J126" s="341">
        <f t="shared" si="56"/>
        <v>0</v>
      </c>
      <c r="K126" s="341">
        <f t="shared" si="56"/>
        <v>0</v>
      </c>
      <c r="L126" s="341">
        <f t="shared" si="56"/>
        <v>0</v>
      </c>
      <c r="M126" s="341">
        <f t="shared" si="56"/>
        <v>0</v>
      </c>
      <c r="N126" s="341">
        <f t="shared" si="56"/>
        <v>0</v>
      </c>
      <c r="O126" s="341">
        <f t="shared" si="56"/>
        <v>0</v>
      </c>
      <c r="P126" s="341">
        <f t="shared" si="56"/>
        <v>0</v>
      </c>
      <c r="Q126" s="341">
        <f t="shared" si="56"/>
        <v>0</v>
      </c>
      <c r="R126" s="341">
        <f t="shared" si="56"/>
        <v>0</v>
      </c>
      <c r="S126" s="341">
        <f t="shared" ref="S126:AB126" si="65">S113</f>
        <v>0</v>
      </c>
      <c r="T126" s="341">
        <f t="shared" si="65"/>
        <v>0</v>
      </c>
      <c r="U126" s="341">
        <f t="shared" si="65"/>
        <v>0</v>
      </c>
      <c r="V126" s="341">
        <f t="shared" si="65"/>
        <v>0</v>
      </c>
      <c r="W126" s="341">
        <f t="shared" si="65"/>
        <v>0</v>
      </c>
      <c r="X126" s="341">
        <f t="shared" si="65"/>
        <v>0</v>
      </c>
      <c r="Y126" s="341">
        <f t="shared" si="65"/>
        <v>0</v>
      </c>
      <c r="Z126" s="341">
        <f t="shared" si="65"/>
        <v>0</v>
      </c>
      <c r="AA126" s="341">
        <f t="shared" si="65"/>
        <v>0</v>
      </c>
      <c r="AB126" s="341">
        <f t="shared" si="65"/>
        <v>0</v>
      </c>
    </row>
    <row r="127" spans="1:28">
      <c r="B127" s="77" t="str">
        <f t="shared" si="55"/>
        <v>Capex 11</v>
      </c>
      <c r="G127" s="37"/>
      <c r="H127" s="341">
        <f t="shared" si="56"/>
        <v>0</v>
      </c>
      <c r="I127" s="341">
        <f t="shared" si="56"/>
        <v>0</v>
      </c>
      <c r="J127" s="341">
        <f t="shared" si="56"/>
        <v>0</v>
      </c>
      <c r="K127" s="341">
        <f t="shared" si="56"/>
        <v>0</v>
      </c>
      <c r="L127" s="341">
        <f t="shared" si="56"/>
        <v>0</v>
      </c>
      <c r="M127" s="341">
        <f t="shared" si="56"/>
        <v>0</v>
      </c>
      <c r="N127" s="341">
        <f t="shared" si="56"/>
        <v>0</v>
      </c>
      <c r="O127" s="341">
        <f t="shared" si="56"/>
        <v>0</v>
      </c>
      <c r="P127" s="341">
        <f t="shared" si="56"/>
        <v>0</v>
      </c>
      <c r="Q127" s="341">
        <f t="shared" si="56"/>
        <v>0</v>
      </c>
      <c r="R127" s="341">
        <f t="shared" si="56"/>
        <v>0</v>
      </c>
      <c r="S127" s="341">
        <f t="shared" ref="S127:AB127" si="66">S114</f>
        <v>0</v>
      </c>
      <c r="T127" s="341">
        <f t="shared" si="66"/>
        <v>0</v>
      </c>
      <c r="U127" s="341">
        <f t="shared" si="66"/>
        <v>0</v>
      </c>
      <c r="V127" s="341">
        <f t="shared" si="66"/>
        <v>0</v>
      </c>
      <c r="W127" s="341">
        <f t="shared" si="66"/>
        <v>0</v>
      </c>
      <c r="X127" s="341">
        <f t="shared" si="66"/>
        <v>0</v>
      </c>
      <c r="Y127" s="341">
        <f t="shared" si="66"/>
        <v>0</v>
      </c>
      <c r="Z127" s="341">
        <f t="shared" si="66"/>
        <v>0</v>
      </c>
      <c r="AA127" s="341">
        <f t="shared" si="66"/>
        <v>0</v>
      </c>
      <c r="AB127" s="341">
        <f t="shared" si="66"/>
        <v>0</v>
      </c>
    </row>
    <row r="128" spans="1:28">
      <c r="H128" s="89">
        <f t="shared" ref="H128:AB128" si="67">SUM(H117:H127)</f>
        <v>139000</v>
      </c>
      <c r="I128" s="89">
        <f t="shared" ca="1" si="67"/>
        <v>107863.74285714285</v>
      </c>
      <c r="J128" s="89">
        <f t="shared" ca="1" si="67"/>
        <v>63272.848979591829</v>
      </c>
      <c r="K128" s="89">
        <f t="shared" ca="1" si="67"/>
        <v>72311.827405247808</v>
      </c>
      <c r="L128" s="89">
        <f t="shared" ca="1" si="67"/>
        <v>82642.088463140361</v>
      </c>
      <c r="M128" s="89">
        <f t="shared" ca="1" si="67"/>
        <v>94448.101100731845</v>
      </c>
      <c r="N128" s="89">
        <f t="shared" ca="1" si="67"/>
        <v>107940.68697226496</v>
      </c>
      <c r="O128" s="89">
        <f t="shared" ca="1" si="67"/>
        <v>123360.78511115996</v>
      </c>
      <c r="P128" s="89">
        <f t="shared" ca="1" si="67"/>
        <v>121126.61155561139</v>
      </c>
      <c r="Q128" s="89">
        <f t="shared" ca="1" si="67"/>
        <v>123021.30708396403</v>
      </c>
      <c r="R128" s="89">
        <f t="shared" ca="1" si="67"/>
        <v>131556.80109887433</v>
      </c>
      <c r="S128" s="89">
        <f t="shared" ca="1" si="67"/>
        <v>140020.3687693924</v>
      </c>
      <c r="T128" s="89">
        <f t="shared" ca="1" si="67"/>
        <v>120210.66595599982</v>
      </c>
      <c r="U128" s="89">
        <f t="shared" ca="1" si="67"/>
        <v>123891.03236389525</v>
      </c>
      <c r="V128" s="89">
        <f t="shared" ca="1" si="67"/>
        <v>126169.65313412815</v>
      </c>
      <c r="W128" s="89">
        <f t="shared" ca="1" si="67"/>
        <v>126570.9199945522</v>
      </c>
      <c r="X128" s="89">
        <f t="shared" ca="1" si="67"/>
        <v>127348.67834297231</v>
      </c>
      <c r="Y128" s="89">
        <f t="shared" ca="1" si="67"/>
        <v>127966.87423711634</v>
      </c>
      <c r="Z128" s="89">
        <f t="shared" ca="1" si="67"/>
        <v>127454.02754257948</v>
      </c>
      <c r="AA128" s="89">
        <f t="shared" ca="1" si="67"/>
        <v>125658.83593874906</v>
      </c>
      <c r="AB128" s="89">
        <f t="shared" ca="1" si="67"/>
        <v>126437.14593628468</v>
      </c>
    </row>
    <row r="129" spans="1:28">
      <c r="B129" s="2" t="str">
        <f>B4</f>
        <v>Stress Case</v>
      </c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</row>
    <row r="130" spans="1:28" s="77" customFormat="1">
      <c r="A130"/>
      <c r="B130" s="77" t="str">
        <f>B12</f>
        <v>Terrenos</v>
      </c>
      <c r="C130"/>
      <c r="D130"/>
      <c r="E130"/>
      <c r="F130"/>
      <c r="G130"/>
      <c r="H130" s="341">
        <f>H104</f>
        <v>139000</v>
      </c>
      <c r="I130" s="341">
        <f t="shared" ref="I130:AB130" ca="1" si="68">I104</f>
        <v>107863.74285714285</v>
      </c>
      <c r="J130" s="341">
        <f t="shared" ca="1" si="68"/>
        <v>63272.848979591829</v>
      </c>
      <c r="K130" s="341">
        <f t="shared" ca="1" si="68"/>
        <v>72311.827405247808</v>
      </c>
      <c r="L130" s="341">
        <f t="shared" ca="1" si="68"/>
        <v>82642.088463140361</v>
      </c>
      <c r="M130" s="341">
        <f t="shared" ca="1" si="68"/>
        <v>94448.101100731845</v>
      </c>
      <c r="N130" s="341">
        <f t="shared" ca="1" si="68"/>
        <v>107940.68697226496</v>
      </c>
      <c r="O130" s="341">
        <f t="shared" ca="1" si="68"/>
        <v>123360.78511115996</v>
      </c>
      <c r="P130" s="341">
        <f t="shared" ca="1" si="68"/>
        <v>121126.61155561139</v>
      </c>
      <c r="Q130" s="341">
        <f t="shared" ca="1" si="68"/>
        <v>123021.30708396403</v>
      </c>
      <c r="R130" s="341">
        <f t="shared" ca="1" si="68"/>
        <v>131556.80109887433</v>
      </c>
      <c r="S130" s="341">
        <f t="shared" ca="1" si="68"/>
        <v>140020.3687693924</v>
      </c>
      <c r="T130" s="341">
        <f t="shared" ca="1" si="68"/>
        <v>120210.66595599982</v>
      </c>
      <c r="U130" s="341">
        <f t="shared" ca="1" si="68"/>
        <v>123891.03236389525</v>
      </c>
      <c r="V130" s="341">
        <f t="shared" ca="1" si="68"/>
        <v>126169.65313412815</v>
      </c>
      <c r="W130" s="341">
        <f t="shared" ca="1" si="68"/>
        <v>126570.9199945522</v>
      </c>
      <c r="X130" s="341">
        <f t="shared" ca="1" si="68"/>
        <v>127348.67834297231</v>
      </c>
      <c r="Y130" s="341">
        <f t="shared" ca="1" si="68"/>
        <v>127966.87423711634</v>
      </c>
      <c r="Z130" s="341">
        <f t="shared" ca="1" si="68"/>
        <v>127454.02754257948</v>
      </c>
      <c r="AA130" s="341">
        <f t="shared" ca="1" si="68"/>
        <v>125658.83593874906</v>
      </c>
      <c r="AB130" s="341">
        <f t="shared" ca="1" si="68"/>
        <v>126437.14593628468</v>
      </c>
    </row>
    <row r="131" spans="1:28" s="77" customFormat="1">
      <c r="A131"/>
      <c r="B131" s="77" t="str">
        <f t="shared" ref="B131:B139" si="69">B13</f>
        <v>Edificações</v>
      </c>
      <c r="C131"/>
      <c r="D131"/>
      <c r="E131"/>
      <c r="F131"/>
      <c r="G131"/>
      <c r="H131" s="341">
        <f t="shared" ref="H131:R131" si="70">H118</f>
        <v>0</v>
      </c>
      <c r="I131" s="341">
        <f t="shared" si="70"/>
        <v>0</v>
      </c>
      <c r="J131" s="341">
        <f t="shared" si="70"/>
        <v>0</v>
      </c>
      <c r="K131" s="341">
        <f t="shared" si="70"/>
        <v>0</v>
      </c>
      <c r="L131" s="341">
        <f t="shared" si="70"/>
        <v>0</v>
      </c>
      <c r="M131" s="341">
        <f t="shared" si="70"/>
        <v>0</v>
      </c>
      <c r="N131" s="341">
        <f t="shared" si="70"/>
        <v>0</v>
      </c>
      <c r="O131" s="341">
        <f t="shared" si="70"/>
        <v>0</v>
      </c>
      <c r="P131" s="341">
        <f t="shared" si="70"/>
        <v>0</v>
      </c>
      <c r="Q131" s="341">
        <f t="shared" si="70"/>
        <v>0</v>
      </c>
      <c r="R131" s="341">
        <f t="shared" si="70"/>
        <v>0</v>
      </c>
      <c r="S131" s="341">
        <f t="shared" ref="S131:AB131" si="71">S118</f>
        <v>0</v>
      </c>
      <c r="T131" s="341">
        <f t="shared" si="71"/>
        <v>0</v>
      </c>
      <c r="U131" s="341">
        <f t="shared" si="71"/>
        <v>0</v>
      </c>
      <c r="V131" s="341">
        <f t="shared" si="71"/>
        <v>0</v>
      </c>
      <c r="W131" s="341">
        <f t="shared" si="71"/>
        <v>0</v>
      </c>
      <c r="X131" s="341">
        <f t="shared" si="71"/>
        <v>0</v>
      </c>
      <c r="Y131" s="341">
        <f t="shared" si="71"/>
        <v>0</v>
      </c>
      <c r="Z131" s="341">
        <f t="shared" si="71"/>
        <v>0</v>
      </c>
      <c r="AA131" s="341">
        <f t="shared" si="71"/>
        <v>0</v>
      </c>
      <c r="AB131" s="341">
        <f t="shared" si="71"/>
        <v>0</v>
      </c>
    </row>
    <row r="132" spans="1:28" s="77" customFormat="1">
      <c r="A132"/>
      <c r="B132" s="77" t="str">
        <f t="shared" si="69"/>
        <v>Veículos</v>
      </c>
      <c r="C132"/>
      <c r="D132"/>
      <c r="E132"/>
      <c r="F132"/>
      <c r="G132"/>
      <c r="H132" s="341">
        <f t="shared" ref="H132:R132" si="72">H119</f>
        <v>0</v>
      </c>
      <c r="I132" s="341">
        <f t="shared" si="72"/>
        <v>0</v>
      </c>
      <c r="J132" s="341">
        <f t="shared" si="72"/>
        <v>0</v>
      </c>
      <c r="K132" s="341">
        <f t="shared" si="72"/>
        <v>0</v>
      </c>
      <c r="L132" s="341">
        <f t="shared" si="72"/>
        <v>0</v>
      </c>
      <c r="M132" s="341">
        <f t="shared" si="72"/>
        <v>0</v>
      </c>
      <c r="N132" s="341">
        <f t="shared" si="72"/>
        <v>0</v>
      </c>
      <c r="O132" s="341">
        <f t="shared" si="72"/>
        <v>0</v>
      </c>
      <c r="P132" s="341">
        <f t="shared" si="72"/>
        <v>0</v>
      </c>
      <c r="Q132" s="341">
        <f t="shared" si="72"/>
        <v>0</v>
      </c>
      <c r="R132" s="341">
        <f t="shared" si="72"/>
        <v>0</v>
      </c>
      <c r="S132" s="341">
        <f t="shared" ref="S132:AB132" si="73">S119</f>
        <v>0</v>
      </c>
      <c r="T132" s="341">
        <f t="shared" si="73"/>
        <v>0</v>
      </c>
      <c r="U132" s="341">
        <f t="shared" si="73"/>
        <v>0</v>
      </c>
      <c r="V132" s="341">
        <f t="shared" si="73"/>
        <v>0</v>
      </c>
      <c r="W132" s="341">
        <f t="shared" si="73"/>
        <v>0</v>
      </c>
      <c r="X132" s="341">
        <f t="shared" si="73"/>
        <v>0</v>
      </c>
      <c r="Y132" s="341">
        <f t="shared" si="73"/>
        <v>0</v>
      </c>
      <c r="Z132" s="341">
        <f t="shared" si="73"/>
        <v>0</v>
      </c>
      <c r="AA132" s="341">
        <f t="shared" si="73"/>
        <v>0</v>
      </c>
      <c r="AB132" s="341">
        <f t="shared" si="73"/>
        <v>0</v>
      </c>
    </row>
    <row r="133" spans="1:28" s="77" customFormat="1">
      <c r="A133"/>
      <c r="B133" s="77" t="str">
        <f t="shared" si="69"/>
        <v>Máquinas e Equipamentos</v>
      </c>
      <c r="C133"/>
      <c r="D133"/>
      <c r="E133"/>
      <c r="F133"/>
      <c r="G133"/>
      <c r="H133" s="341">
        <f t="shared" ref="H133:R133" si="74">H120</f>
        <v>0</v>
      </c>
      <c r="I133" s="341">
        <f t="shared" si="74"/>
        <v>0</v>
      </c>
      <c r="J133" s="341">
        <f t="shared" si="74"/>
        <v>0</v>
      </c>
      <c r="K133" s="341">
        <f t="shared" si="74"/>
        <v>0</v>
      </c>
      <c r="L133" s="341">
        <f t="shared" si="74"/>
        <v>0</v>
      </c>
      <c r="M133" s="341">
        <f t="shared" si="74"/>
        <v>0</v>
      </c>
      <c r="N133" s="341">
        <f t="shared" si="74"/>
        <v>0</v>
      </c>
      <c r="O133" s="341">
        <f t="shared" si="74"/>
        <v>0</v>
      </c>
      <c r="P133" s="341">
        <f t="shared" si="74"/>
        <v>0</v>
      </c>
      <c r="Q133" s="341">
        <f t="shared" si="74"/>
        <v>0</v>
      </c>
      <c r="R133" s="341">
        <f t="shared" si="74"/>
        <v>0</v>
      </c>
      <c r="S133" s="341">
        <f t="shared" ref="S133:AB133" si="75">S120</f>
        <v>0</v>
      </c>
      <c r="T133" s="341">
        <f t="shared" si="75"/>
        <v>0</v>
      </c>
      <c r="U133" s="341">
        <f t="shared" si="75"/>
        <v>0</v>
      </c>
      <c r="V133" s="341">
        <f t="shared" si="75"/>
        <v>0</v>
      </c>
      <c r="W133" s="341">
        <f t="shared" si="75"/>
        <v>0</v>
      </c>
      <c r="X133" s="341">
        <f t="shared" si="75"/>
        <v>0</v>
      </c>
      <c r="Y133" s="341">
        <f t="shared" si="75"/>
        <v>0</v>
      </c>
      <c r="Z133" s="341">
        <f t="shared" si="75"/>
        <v>0</v>
      </c>
      <c r="AA133" s="341">
        <f t="shared" si="75"/>
        <v>0</v>
      </c>
      <c r="AB133" s="341">
        <f t="shared" si="75"/>
        <v>0</v>
      </c>
    </row>
    <row r="134" spans="1:28" s="77" customFormat="1">
      <c r="A134"/>
      <c r="B134" s="77" t="str">
        <f t="shared" si="69"/>
        <v>Outros</v>
      </c>
      <c r="C134"/>
      <c r="D134"/>
      <c r="E134"/>
      <c r="F134"/>
      <c r="G134"/>
      <c r="H134" s="341">
        <f t="shared" ref="H134:R134" si="76">H121</f>
        <v>0</v>
      </c>
      <c r="I134" s="341">
        <f t="shared" si="76"/>
        <v>0</v>
      </c>
      <c r="J134" s="341">
        <f t="shared" si="76"/>
        <v>0</v>
      </c>
      <c r="K134" s="341">
        <f t="shared" si="76"/>
        <v>0</v>
      </c>
      <c r="L134" s="341">
        <f t="shared" si="76"/>
        <v>0</v>
      </c>
      <c r="M134" s="341">
        <f t="shared" si="76"/>
        <v>0</v>
      </c>
      <c r="N134" s="341">
        <f t="shared" si="76"/>
        <v>0</v>
      </c>
      <c r="O134" s="341">
        <f t="shared" si="76"/>
        <v>0</v>
      </c>
      <c r="P134" s="341">
        <f t="shared" si="76"/>
        <v>0</v>
      </c>
      <c r="Q134" s="341">
        <f t="shared" si="76"/>
        <v>0</v>
      </c>
      <c r="R134" s="341">
        <f t="shared" si="76"/>
        <v>0</v>
      </c>
      <c r="S134" s="341">
        <f t="shared" ref="S134:AB134" si="77">S121</f>
        <v>0</v>
      </c>
      <c r="T134" s="341">
        <f t="shared" si="77"/>
        <v>0</v>
      </c>
      <c r="U134" s="341">
        <f t="shared" si="77"/>
        <v>0</v>
      </c>
      <c r="V134" s="341">
        <f t="shared" si="77"/>
        <v>0</v>
      </c>
      <c r="W134" s="341">
        <f t="shared" si="77"/>
        <v>0</v>
      </c>
      <c r="X134" s="341">
        <f t="shared" si="77"/>
        <v>0</v>
      </c>
      <c r="Y134" s="341">
        <f t="shared" si="77"/>
        <v>0</v>
      </c>
      <c r="Z134" s="341">
        <f t="shared" si="77"/>
        <v>0</v>
      </c>
      <c r="AA134" s="341">
        <f t="shared" si="77"/>
        <v>0</v>
      </c>
      <c r="AB134" s="341">
        <f t="shared" si="77"/>
        <v>0</v>
      </c>
    </row>
    <row r="135" spans="1:28" s="77" customFormat="1">
      <c r="A135"/>
      <c r="B135" s="77" t="str">
        <f t="shared" si="69"/>
        <v>Centro distribuição</v>
      </c>
      <c r="C135"/>
      <c r="D135"/>
      <c r="E135"/>
      <c r="F135"/>
      <c r="G135"/>
      <c r="H135" s="341">
        <f t="shared" ref="H135:R135" si="78">H122</f>
        <v>0</v>
      </c>
      <c r="I135" s="341">
        <f t="shared" si="78"/>
        <v>0</v>
      </c>
      <c r="J135" s="341">
        <f t="shared" si="78"/>
        <v>0</v>
      </c>
      <c r="K135" s="341">
        <f t="shared" si="78"/>
        <v>0</v>
      </c>
      <c r="L135" s="341">
        <f t="shared" si="78"/>
        <v>0</v>
      </c>
      <c r="M135" s="341">
        <f t="shared" si="78"/>
        <v>0</v>
      </c>
      <c r="N135" s="341">
        <f t="shared" si="78"/>
        <v>0</v>
      </c>
      <c r="O135" s="341">
        <f t="shared" si="78"/>
        <v>0</v>
      </c>
      <c r="P135" s="341">
        <f t="shared" si="78"/>
        <v>0</v>
      </c>
      <c r="Q135" s="341">
        <f t="shared" si="78"/>
        <v>0</v>
      </c>
      <c r="R135" s="341">
        <f t="shared" si="78"/>
        <v>0</v>
      </c>
      <c r="S135" s="341">
        <f t="shared" ref="S135:AB135" si="79">S122</f>
        <v>0</v>
      </c>
      <c r="T135" s="341">
        <f t="shared" si="79"/>
        <v>0</v>
      </c>
      <c r="U135" s="341">
        <f t="shared" si="79"/>
        <v>0</v>
      </c>
      <c r="V135" s="341">
        <f t="shared" si="79"/>
        <v>0</v>
      </c>
      <c r="W135" s="341">
        <f t="shared" si="79"/>
        <v>0</v>
      </c>
      <c r="X135" s="341">
        <f t="shared" si="79"/>
        <v>0</v>
      </c>
      <c r="Y135" s="341">
        <f t="shared" si="79"/>
        <v>0</v>
      </c>
      <c r="Z135" s="341">
        <f t="shared" si="79"/>
        <v>0</v>
      </c>
      <c r="AA135" s="341">
        <f t="shared" si="79"/>
        <v>0</v>
      </c>
      <c r="AB135" s="341">
        <f t="shared" si="79"/>
        <v>0</v>
      </c>
    </row>
    <row r="136" spans="1:28" s="77" customFormat="1">
      <c r="A136"/>
      <c r="B136" s="77" t="str">
        <f t="shared" si="69"/>
        <v>Capex 7</v>
      </c>
      <c r="C136"/>
      <c r="D136"/>
      <c r="E136"/>
      <c r="F136"/>
      <c r="G136"/>
      <c r="H136" s="341">
        <f t="shared" ref="H136:R136" si="80">H123</f>
        <v>0</v>
      </c>
      <c r="I136" s="341">
        <f t="shared" si="80"/>
        <v>0</v>
      </c>
      <c r="J136" s="341">
        <f t="shared" si="80"/>
        <v>0</v>
      </c>
      <c r="K136" s="341">
        <f t="shared" si="80"/>
        <v>0</v>
      </c>
      <c r="L136" s="341">
        <f t="shared" si="80"/>
        <v>0</v>
      </c>
      <c r="M136" s="341">
        <f t="shared" si="80"/>
        <v>0</v>
      </c>
      <c r="N136" s="341">
        <f t="shared" si="80"/>
        <v>0</v>
      </c>
      <c r="O136" s="341">
        <f t="shared" si="80"/>
        <v>0</v>
      </c>
      <c r="P136" s="341">
        <f t="shared" si="80"/>
        <v>0</v>
      </c>
      <c r="Q136" s="341">
        <f t="shared" si="80"/>
        <v>0</v>
      </c>
      <c r="R136" s="341">
        <f t="shared" si="80"/>
        <v>0</v>
      </c>
      <c r="S136" s="341">
        <f t="shared" ref="S136:AB136" si="81">S123</f>
        <v>0</v>
      </c>
      <c r="T136" s="341">
        <f t="shared" si="81"/>
        <v>0</v>
      </c>
      <c r="U136" s="341">
        <f t="shared" si="81"/>
        <v>0</v>
      </c>
      <c r="V136" s="341">
        <f t="shared" si="81"/>
        <v>0</v>
      </c>
      <c r="W136" s="341">
        <f t="shared" si="81"/>
        <v>0</v>
      </c>
      <c r="X136" s="341">
        <f t="shared" si="81"/>
        <v>0</v>
      </c>
      <c r="Y136" s="341">
        <f t="shared" si="81"/>
        <v>0</v>
      </c>
      <c r="Z136" s="341">
        <f t="shared" si="81"/>
        <v>0</v>
      </c>
      <c r="AA136" s="341">
        <f t="shared" si="81"/>
        <v>0</v>
      </c>
      <c r="AB136" s="341">
        <f t="shared" si="81"/>
        <v>0</v>
      </c>
    </row>
    <row r="137" spans="1:28">
      <c r="B137" s="77" t="str">
        <f t="shared" si="69"/>
        <v>Capex 8</v>
      </c>
      <c r="H137" s="341">
        <f t="shared" ref="H137:R137" si="82">H124</f>
        <v>0</v>
      </c>
      <c r="I137" s="341">
        <f t="shared" si="82"/>
        <v>0</v>
      </c>
      <c r="J137" s="341">
        <f t="shared" si="82"/>
        <v>0</v>
      </c>
      <c r="K137" s="341">
        <f t="shared" si="82"/>
        <v>0</v>
      </c>
      <c r="L137" s="341">
        <f t="shared" si="82"/>
        <v>0</v>
      </c>
      <c r="M137" s="341">
        <f t="shared" si="82"/>
        <v>0</v>
      </c>
      <c r="N137" s="341">
        <f t="shared" si="82"/>
        <v>0</v>
      </c>
      <c r="O137" s="341">
        <f t="shared" si="82"/>
        <v>0</v>
      </c>
      <c r="P137" s="341">
        <f t="shared" si="82"/>
        <v>0</v>
      </c>
      <c r="Q137" s="341">
        <f t="shared" si="82"/>
        <v>0</v>
      </c>
      <c r="R137" s="341">
        <f t="shared" si="82"/>
        <v>0</v>
      </c>
      <c r="S137" s="341">
        <f t="shared" ref="S137:AB137" si="83">S124</f>
        <v>0</v>
      </c>
      <c r="T137" s="341">
        <f t="shared" si="83"/>
        <v>0</v>
      </c>
      <c r="U137" s="341">
        <f t="shared" si="83"/>
        <v>0</v>
      </c>
      <c r="V137" s="341">
        <f t="shared" si="83"/>
        <v>0</v>
      </c>
      <c r="W137" s="341">
        <f t="shared" si="83"/>
        <v>0</v>
      </c>
      <c r="X137" s="341">
        <f t="shared" si="83"/>
        <v>0</v>
      </c>
      <c r="Y137" s="341">
        <f t="shared" si="83"/>
        <v>0</v>
      </c>
      <c r="Z137" s="341">
        <f t="shared" si="83"/>
        <v>0</v>
      </c>
      <c r="AA137" s="341">
        <f t="shared" si="83"/>
        <v>0</v>
      </c>
      <c r="AB137" s="341">
        <f t="shared" si="83"/>
        <v>0</v>
      </c>
    </row>
    <row r="138" spans="1:28">
      <c r="B138" s="77" t="str">
        <f t="shared" si="69"/>
        <v>Capex 9</v>
      </c>
      <c r="H138" s="341">
        <f t="shared" ref="H138:R138" si="84">H125</f>
        <v>0</v>
      </c>
      <c r="I138" s="341">
        <f t="shared" si="84"/>
        <v>0</v>
      </c>
      <c r="J138" s="341">
        <f t="shared" si="84"/>
        <v>0</v>
      </c>
      <c r="K138" s="341">
        <f t="shared" si="84"/>
        <v>0</v>
      </c>
      <c r="L138" s="341">
        <f t="shared" si="84"/>
        <v>0</v>
      </c>
      <c r="M138" s="341">
        <f t="shared" si="84"/>
        <v>0</v>
      </c>
      <c r="N138" s="341">
        <f t="shared" si="84"/>
        <v>0</v>
      </c>
      <c r="O138" s="341">
        <f t="shared" si="84"/>
        <v>0</v>
      </c>
      <c r="P138" s="341">
        <f t="shared" si="84"/>
        <v>0</v>
      </c>
      <c r="Q138" s="341">
        <f t="shared" si="84"/>
        <v>0</v>
      </c>
      <c r="R138" s="341">
        <f t="shared" si="84"/>
        <v>0</v>
      </c>
      <c r="S138" s="341">
        <f t="shared" ref="S138:AB138" si="85">S125</f>
        <v>0</v>
      </c>
      <c r="T138" s="341">
        <f t="shared" si="85"/>
        <v>0</v>
      </c>
      <c r="U138" s="341">
        <f t="shared" si="85"/>
        <v>0</v>
      </c>
      <c r="V138" s="341">
        <f t="shared" si="85"/>
        <v>0</v>
      </c>
      <c r="W138" s="341">
        <f t="shared" si="85"/>
        <v>0</v>
      </c>
      <c r="X138" s="341">
        <f t="shared" si="85"/>
        <v>0</v>
      </c>
      <c r="Y138" s="341">
        <f t="shared" si="85"/>
        <v>0</v>
      </c>
      <c r="Z138" s="341">
        <f t="shared" si="85"/>
        <v>0</v>
      </c>
      <c r="AA138" s="341">
        <f t="shared" si="85"/>
        <v>0</v>
      </c>
      <c r="AB138" s="341">
        <f t="shared" si="85"/>
        <v>0</v>
      </c>
    </row>
    <row r="139" spans="1:28">
      <c r="B139" s="77" t="str">
        <f t="shared" si="69"/>
        <v>Capex 10</v>
      </c>
      <c r="H139" s="341">
        <f t="shared" ref="H139:R139" si="86">H126</f>
        <v>0</v>
      </c>
      <c r="I139" s="341">
        <f t="shared" si="86"/>
        <v>0</v>
      </c>
      <c r="J139" s="341">
        <f t="shared" si="86"/>
        <v>0</v>
      </c>
      <c r="K139" s="341">
        <f t="shared" si="86"/>
        <v>0</v>
      </c>
      <c r="L139" s="341">
        <f t="shared" si="86"/>
        <v>0</v>
      </c>
      <c r="M139" s="341">
        <f t="shared" si="86"/>
        <v>0</v>
      </c>
      <c r="N139" s="341">
        <f t="shared" si="86"/>
        <v>0</v>
      </c>
      <c r="O139" s="341">
        <f t="shared" si="86"/>
        <v>0</v>
      </c>
      <c r="P139" s="341">
        <f t="shared" si="86"/>
        <v>0</v>
      </c>
      <c r="Q139" s="341">
        <f t="shared" si="86"/>
        <v>0</v>
      </c>
      <c r="R139" s="341">
        <f t="shared" si="86"/>
        <v>0</v>
      </c>
      <c r="S139" s="341">
        <f t="shared" ref="S139:AB139" si="87">S126</f>
        <v>0</v>
      </c>
      <c r="T139" s="341">
        <f t="shared" si="87"/>
        <v>0</v>
      </c>
      <c r="U139" s="341">
        <f t="shared" si="87"/>
        <v>0</v>
      </c>
      <c r="V139" s="341">
        <f t="shared" si="87"/>
        <v>0</v>
      </c>
      <c r="W139" s="341">
        <f t="shared" si="87"/>
        <v>0</v>
      </c>
      <c r="X139" s="341">
        <f t="shared" si="87"/>
        <v>0</v>
      </c>
      <c r="Y139" s="341">
        <f t="shared" si="87"/>
        <v>0</v>
      </c>
      <c r="Z139" s="341">
        <f t="shared" si="87"/>
        <v>0</v>
      </c>
      <c r="AA139" s="341">
        <f t="shared" si="87"/>
        <v>0</v>
      </c>
      <c r="AB139" s="341">
        <f t="shared" si="87"/>
        <v>0</v>
      </c>
    </row>
    <row r="140" spans="1:28">
      <c r="B140" s="77" t="str">
        <f>B22</f>
        <v>Capex 11</v>
      </c>
      <c r="G140" s="37"/>
      <c r="H140" s="341">
        <f t="shared" ref="H140:R140" si="88">H127</f>
        <v>0</v>
      </c>
      <c r="I140" s="341">
        <f t="shared" si="88"/>
        <v>0</v>
      </c>
      <c r="J140" s="341">
        <f t="shared" si="88"/>
        <v>0</v>
      </c>
      <c r="K140" s="341">
        <f t="shared" si="88"/>
        <v>0</v>
      </c>
      <c r="L140" s="341">
        <f t="shared" si="88"/>
        <v>0</v>
      </c>
      <c r="M140" s="341">
        <f t="shared" si="88"/>
        <v>0</v>
      </c>
      <c r="N140" s="341">
        <f t="shared" si="88"/>
        <v>0</v>
      </c>
      <c r="O140" s="341">
        <f t="shared" si="88"/>
        <v>0</v>
      </c>
      <c r="P140" s="341">
        <f t="shared" si="88"/>
        <v>0</v>
      </c>
      <c r="Q140" s="341">
        <f t="shared" si="88"/>
        <v>0</v>
      </c>
      <c r="R140" s="341">
        <f t="shared" si="88"/>
        <v>0</v>
      </c>
      <c r="S140" s="341">
        <f t="shared" ref="S140:AB140" si="89">S127</f>
        <v>0</v>
      </c>
      <c r="T140" s="341">
        <f t="shared" si="89"/>
        <v>0</v>
      </c>
      <c r="U140" s="341">
        <f t="shared" si="89"/>
        <v>0</v>
      </c>
      <c r="V140" s="341">
        <f t="shared" si="89"/>
        <v>0</v>
      </c>
      <c r="W140" s="341">
        <f t="shared" si="89"/>
        <v>0</v>
      </c>
      <c r="X140" s="341">
        <f t="shared" si="89"/>
        <v>0</v>
      </c>
      <c r="Y140" s="341">
        <f t="shared" si="89"/>
        <v>0</v>
      </c>
      <c r="Z140" s="341">
        <f t="shared" si="89"/>
        <v>0</v>
      </c>
      <c r="AA140" s="341">
        <f t="shared" si="89"/>
        <v>0</v>
      </c>
      <c r="AB140" s="341">
        <f t="shared" si="89"/>
        <v>0</v>
      </c>
    </row>
    <row r="141" spans="1:28">
      <c r="H141" s="89">
        <f t="shared" ref="H141:R141" si="90">SUM(H130:H140)</f>
        <v>139000</v>
      </c>
      <c r="I141" s="89">
        <f t="shared" ca="1" si="90"/>
        <v>107863.74285714285</v>
      </c>
      <c r="J141" s="89">
        <f t="shared" ca="1" si="90"/>
        <v>63272.848979591829</v>
      </c>
      <c r="K141" s="89">
        <f t="shared" ca="1" si="90"/>
        <v>72311.827405247808</v>
      </c>
      <c r="L141" s="89">
        <f t="shared" ca="1" si="90"/>
        <v>82642.088463140361</v>
      </c>
      <c r="M141" s="89">
        <f t="shared" ca="1" si="90"/>
        <v>94448.101100731845</v>
      </c>
      <c r="N141" s="89">
        <f t="shared" ca="1" si="90"/>
        <v>107940.68697226496</v>
      </c>
      <c r="O141" s="89">
        <f t="shared" ca="1" si="90"/>
        <v>123360.78511115996</v>
      </c>
      <c r="P141" s="89">
        <f t="shared" ca="1" si="90"/>
        <v>121126.61155561139</v>
      </c>
      <c r="Q141" s="89">
        <f t="shared" ca="1" si="90"/>
        <v>123021.30708396403</v>
      </c>
      <c r="R141" s="89">
        <f t="shared" ca="1" si="90"/>
        <v>131556.80109887433</v>
      </c>
      <c r="S141" s="89">
        <f t="shared" ref="S141:AB141" ca="1" si="91">SUM(S130:S140)</f>
        <v>140020.3687693924</v>
      </c>
      <c r="T141" s="89">
        <f t="shared" ca="1" si="91"/>
        <v>120210.66595599982</v>
      </c>
      <c r="U141" s="89">
        <f t="shared" ca="1" si="91"/>
        <v>123891.03236389525</v>
      </c>
      <c r="V141" s="89">
        <f t="shared" ca="1" si="91"/>
        <v>126169.65313412815</v>
      </c>
      <c r="W141" s="89">
        <f t="shared" ca="1" si="91"/>
        <v>126570.9199945522</v>
      </c>
      <c r="X141" s="89">
        <f t="shared" ca="1" si="91"/>
        <v>127348.67834297231</v>
      </c>
      <c r="Y141" s="89">
        <f t="shared" ca="1" si="91"/>
        <v>127966.87423711634</v>
      </c>
      <c r="Z141" s="89">
        <f t="shared" ca="1" si="91"/>
        <v>127454.02754257948</v>
      </c>
      <c r="AA141" s="89">
        <f t="shared" ca="1" si="91"/>
        <v>125658.83593874906</v>
      </c>
      <c r="AB141" s="89">
        <f t="shared" ca="1" si="91"/>
        <v>126437.14593628468</v>
      </c>
    </row>
  </sheetData>
  <phoneticPr fontId="7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AB74"/>
  <sheetViews>
    <sheetView zoomScale="85" zoomScaleNormal="85" zoomScaleSheetLayoutView="100" workbookViewId="0">
      <pane xSplit="7" ySplit="7" topLeftCell="H23" activePane="bottomRight" state="frozen"/>
      <selection activeCell="H55" sqref="H55"/>
      <selection pane="topRight" activeCell="H55" sqref="H55"/>
      <selection pane="bottomLeft" activeCell="H55" sqref="H55"/>
      <selection pane="bottomRight" activeCell="H36" sqref="H36"/>
    </sheetView>
  </sheetViews>
  <sheetFormatPr defaultColWidth="9.109375" defaultRowHeight="13.2" outlineLevelCol="1"/>
  <cols>
    <col min="1" max="1" width="1.33203125" style="486" customWidth="1"/>
    <col min="2" max="2" width="29" style="486" customWidth="1"/>
    <col min="3" max="3" width="1.44140625" style="486" customWidth="1"/>
    <col min="4" max="5" width="11.109375" style="486" hidden="1" customWidth="1" outlineLevel="1"/>
    <col min="6" max="6" width="9.6640625" style="486" customWidth="1" outlineLevel="1"/>
    <col min="7" max="7" width="9.6640625" style="486" customWidth="1"/>
    <col min="8" max="8" width="12.6640625" style="486" bestFit="1" customWidth="1"/>
    <col min="9" max="13" width="11.109375" style="486" customWidth="1"/>
    <col min="14" max="28" width="11.109375" style="486" customWidth="1" outlineLevel="1"/>
    <col min="29" max="16384" width="9.109375" style="486"/>
  </cols>
  <sheetData>
    <row r="1" spans="1:28" hidden="1"/>
    <row r="2" spans="1:28" hidden="1"/>
    <row r="3" spans="1:28" hidden="1"/>
    <row r="4" spans="1:28" hidden="1"/>
    <row r="5" spans="1:28">
      <c r="H5" s="515">
        <f ca="1">'Balance Sheet'!J83</f>
        <v>0</v>
      </c>
      <c r="I5" s="515">
        <f ca="1">'Balance Sheet'!K83</f>
        <v>0</v>
      </c>
      <c r="J5" s="515">
        <f ca="1">'Balance Sheet'!L83</f>
        <v>0</v>
      </c>
      <c r="K5" s="515">
        <f ca="1">'Balance Sheet'!M83</f>
        <v>0</v>
      </c>
      <c r="L5" s="515">
        <f ca="1">'Balance Sheet'!N83</f>
        <v>0</v>
      </c>
      <c r="M5" s="515">
        <f ca="1">'Balance Sheet'!O83</f>
        <v>0</v>
      </c>
      <c r="N5" s="515">
        <f ca="1">'Balance Sheet'!P83</f>
        <v>0</v>
      </c>
      <c r="O5" s="515">
        <f ca="1">'Balance Sheet'!Q83</f>
        <v>0</v>
      </c>
      <c r="P5" s="515">
        <f ca="1">'Balance Sheet'!R83</f>
        <v>0</v>
      </c>
      <c r="Q5" s="515">
        <f ca="1">'Balance Sheet'!S83</f>
        <v>16987</v>
      </c>
    </row>
    <row r="6" spans="1:28">
      <c r="I6" s="515"/>
      <c r="J6" s="515"/>
      <c r="K6" s="515"/>
      <c r="L6" s="515"/>
      <c r="M6" s="515"/>
      <c r="N6" s="515"/>
      <c r="O6" s="515"/>
    </row>
    <row r="7" spans="1:28" ht="16.2" thickBot="1">
      <c r="B7" s="516" t="s">
        <v>10</v>
      </c>
      <c r="C7" s="517"/>
      <c r="D7" s="518">
        <f>'Revenues, COGS &amp; SG&amp;A'!E7</f>
        <v>39813</v>
      </c>
      <c r="E7" s="518">
        <f>'Revenues, COGS &amp; SG&amp;A'!F7</f>
        <v>40178</v>
      </c>
      <c r="F7" s="518">
        <f>'Revenues, COGS &amp; SG&amp;A'!G7</f>
        <v>40543</v>
      </c>
      <c r="G7" s="518">
        <f>'Revenues, COGS &amp; SG&amp;A'!H7</f>
        <v>40908</v>
      </c>
      <c r="H7" s="518">
        <f>'Revenues, COGS &amp; SG&amp;A'!I7</f>
        <v>41274</v>
      </c>
      <c r="I7" s="518">
        <f>'Revenues, COGS &amp; SG&amp;A'!J7</f>
        <v>41639</v>
      </c>
      <c r="J7" s="518">
        <f>'Revenues, COGS &amp; SG&amp;A'!K7</f>
        <v>42004</v>
      </c>
      <c r="K7" s="518">
        <f>'Revenues, COGS &amp; SG&amp;A'!L7</f>
        <v>42369</v>
      </c>
      <c r="L7" s="518">
        <f>'Revenues, COGS &amp; SG&amp;A'!M7</f>
        <v>42735</v>
      </c>
      <c r="M7" s="518">
        <f>'Revenues, COGS &amp; SG&amp;A'!N7</f>
        <v>43100</v>
      </c>
      <c r="N7" s="518">
        <f>'Revenues, COGS &amp; SG&amp;A'!O7</f>
        <v>43465</v>
      </c>
      <c r="O7" s="518">
        <f>'Revenues, COGS &amp; SG&amp;A'!P7</f>
        <v>43830</v>
      </c>
      <c r="P7" s="518">
        <f>'Revenues, COGS &amp; SG&amp;A'!Q7</f>
        <v>44196</v>
      </c>
      <c r="Q7" s="518">
        <f>'Revenues, COGS &amp; SG&amp;A'!R7</f>
        <v>44561</v>
      </c>
      <c r="R7" s="518">
        <f>'Revenues, COGS &amp; SG&amp;A'!S7</f>
        <v>44926</v>
      </c>
      <c r="S7" s="518">
        <f>'Revenues, COGS &amp; SG&amp;A'!T7</f>
        <v>45291</v>
      </c>
      <c r="T7" s="518">
        <f>'Revenues, COGS &amp; SG&amp;A'!U7</f>
        <v>45657</v>
      </c>
      <c r="U7" s="518">
        <f>'Revenues, COGS &amp; SG&amp;A'!V7</f>
        <v>46022</v>
      </c>
      <c r="V7" s="518">
        <f>'Revenues, COGS &amp; SG&amp;A'!W7</f>
        <v>46387</v>
      </c>
      <c r="W7" s="518">
        <f>'Revenues, COGS &amp; SG&amp;A'!X7</f>
        <v>46752</v>
      </c>
      <c r="X7" s="518">
        <f>'Revenues, COGS &amp; SG&amp;A'!Y7</f>
        <v>47118</v>
      </c>
      <c r="Y7" s="518">
        <f>'Revenues, COGS &amp; SG&amp;A'!Z7</f>
        <v>47483</v>
      </c>
      <c r="Z7" s="518">
        <f>'Revenues, COGS &amp; SG&amp;A'!AA7</f>
        <v>47848</v>
      </c>
      <c r="AA7" s="518">
        <f>'Revenues, COGS &amp; SG&amp;A'!AB7</f>
        <v>48213</v>
      </c>
      <c r="AB7" s="518">
        <f>'Revenues, COGS &amp; SG&amp;A'!AC7</f>
        <v>48579</v>
      </c>
    </row>
    <row r="8" spans="1:28" ht="13.8" thickTop="1">
      <c r="B8" s="519" t="s">
        <v>70</v>
      </c>
      <c r="D8" s="520"/>
      <c r="E8" s="520"/>
      <c r="F8" s="520"/>
      <c r="G8" s="520"/>
      <c r="H8" s="520"/>
      <c r="I8" s="520"/>
      <c r="J8" s="520"/>
      <c r="K8" s="520"/>
      <c r="L8" s="520"/>
      <c r="M8" s="520"/>
      <c r="N8" s="520"/>
      <c r="O8" s="520"/>
      <c r="P8" s="520"/>
      <c r="Q8" s="520"/>
      <c r="R8" s="520"/>
    </row>
    <row r="9" spans="1:28">
      <c r="I9" s="521"/>
      <c r="J9" s="521"/>
      <c r="K9" s="521"/>
      <c r="L9" s="521"/>
      <c r="M9" s="521"/>
      <c r="N9" s="521"/>
      <c r="O9" s="521"/>
    </row>
    <row r="10" spans="1:28">
      <c r="B10" s="522" t="s">
        <v>96</v>
      </c>
      <c r="C10" s="523"/>
      <c r="D10" s="524"/>
      <c r="E10" s="524"/>
      <c r="F10" s="524"/>
      <c r="G10" s="524"/>
      <c r="H10" s="524">
        <f ca="1">SUM(H12:H19)</f>
        <v>42084.509679803414</v>
      </c>
      <c r="I10" s="524">
        <f t="shared" ref="I10:AB10" ca="1" si="0">SUM(I12:I19)</f>
        <v>63491.881240601855</v>
      </c>
      <c r="J10" s="524">
        <f t="shared" ca="1" si="0"/>
        <v>96384.400967465597</v>
      </c>
      <c r="K10" s="524">
        <f t="shared" ca="1" si="0"/>
        <v>99158.693119007425</v>
      </c>
      <c r="L10" s="524">
        <f t="shared" ca="1" si="0"/>
        <v>80033.961220969344</v>
      </c>
      <c r="M10" s="524">
        <f t="shared" ca="1" si="0"/>
        <v>85363.664585483697</v>
      </c>
      <c r="N10" s="524">
        <f t="shared" ca="1" si="0"/>
        <v>93524.922373193695</v>
      </c>
      <c r="O10" s="524">
        <f t="shared" ca="1" si="0"/>
        <v>170110.14797814007</v>
      </c>
      <c r="P10" s="524">
        <f t="shared" ca="1" si="0"/>
        <v>144356.55047847479</v>
      </c>
      <c r="Q10" s="524">
        <f t="shared" ca="1" si="0"/>
        <v>170596.33649993935</v>
      </c>
      <c r="R10" s="524">
        <f t="shared" ca="1" si="0"/>
        <v>178717.46857721868</v>
      </c>
      <c r="S10" s="524" t="e">
        <f t="shared" ca="1" si="0"/>
        <v>#VALUE!</v>
      </c>
      <c r="T10" s="524" t="e">
        <f t="shared" ca="1" si="0"/>
        <v>#VALUE!</v>
      </c>
      <c r="U10" s="524" t="e">
        <f t="shared" ca="1" si="0"/>
        <v>#VALUE!</v>
      </c>
      <c r="V10" s="524" t="e">
        <f t="shared" ca="1" si="0"/>
        <v>#VALUE!</v>
      </c>
      <c r="W10" s="524" t="e">
        <f t="shared" ca="1" si="0"/>
        <v>#VALUE!</v>
      </c>
      <c r="X10" s="524" t="e">
        <f t="shared" ca="1" si="0"/>
        <v>#VALUE!</v>
      </c>
      <c r="Y10" s="524" t="e">
        <f t="shared" ca="1" si="0"/>
        <v>#VALUE!</v>
      </c>
      <c r="Z10" s="524" t="e">
        <f t="shared" ca="1" si="0"/>
        <v>#VALUE!</v>
      </c>
      <c r="AA10" s="524" t="e">
        <f t="shared" ca="1" si="0"/>
        <v>#VALUE!</v>
      </c>
      <c r="AB10" s="524" t="e">
        <f t="shared" ca="1" si="0"/>
        <v>#DIV/0!</v>
      </c>
    </row>
    <row r="11" spans="1:28">
      <c r="B11" s="488"/>
      <c r="D11" s="525"/>
      <c r="E11" s="526"/>
      <c r="F11" s="515"/>
      <c r="G11" s="515"/>
      <c r="H11" s="515"/>
      <c r="I11" s="515"/>
      <c r="J11" s="515"/>
      <c r="K11" s="515"/>
      <c r="L11" s="515"/>
      <c r="M11" s="515"/>
      <c r="N11" s="515"/>
      <c r="O11" s="515"/>
      <c r="P11" s="515"/>
      <c r="Q11" s="515"/>
      <c r="R11" s="515"/>
      <c r="S11" s="515"/>
      <c r="T11" s="515"/>
      <c r="U11" s="515"/>
      <c r="V11" s="515"/>
      <c r="W11" s="515"/>
      <c r="X11" s="515"/>
      <c r="Y11" s="515"/>
      <c r="Z11" s="515"/>
      <c r="AA11" s="515"/>
      <c r="AB11" s="515"/>
    </row>
    <row r="12" spans="1:28">
      <c r="B12" s="527" t="s">
        <v>57</v>
      </c>
      <c r="D12" s="525"/>
      <c r="E12" s="528"/>
      <c r="F12" s="521"/>
      <c r="G12" s="521"/>
      <c r="H12" s="521">
        <f ca="1">'Income Statement'!J81</f>
        <v>19970.897648300255</v>
      </c>
      <c r="I12" s="521">
        <f ca="1">'Income Statement'!K81</f>
        <v>23388.518718673775</v>
      </c>
      <c r="J12" s="521">
        <f ca="1">'Income Statement'!L81</f>
        <v>40022.88398810316</v>
      </c>
      <c r="K12" s="521">
        <f ca="1">'Income Statement'!M81</f>
        <v>34441.551542374058</v>
      </c>
      <c r="L12" s="521">
        <f ca="1">'Income Statement'!N81</f>
        <v>5830.7836113392514</v>
      </c>
      <c r="M12" s="521">
        <f ca="1">'Income Statement'!O81</f>
        <v>-24.583116234492479</v>
      </c>
      <c r="N12" s="521">
        <f ca="1">'Income Statement'!P81</f>
        <v>-4551.8246183992542</v>
      </c>
      <c r="O12" s="521">
        <f ca="1">'Income Statement'!Q81</f>
        <v>57405.559601597066</v>
      </c>
      <c r="P12" s="521">
        <f ca="1">'Income Statement'!R81</f>
        <v>34647.516308663202</v>
      </c>
      <c r="Q12" s="521">
        <f ca="1">'Income Statement'!S81</f>
        <v>59830.497042267234</v>
      </c>
      <c r="R12" s="521">
        <f ca="1">'Income Statement'!T81</f>
        <v>60429.214930706134</v>
      </c>
      <c r="S12" s="521" t="e">
        <f ca="1">'Income Statement'!U81</f>
        <v>#VALUE!</v>
      </c>
      <c r="T12" s="521" t="e">
        <f ca="1">'Income Statement'!V81</f>
        <v>#VALUE!</v>
      </c>
      <c r="U12" s="521" t="e">
        <f ca="1">'Income Statement'!W81</f>
        <v>#VALUE!</v>
      </c>
      <c r="V12" s="521" t="e">
        <f ca="1">'Income Statement'!X81</f>
        <v>#VALUE!</v>
      </c>
      <c r="W12" s="521" t="e">
        <f ca="1">'Income Statement'!Y81</f>
        <v>#VALUE!</v>
      </c>
      <c r="X12" s="521" t="e">
        <f ca="1">'Income Statement'!Z81</f>
        <v>#VALUE!</v>
      </c>
      <c r="Y12" s="521" t="e">
        <f ca="1">'Income Statement'!AA81</f>
        <v>#VALUE!</v>
      </c>
      <c r="Z12" s="521" t="e">
        <f ca="1">'Income Statement'!AB81</f>
        <v>#VALUE!</v>
      </c>
      <c r="AA12" s="521" t="e">
        <f ca="1">'Income Statement'!AC81</f>
        <v>#VALUE!</v>
      </c>
      <c r="AB12" s="521" t="e">
        <f ca="1">'Income Statement'!AD81</f>
        <v>#DIV/0!</v>
      </c>
    </row>
    <row r="13" spans="1:28">
      <c r="B13" s="527" t="s">
        <v>122</v>
      </c>
      <c r="D13" s="525"/>
      <c r="E13" s="528"/>
      <c r="F13" s="521"/>
      <c r="G13" s="521"/>
      <c r="H13" s="521"/>
      <c r="I13" s="521"/>
      <c r="J13" s="521"/>
      <c r="K13" s="521"/>
      <c r="L13" s="521"/>
      <c r="M13" s="521"/>
      <c r="N13" s="521"/>
      <c r="O13" s="521"/>
      <c r="P13" s="521"/>
      <c r="Q13" s="521"/>
      <c r="R13" s="521"/>
      <c r="S13" s="521"/>
      <c r="T13" s="521"/>
      <c r="U13" s="521"/>
      <c r="V13" s="521"/>
      <c r="W13" s="521"/>
      <c r="X13" s="521"/>
      <c r="Y13" s="521"/>
      <c r="Z13" s="521"/>
      <c r="AA13" s="521"/>
      <c r="AB13" s="521"/>
    </row>
    <row r="14" spans="1:28">
      <c r="A14" s="529"/>
      <c r="B14" s="530" t="s">
        <v>54</v>
      </c>
      <c r="D14" s="525"/>
      <c r="E14" s="528"/>
      <c r="F14" s="521"/>
      <c r="G14" s="521"/>
      <c r="H14" s="521">
        <f ca="1">'Fixed Assets &amp; CAPEX'!H77</f>
        <v>28006.6</v>
      </c>
      <c r="I14" s="521">
        <f ca="1">'Fixed Assets &amp; CAPEX'!I77</f>
        <v>47863.742857142854</v>
      </c>
      <c r="J14" s="521">
        <f ca="1">'Fixed Assets &amp; CAPEX'!J77</f>
        <v>63272.848979591829</v>
      </c>
      <c r="K14" s="521">
        <f ca="1">'Fixed Assets &amp; CAPEX'!K77</f>
        <v>72311.827405247808</v>
      </c>
      <c r="L14" s="521">
        <f ca="1">'Fixed Assets &amp; CAPEX'!L77</f>
        <v>82642.088463140361</v>
      </c>
      <c r="M14" s="521">
        <f ca="1">'Fixed Assets &amp; CAPEX'!M77</f>
        <v>94448.101100731845</v>
      </c>
      <c r="N14" s="521">
        <f ca="1">'Fixed Assets &amp; CAPEX'!N77</f>
        <v>107940.68697226496</v>
      </c>
      <c r="O14" s="521">
        <f ca="1">'Fixed Assets &amp; CAPEX'!O77</f>
        <v>123360.78511115996</v>
      </c>
      <c r="P14" s="521">
        <f ca="1">'Fixed Assets &amp; CAPEX'!P77</f>
        <v>121126.61155561139</v>
      </c>
      <c r="Q14" s="521">
        <f ca="1">'Fixed Assets &amp; CAPEX'!Q77</f>
        <v>123021.30708396403</v>
      </c>
      <c r="R14" s="521">
        <f ca="1">'Fixed Assets &amp; CAPEX'!R77</f>
        <v>131556.80109887433</v>
      </c>
      <c r="S14" s="521">
        <f ca="1">'Fixed Assets &amp; CAPEX'!S77</f>
        <v>140020.3687693924</v>
      </c>
      <c r="T14" s="521">
        <f ca="1">'Fixed Assets &amp; CAPEX'!T77</f>
        <v>120210.66595599982</v>
      </c>
      <c r="U14" s="521">
        <f ca="1">'Fixed Assets &amp; CAPEX'!U77</f>
        <v>123891.03236389525</v>
      </c>
      <c r="V14" s="521">
        <f ca="1">'Fixed Assets &amp; CAPEX'!V77</f>
        <v>126169.65313412815</v>
      </c>
      <c r="W14" s="521">
        <f ca="1">'Fixed Assets &amp; CAPEX'!W77</f>
        <v>126570.9199945522</v>
      </c>
      <c r="X14" s="521">
        <f ca="1">'Fixed Assets &amp; CAPEX'!X77</f>
        <v>127348.67834297231</v>
      </c>
      <c r="Y14" s="521">
        <f ca="1">'Fixed Assets &amp; CAPEX'!Y77</f>
        <v>127966.87423711634</v>
      </c>
      <c r="Z14" s="521">
        <f ca="1">'Fixed Assets &amp; CAPEX'!Z77</f>
        <v>127454.02754257948</v>
      </c>
      <c r="AA14" s="521">
        <f ca="1">'Fixed Assets &amp; CAPEX'!AA77</f>
        <v>125658.83593874906</v>
      </c>
      <c r="AB14" s="521">
        <f ca="1">'Fixed Assets &amp; CAPEX'!AB77</f>
        <v>126437.14593628468</v>
      </c>
    </row>
    <row r="15" spans="1:28">
      <c r="A15" s="529"/>
      <c r="B15" s="530" t="s">
        <v>58</v>
      </c>
      <c r="D15" s="525"/>
      <c r="E15" s="528"/>
      <c r="F15" s="521"/>
      <c r="G15" s="521"/>
      <c r="H15" s="521">
        <f>'Income Statement'!J46</f>
        <v>0</v>
      </c>
      <c r="I15" s="521">
        <f>'Income Statement'!K46</f>
        <v>0</v>
      </c>
      <c r="J15" s="521">
        <f>'Income Statement'!L46</f>
        <v>0</v>
      </c>
      <c r="K15" s="521">
        <f>'Income Statement'!M46</f>
        <v>0</v>
      </c>
      <c r="L15" s="521">
        <f>'Income Statement'!N46</f>
        <v>0</v>
      </c>
      <c r="M15" s="521">
        <f>'Income Statement'!O46</f>
        <v>0</v>
      </c>
      <c r="N15" s="521">
        <f>'Income Statement'!P46</f>
        <v>0</v>
      </c>
      <c r="O15" s="521">
        <f>'Income Statement'!Q46</f>
        <v>0</v>
      </c>
      <c r="P15" s="521">
        <f>'Income Statement'!R46</f>
        <v>0</v>
      </c>
      <c r="Q15" s="521">
        <f>'Income Statement'!S46</f>
        <v>0</v>
      </c>
      <c r="R15" s="521">
        <f>'Income Statement'!T46</f>
        <v>0</v>
      </c>
      <c r="S15" s="521">
        <f>'Income Statement'!U46</f>
        <v>0</v>
      </c>
      <c r="T15" s="521">
        <f>'Income Statement'!V46</f>
        <v>0</v>
      </c>
      <c r="U15" s="521">
        <f>'Income Statement'!W46</f>
        <v>0</v>
      </c>
      <c r="V15" s="521">
        <f>'Income Statement'!X46</f>
        <v>0</v>
      </c>
      <c r="W15" s="521">
        <f>'Income Statement'!Y46</f>
        <v>0</v>
      </c>
      <c r="X15" s="521">
        <f>'Income Statement'!Z46</f>
        <v>0</v>
      </c>
      <c r="Y15" s="521">
        <f>'Income Statement'!AA46</f>
        <v>0</v>
      </c>
      <c r="Z15" s="521">
        <f>'Income Statement'!AB46</f>
        <v>0</v>
      </c>
      <c r="AA15" s="521">
        <f>'Income Statement'!AC46</f>
        <v>0</v>
      </c>
      <c r="AB15" s="521">
        <f>'Income Statement'!AD46</f>
        <v>0</v>
      </c>
    </row>
    <row r="16" spans="1:28">
      <c r="A16" s="529"/>
      <c r="B16" s="530" t="s">
        <v>175</v>
      </c>
      <c r="D16" s="525"/>
      <c r="E16" s="528"/>
      <c r="F16" s="521"/>
      <c r="G16" s="521"/>
      <c r="H16" s="521"/>
      <c r="I16" s="521"/>
      <c r="J16" s="521"/>
      <c r="K16" s="521"/>
      <c r="L16" s="521"/>
      <c r="M16" s="521"/>
      <c r="N16" s="521"/>
      <c r="O16" s="521"/>
      <c r="P16" s="521"/>
      <c r="Q16" s="521"/>
      <c r="R16" s="521"/>
      <c r="S16" s="521"/>
      <c r="T16" s="521"/>
      <c r="U16" s="521"/>
      <c r="V16" s="521"/>
      <c r="W16" s="521"/>
      <c r="X16" s="521"/>
      <c r="Y16" s="521"/>
      <c r="Z16" s="521"/>
      <c r="AA16" s="521"/>
      <c r="AB16" s="521"/>
    </row>
    <row r="17" spans="1:28">
      <c r="A17" s="531"/>
      <c r="B17" s="530" t="s">
        <v>68</v>
      </c>
      <c r="D17" s="525"/>
      <c r="E17" s="528"/>
      <c r="F17" s="521"/>
      <c r="G17" s="521"/>
      <c r="H17" s="521"/>
      <c r="I17" s="521"/>
      <c r="J17" s="521"/>
      <c r="K17" s="521"/>
      <c r="L17" s="521"/>
      <c r="M17" s="521"/>
      <c r="N17" s="521"/>
      <c r="O17" s="521"/>
      <c r="P17" s="521"/>
      <c r="Q17" s="521"/>
      <c r="R17" s="521"/>
      <c r="S17" s="521"/>
      <c r="T17" s="521"/>
      <c r="U17" s="521"/>
      <c r="V17" s="521"/>
      <c r="W17" s="521"/>
      <c r="X17" s="521"/>
      <c r="Y17" s="521"/>
      <c r="Z17" s="521"/>
      <c r="AA17" s="521"/>
      <c r="AB17" s="521"/>
    </row>
    <row r="18" spans="1:28">
      <c r="A18" s="531"/>
      <c r="B18" s="532" t="s">
        <v>410</v>
      </c>
      <c r="D18" s="525"/>
      <c r="E18" s="528"/>
      <c r="F18" s="521"/>
      <c r="G18" s="521"/>
      <c r="H18" s="521"/>
      <c r="I18" s="521"/>
      <c r="J18" s="521"/>
      <c r="K18" s="521"/>
      <c r="L18" s="521"/>
      <c r="M18" s="521"/>
      <c r="N18" s="521"/>
      <c r="O18" s="521"/>
      <c r="P18" s="521"/>
      <c r="Q18" s="521"/>
      <c r="R18" s="521"/>
      <c r="S18" s="521"/>
      <c r="T18" s="521"/>
      <c r="U18" s="521"/>
      <c r="V18" s="521"/>
      <c r="W18" s="521"/>
      <c r="X18" s="521"/>
      <c r="Y18" s="521"/>
      <c r="Z18" s="521"/>
      <c r="AA18" s="521"/>
      <c r="AB18" s="521"/>
    </row>
    <row r="19" spans="1:28">
      <c r="B19" s="527" t="s">
        <v>55</v>
      </c>
      <c r="D19" s="525"/>
      <c r="E19" s="528"/>
      <c r="F19" s="533"/>
      <c r="G19" s="533"/>
      <c r="H19" s="533">
        <f>SUM(H20:H32)</f>
        <v>-5892.98796849684</v>
      </c>
      <c r="I19" s="533">
        <f>SUM(I20:I32)</f>
        <v>-7760.3803352147806</v>
      </c>
      <c r="J19" s="533">
        <f t="shared" ref="J19:AB19" si="1">SUM(J20:J32)</f>
        <v>-6911.3320002293985</v>
      </c>
      <c r="K19" s="533">
        <f t="shared" si="1"/>
        <v>-7594.6858286144416</v>
      </c>
      <c r="L19" s="533">
        <f t="shared" si="1"/>
        <v>-8438.9108535102714</v>
      </c>
      <c r="M19" s="533">
        <f t="shared" si="1"/>
        <v>-9059.8533990136493</v>
      </c>
      <c r="N19" s="533">
        <f t="shared" si="1"/>
        <v>-9863.9399806720103</v>
      </c>
      <c r="O19" s="533">
        <f t="shared" si="1"/>
        <v>-10656.196734616977</v>
      </c>
      <c r="P19" s="533">
        <f t="shared" si="1"/>
        <v>-11417.577385799807</v>
      </c>
      <c r="Q19" s="533">
        <f t="shared" si="1"/>
        <v>-12255.467626291917</v>
      </c>
      <c r="R19" s="533">
        <f t="shared" si="1"/>
        <v>-13268.547452361789</v>
      </c>
      <c r="S19" s="533">
        <f t="shared" si="1"/>
        <v>-15723.947552248268</v>
      </c>
      <c r="T19" s="533">
        <f t="shared" si="1"/>
        <v>-17088.000002405781</v>
      </c>
      <c r="U19" s="533">
        <f t="shared" si="1"/>
        <v>-18570.384002614563</v>
      </c>
      <c r="V19" s="533">
        <f t="shared" si="1"/>
        <v>-20181.364814841319</v>
      </c>
      <c r="W19" s="533">
        <f t="shared" si="1"/>
        <v>-21932.098212528872</v>
      </c>
      <c r="X19" s="533">
        <f t="shared" si="1"/>
        <v>-23834.707732465642</v>
      </c>
      <c r="Y19" s="533">
        <f t="shared" si="1"/>
        <v>-25902.368628256983</v>
      </c>
      <c r="Z19" s="533">
        <f t="shared" si="1"/>
        <v>-28149.399106758327</v>
      </c>
      <c r="AA19" s="533">
        <f t="shared" si="1"/>
        <v>0</v>
      </c>
      <c r="AB19" s="533">
        <f t="shared" si="1"/>
        <v>0</v>
      </c>
    </row>
    <row r="20" spans="1:28">
      <c r="B20" s="534" t="str">
        <f>'Working Capital'!B13</f>
        <v>Aplicações de liquidez imediata e valores em trânsito</v>
      </c>
      <c r="D20" s="525"/>
      <c r="E20" s="528"/>
      <c r="F20" s="535"/>
      <c r="G20" s="535"/>
      <c r="H20" s="535">
        <f>'Working Capital'!H13-'Working Capital'!I13</f>
        <v>0</v>
      </c>
      <c r="I20" s="535">
        <f>'Working Capital'!I13-'Working Capital'!J13</f>
        <v>0</v>
      </c>
      <c r="J20" s="535">
        <f>'Working Capital'!J13-'Working Capital'!K13</f>
        <v>0</v>
      </c>
      <c r="K20" s="535">
        <f>'Working Capital'!K13-'Working Capital'!L13</f>
        <v>0</v>
      </c>
      <c r="L20" s="535">
        <f>'Working Capital'!L13-'Working Capital'!M13</f>
        <v>0</v>
      </c>
      <c r="M20" s="535">
        <f>'Working Capital'!M13-'Working Capital'!N13</f>
        <v>0</v>
      </c>
      <c r="N20" s="535">
        <f>'Working Capital'!N13-'Working Capital'!O13</f>
        <v>0</v>
      </c>
      <c r="O20" s="535">
        <f>'Working Capital'!O13-'Working Capital'!P13</f>
        <v>0</v>
      </c>
      <c r="P20" s="535">
        <f>'Working Capital'!P13-'Working Capital'!Q13</f>
        <v>0</v>
      </c>
      <c r="Q20" s="535">
        <f>'Working Capital'!Q13-'Working Capital'!R13</f>
        <v>0</v>
      </c>
      <c r="R20" s="535">
        <f>'Working Capital'!R13-'Working Capital'!S13</f>
        <v>0</v>
      </c>
      <c r="S20" s="535">
        <f>'Working Capital'!S13-'Working Capital'!T13</f>
        <v>0</v>
      </c>
      <c r="T20" s="535">
        <f>'Working Capital'!T13-'Working Capital'!U13</f>
        <v>0</v>
      </c>
      <c r="U20" s="535">
        <f>'Working Capital'!U13-'Working Capital'!V13</f>
        <v>0</v>
      </c>
      <c r="V20" s="535">
        <f>'Working Capital'!V13-'Working Capital'!W13</f>
        <v>0</v>
      </c>
      <c r="W20" s="535">
        <f>'Working Capital'!W13-'Working Capital'!X13</f>
        <v>0</v>
      </c>
      <c r="X20" s="535">
        <f>'Working Capital'!X13-'Working Capital'!Y13</f>
        <v>0</v>
      </c>
      <c r="Y20" s="535">
        <f>'Working Capital'!Y13-'Working Capital'!Z13</f>
        <v>0</v>
      </c>
      <c r="Z20" s="535">
        <f>'Working Capital'!Z13-'Working Capital'!AA13</f>
        <v>0</v>
      </c>
      <c r="AA20" s="535">
        <f>'Working Capital'!AA13-'Working Capital'!AB13</f>
        <v>0</v>
      </c>
      <c r="AB20" s="535">
        <f>'Working Capital'!AB13-'Working Capital'!AC13</f>
        <v>0</v>
      </c>
    </row>
    <row r="21" spans="1:28">
      <c r="B21" s="534" t="str">
        <f>'Working Capital'!B14</f>
        <v>Reserva Técnica</v>
      </c>
      <c r="D21" s="525"/>
      <c r="E21" s="528"/>
      <c r="F21" s="535"/>
      <c r="G21" s="535"/>
      <c r="H21" s="535">
        <f>'Working Capital'!H14-'Working Capital'!I14</f>
        <v>-12995.027976040699</v>
      </c>
      <c r="I21" s="535">
        <f>'Working Capital'!I14-'Working Capital'!J14</f>
        <v>-17112.941702909098</v>
      </c>
      <c r="J21" s="535">
        <f>'Working Capital'!J14-'Working Capital'!K14</f>
        <v>-15240.647558558529</v>
      </c>
      <c r="K21" s="535">
        <f>'Working Capital'!K14-'Working Capital'!L14</f>
        <v>-16747.55749370018</v>
      </c>
      <c r="L21" s="535">
        <f>'Working Capital'!L14-'Working Capital'!M14</f>
        <v>-18609.215429409989</v>
      </c>
      <c r="M21" s="535">
        <f>'Working Capital'!M14-'Working Capital'!N14</f>
        <v>-19978.498006171925</v>
      </c>
      <c r="N21" s="535">
        <f>'Working Capital'!N14-'Working Capital'!O14</f>
        <v>-21751.643934802443</v>
      </c>
      <c r="O21" s="535">
        <f>'Working Capital'!O14-'Working Capital'!P14</f>
        <v>-23498.703106950852</v>
      </c>
      <c r="P21" s="535">
        <f>'Working Capital'!P14-'Working Capital'!Q14</f>
        <v>-25177.675288029539</v>
      </c>
      <c r="Q21" s="535">
        <f>'Working Capital'!Q14-'Working Capital'!R14</f>
        <v>-27025.363960440445</v>
      </c>
      <c r="R21" s="535">
        <f>'Working Capital'!R14-'Working Capital'!S14</f>
        <v>-29259.375085546752</v>
      </c>
      <c r="S21" s="535">
        <f>'Working Capital'!S14-'Working Capital'!T14</f>
        <v>-34673.944597817084</v>
      </c>
      <c r="T21" s="535">
        <f>'Working Capital'!T14-'Working Capital'!U14</f>
        <v>-37681.909291677701</v>
      </c>
      <c r="U21" s="535">
        <f>'Working Capital'!U14-'Working Capital'!V14</f>
        <v>-40950.814922730729</v>
      </c>
      <c r="V21" s="535">
        <f>'Working Capital'!V14-'Working Capital'!W14</f>
        <v>-44503.29811727762</v>
      </c>
      <c r="W21" s="535">
        <f>'Working Capital'!W14-'Working Capital'!X14</f>
        <v>-48363.959228951484</v>
      </c>
      <c r="X21" s="535">
        <f>'Working Capital'!X14-'Working Capital'!Y14</f>
        <v>-52559.532692063018</v>
      </c>
      <c r="Y21" s="535">
        <f>'Working Capital'!Y14-'Working Capital'!Z14</f>
        <v>-57119.072153099347</v>
      </c>
      <c r="Z21" s="535">
        <f>'Working Capital'!Z14-'Working Capital'!AA14</f>
        <v>-62074.151662380784</v>
      </c>
      <c r="AA21" s="535">
        <f>'Working Capital'!AA14-'Working Capital'!AB14</f>
        <v>0</v>
      </c>
      <c r="AB21" s="535">
        <f>'Working Capital'!AB14-'Working Capital'!AC14</f>
        <v>0</v>
      </c>
    </row>
    <row r="22" spans="1:28">
      <c r="B22" s="534" t="str">
        <f>'Working Capital'!B15</f>
        <v>Créd. operações pl. de assist. à saúde</v>
      </c>
      <c r="D22" s="525"/>
      <c r="E22" s="528"/>
      <c r="F22" s="535"/>
      <c r="G22" s="535"/>
      <c r="H22" s="535">
        <f>'Working Capital'!H15-'Working Capital'!I15</f>
        <v>-8012.2794847603509</v>
      </c>
      <c r="I22" s="535">
        <f>'Working Capital'!I15-'Working Capital'!J15</f>
        <v>-10551.240981005845</v>
      </c>
      <c r="J22" s="535">
        <f>'Working Capital'!J15-'Working Capital'!K15</f>
        <v>-9396.8499331469939</v>
      </c>
      <c r="K22" s="535">
        <f>'Working Capital'!K15-'Working Capital'!L15</f>
        <v>-10325.957864347845</v>
      </c>
      <c r="L22" s="535">
        <f>'Working Capital'!L15-'Working Capital'!M15</f>
        <v>-11473.790998176497</v>
      </c>
      <c r="M22" s="535">
        <f>'Working Capital'!M15-'Working Capital'!N15</f>
        <v>-12318.042716514959</v>
      </c>
      <c r="N22" s="535">
        <f>'Working Capital'!N15-'Working Capital'!O15</f>
        <v>-13411.302444285218</v>
      </c>
      <c r="O22" s="535">
        <f>'Working Capital'!O15-'Working Capital'!P15</f>
        <v>-14488.477990923129</v>
      </c>
      <c r="P22" s="535">
        <f>'Working Capital'!P15-'Working Capital'!Q15</f>
        <v>-15523.673481594102</v>
      </c>
      <c r="Q22" s="535">
        <f>'Working Capital'!Q15-'Working Capital'!R15</f>
        <v>-16662.893656531523</v>
      </c>
      <c r="R22" s="535">
        <f>'Working Capital'!R15-'Working Capital'!S15</f>
        <v>-18040.306736319995</v>
      </c>
      <c r="S22" s="535">
        <f>'Working Capital'!S15-'Working Capital'!T15</f>
        <v>-21378.740812949807</v>
      </c>
      <c r="T22" s="535">
        <f>'Working Capital'!T15-'Working Capital'!U15</f>
        <v>-23233.346578473225</v>
      </c>
      <c r="U22" s="535">
        <f>'Working Capital'!U15-'Working Capital'!V15</f>
        <v>-25248.839394155832</v>
      </c>
      <c r="V22" s="535">
        <f>'Working Capital'!V15-'Working Capital'!W15</f>
        <v>-27439.176211598795</v>
      </c>
      <c r="W22" s="535">
        <f>'Working Capital'!W15-'Working Capital'!X15</f>
        <v>-29819.524747954973</v>
      </c>
      <c r="X22" s="535">
        <f>'Working Capital'!X15-'Working Capital'!Y15</f>
        <v>-32406.368519840064</v>
      </c>
      <c r="Y22" s="535">
        <f>'Working Capital'!Y15-'Working Capital'!Z15</f>
        <v>-35217.620988936163</v>
      </c>
      <c r="Z22" s="535">
        <f>'Working Capital'!Z15-'Working Capital'!AA15</f>
        <v>-38272.749609726365</v>
      </c>
      <c r="AA22" s="535">
        <f>'Working Capital'!AA15-'Working Capital'!AB15</f>
        <v>0</v>
      </c>
      <c r="AB22" s="535">
        <f>'Working Capital'!AB15-'Working Capital'!AC15</f>
        <v>0</v>
      </c>
    </row>
    <row r="23" spans="1:28">
      <c r="B23" s="534" t="str">
        <f>'Working Capital'!B16</f>
        <v>Despesas de comercialização diferidas</v>
      </c>
      <c r="D23" s="525"/>
      <c r="E23" s="528"/>
      <c r="F23" s="535"/>
      <c r="G23" s="535"/>
      <c r="H23" s="535">
        <f>'Working Capital'!H16-'Working Capital'!I16</f>
        <v>-714.97806313799811</v>
      </c>
      <c r="I23" s="535">
        <f>'Working Capital'!I16-'Working Capital'!J16</f>
        <v>-941.54302213877963</v>
      </c>
      <c r="J23" s="535">
        <f>'Working Capital'!J16-'Working Capital'!K16</f>
        <v>-838.53060512663615</v>
      </c>
      <c r="K23" s="535">
        <f>'Working Capital'!K16-'Working Capital'!L16</f>
        <v>-921.43981846095267</v>
      </c>
      <c r="L23" s="535">
        <f>'Working Capital'!L16-'Working Capital'!M16</f>
        <v>-1023.8670381293814</v>
      </c>
      <c r="M23" s="535">
        <f>'Working Capital'!M16-'Working Capital'!N16</f>
        <v>-1099.2040829150392</v>
      </c>
      <c r="N23" s="535">
        <f>'Working Capital'!N16-'Working Capital'!O16</f>
        <v>-1196.7614290054571</v>
      </c>
      <c r="O23" s="535">
        <f>'Working Capital'!O16-'Working Capital'!P16</f>
        <v>-1292.8834985687645</v>
      </c>
      <c r="P23" s="535">
        <f>'Working Capital'!P16-'Working Capital'!Q16</f>
        <v>-1385.2594657697227</v>
      </c>
      <c r="Q23" s="535">
        <f>'Working Capital'!Q16-'Working Capital'!R16</f>
        <v>-1486.9181055754998</v>
      </c>
      <c r="R23" s="535">
        <f>'Working Capital'!R16-'Working Capital'!S16</f>
        <v>-1609.8319577197326</v>
      </c>
      <c r="S23" s="535">
        <f>'Working Capital'!S16-'Working Capital'!T16</f>
        <v>-1907.7380822580344</v>
      </c>
      <c r="T23" s="535">
        <f>'Working Capital'!T16-'Working Capital'!U16</f>
        <v>-2073.2343608939154</v>
      </c>
      <c r="U23" s="535">
        <f>'Working Capital'!U16-'Working Capital'!V16</f>
        <v>-2253.0874417014675</v>
      </c>
      <c r="V23" s="535">
        <f>'Working Capital'!V16-'Working Capital'!W16</f>
        <v>-2448.5427772690673</v>
      </c>
      <c r="W23" s="535">
        <f>'Working Capital'!W16-'Working Capital'!X16</f>
        <v>-2660.9538631971554</v>
      </c>
      <c r="X23" s="535">
        <f>'Working Capital'!X16-'Working Capital'!Y16</f>
        <v>-2891.7916108295103</v>
      </c>
      <c r="Y23" s="535">
        <f>'Working Capital'!Y16-'Working Capital'!Z16</f>
        <v>-3142.6545330689696</v>
      </c>
      <c r="Z23" s="535">
        <f>'Working Capital'!Z16-'Working Capital'!AA16</f>
        <v>-3415.2798138127037</v>
      </c>
      <c r="AA23" s="535">
        <f>'Working Capital'!AA16-'Working Capital'!AB16</f>
        <v>0</v>
      </c>
      <c r="AB23" s="535">
        <f>'Working Capital'!AB16-'Working Capital'!AC16</f>
        <v>0</v>
      </c>
    </row>
    <row r="24" spans="1:28">
      <c r="B24" s="534" t="str">
        <f>'Working Capital'!B17</f>
        <v>Títulos e créditos a receber</v>
      </c>
      <c r="D24" s="525"/>
      <c r="E24" s="528"/>
      <c r="F24" s="535"/>
      <c r="G24" s="535"/>
      <c r="H24" s="535">
        <f>'Working Capital'!H17-'Working Capital'!I17</f>
        <v>-3942.5609968922727</v>
      </c>
      <c r="I24" s="535">
        <f>'Working Capital'!I17-'Working Capital'!J17</f>
        <v>-5191.8946711291937</v>
      </c>
      <c r="J24" s="535">
        <f>'Working Capital'!J17-'Working Capital'!K17</f>
        <v>-4623.8594285859654</v>
      </c>
      <c r="K24" s="535">
        <f>'Working Capital'!K17-'Working Capital'!L17</f>
        <v>-5081.0407711019216</v>
      </c>
      <c r="L24" s="535">
        <f>'Working Capital'!L17-'Working Capital'!M17</f>
        <v>-5645.8490947482642</v>
      </c>
      <c r="M24" s="535">
        <f>'Working Capital'!M17-'Working Capital'!N17</f>
        <v>-6061.275678732447</v>
      </c>
      <c r="N24" s="535">
        <f>'Working Capital'!N17-'Working Capital'!O17</f>
        <v>-6599.2303482342104</v>
      </c>
      <c r="O24" s="535">
        <f>'Working Capital'!O17-'Working Capital'!P17</f>
        <v>-7129.2705577723827</v>
      </c>
      <c r="P24" s="535">
        <f>'Working Capital'!P17-'Working Capital'!Q17</f>
        <v>-7638.6538579232147</v>
      </c>
      <c r="Q24" s="535">
        <f>'Working Capital'!Q17-'Working Capital'!R17</f>
        <v>-8199.2240473585844</v>
      </c>
      <c r="R24" s="535">
        <f>'Working Capital'!R17-'Working Capital'!S17</f>
        <v>-8877.0005896412331</v>
      </c>
      <c r="S24" s="535">
        <f>'Working Capital'!S17-'Working Capital'!T17</f>
        <v>-10519.726608653873</v>
      </c>
      <c r="T24" s="535">
        <f>'Working Capital'!T17-'Working Capital'!U17</f>
        <v>-11432.312891954585</v>
      </c>
      <c r="U24" s="535">
        <f>'Working Capital'!U17-'Working Capital'!V17</f>
        <v>-12424.066035331663</v>
      </c>
      <c r="V24" s="535">
        <f>'Working Capital'!V17-'Working Capital'!W17</f>
        <v>-13501.853763896681</v>
      </c>
      <c r="W24" s="535">
        <f>'Working Capital'!W17-'Working Capital'!X17</f>
        <v>-14673.139577914699</v>
      </c>
      <c r="X24" s="535">
        <f>'Working Capital'!X17-'Working Capital'!Y17</f>
        <v>-15946.034436298796</v>
      </c>
      <c r="Y24" s="535">
        <f>'Working Capital'!Y17-'Working Capital'!Z17</f>
        <v>-17329.352923647733</v>
      </c>
      <c r="Z24" s="535">
        <f>'Working Capital'!Z17-'Working Capital'!AA17</f>
        <v>-18832.67428977415</v>
      </c>
      <c r="AA24" s="535">
        <f>'Working Capital'!AA17-'Working Capital'!AB17</f>
        <v>0</v>
      </c>
      <c r="AB24" s="535">
        <f>'Working Capital'!AB17-'Working Capital'!AC17</f>
        <v>0</v>
      </c>
    </row>
    <row r="25" spans="1:28">
      <c r="B25" s="534" t="str">
        <f>'Working Capital'!B18</f>
        <v>Outros valores e bens</v>
      </c>
      <c r="D25" s="525"/>
      <c r="E25" s="528"/>
      <c r="F25" s="535"/>
      <c r="G25" s="535"/>
      <c r="H25" s="535">
        <f>'Working Capital'!H18-'Working Capital'!I18</f>
        <v>-2464.2608897648606</v>
      </c>
      <c r="I25" s="535">
        <f>'Working Capital'!I18-'Working Capital'!J18</f>
        <v>-3245.145222084655</v>
      </c>
      <c r="J25" s="535">
        <f>'Working Capital'!J18-'Working Capital'!K18</f>
        <v>-2890.100104631616</v>
      </c>
      <c r="K25" s="535">
        <f>'Working Capital'!K18-'Working Capital'!L18</f>
        <v>-3175.8570283115187</v>
      </c>
      <c r="L25" s="535">
        <f>'Working Capital'!L18-'Working Capital'!M18</f>
        <v>-3528.8851902784154</v>
      </c>
      <c r="M25" s="535">
        <f>'Working Capital'!M18-'Working Capital'!N18</f>
        <v>-3788.5436925280592</v>
      </c>
      <c r="N25" s="535">
        <f>'Working Capital'!N18-'Working Capital'!O18</f>
        <v>-4124.7872290426458</v>
      </c>
      <c r="O25" s="535">
        <f>'Working Capital'!O18-'Working Capital'!P18</f>
        <v>-4456.0839063539897</v>
      </c>
      <c r="P25" s="535">
        <f>'Working Capital'!P18-'Working Capital'!Q18</f>
        <v>-4774.4691755864915</v>
      </c>
      <c r="Q25" s="535">
        <f>'Working Capital'!Q18-'Working Capital'!R18</f>
        <v>-5124.8483313896431</v>
      </c>
      <c r="R25" s="535">
        <f>'Working Capital'!R18-'Working Capital'!S18</f>
        <v>-5548.4862222082884</v>
      </c>
      <c r="S25" s="535">
        <f>'Working Capital'!S18-'Working Capital'!T18</f>
        <v>-6575.2567615716252</v>
      </c>
      <c r="T25" s="535">
        <f>'Working Capital'!T18-'Working Capital'!U18</f>
        <v>-7145.6602856379614</v>
      </c>
      <c r="U25" s="535">
        <f>'Working Capital'!U18-'Working Capital'!V18</f>
        <v>-7765.5463154170429</v>
      </c>
      <c r="V25" s="535">
        <f>'Working Capital'!V18-'Working Capital'!W18</f>
        <v>-8439.2074582794885</v>
      </c>
      <c r="W25" s="535">
        <f>'Working Capital'!W18-'Working Capital'!X18</f>
        <v>-9171.3087052852206</v>
      </c>
      <c r="X25" s="535">
        <f>'Working Capital'!X18-'Working Capital'!Y18</f>
        <v>-9966.9197354687203</v>
      </c>
      <c r="Y25" s="535">
        <f>'Working Capital'!Y18-'Working Capital'!Z18</f>
        <v>-10831.55002252062</v>
      </c>
      <c r="Z25" s="535">
        <f>'Working Capital'!Z18-'Working Capital'!AA18</f>
        <v>-11771.186986974295</v>
      </c>
      <c r="AA25" s="535">
        <f>'Working Capital'!AA18-'Working Capital'!AB18</f>
        <v>0</v>
      </c>
      <c r="AB25" s="535">
        <f>'Working Capital'!AB18-'Working Capital'!AC18</f>
        <v>0</v>
      </c>
    </row>
    <row r="26" spans="1:28">
      <c r="B26" s="534" t="str">
        <f>'Working Capital'!B21</f>
        <v>Débitos de operações de assit. à saúde</v>
      </c>
      <c r="D26" s="525"/>
      <c r="E26" s="528"/>
      <c r="F26" s="535"/>
      <c r="G26" s="535"/>
      <c r="H26" s="535">
        <f>'Working Capital'!I21-'Working Capital'!H21</f>
        <v>370.38578777117164</v>
      </c>
      <c r="I26" s="535">
        <f>'Working Capital'!J21-'Working Capital'!I21</f>
        <v>487.75504026619728</v>
      </c>
      <c r="J26" s="535">
        <f>'Working Capital'!K21-'Working Capital'!J21</f>
        <v>434.39069638996989</v>
      </c>
      <c r="K26" s="535">
        <f>'Working Capital'!L21-'Working Capital'!K21</f>
        <v>477.34081734828487</v>
      </c>
      <c r="L26" s="535">
        <f>'Working Capital'!M21-'Working Capital'!L21</f>
        <v>530.40200677778466</v>
      </c>
      <c r="M26" s="535">
        <f>'Working Capital'!N21-'Working Capital'!M21</f>
        <v>569.42945687718839</v>
      </c>
      <c r="N26" s="535">
        <f>'Working Capital'!O21-'Working Capital'!N21</f>
        <v>619.96786686137148</v>
      </c>
      <c r="O26" s="535">
        <f>'Working Capital'!P21-'Working Capital'!O21</f>
        <v>669.76274910033862</v>
      </c>
      <c r="P26" s="535">
        <f>'Working Capital'!Q21-'Working Capital'!P21</f>
        <v>717.61700805855617</v>
      </c>
      <c r="Q26" s="535">
        <f>'Working Capital'!R21-'Working Capital'!Q21</f>
        <v>770.28004393262381</v>
      </c>
      <c r="R26" s="535">
        <f>'Working Capital'!S21-'Working Capital'!R21</f>
        <v>833.95408695797596</v>
      </c>
      <c r="S26" s="535">
        <f>'Working Capital'!T21-'Working Capital'!S21</f>
        <v>988.28077235961973</v>
      </c>
      <c r="T26" s="535">
        <f>'Working Capital'!U21-'Working Capital'!T21</f>
        <v>1074.014129361818</v>
      </c>
      <c r="U26" s="535">
        <f>'Working Capital'!V21-'Working Capital'!U21</f>
        <v>1167.184855083955</v>
      </c>
      <c r="V26" s="535">
        <f>'Working Capital'!W21-'Working Capital'!V21</f>
        <v>1268.4381412624898</v>
      </c>
      <c r="W26" s="535">
        <f>'Working Capital'!X21-'Working Capital'!W21</f>
        <v>1378.4751500170059</v>
      </c>
      <c r="X26" s="535">
        <f>'Working Capital'!Y21-'Working Capital'!X21</f>
        <v>1498.0578692809868</v>
      </c>
      <c r="Y26" s="535">
        <f>'Working Capital'!Z21-'Working Capital'!Y21</f>
        <v>1628.0143894411085</v>
      </c>
      <c r="Z26" s="535">
        <f>'Working Capital'!AA21-'Working Capital'!Z21</f>
        <v>1769.2446377251217</v>
      </c>
      <c r="AA26" s="535">
        <f>'Working Capital'!AB21-'Working Capital'!AA21</f>
        <v>0</v>
      </c>
      <c r="AB26" s="535">
        <f>'Working Capital'!AC21-'Working Capital'!AB21</f>
        <v>0</v>
      </c>
    </row>
    <row r="27" spans="1:28">
      <c r="B27" s="534" t="str">
        <f>'Working Capital'!B22</f>
        <v>Débitos de oper. assist. à saúde não rel. c/plano de saúde da op.</v>
      </c>
      <c r="D27" s="525"/>
      <c r="E27" s="528"/>
      <c r="F27" s="535"/>
      <c r="G27" s="535"/>
      <c r="H27" s="535">
        <f>'Working Capital'!I22-'Working Capital'!H22</f>
        <v>2966.9327031419452</v>
      </c>
      <c r="I27" s="535">
        <f>'Working Capital'!J22-'Working Capital'!I22</f>
        <v>3907.1055852233621</v>
      </c>
      <c r="J27" s="535">
        <f>'Working Capital'!K22-'Working Capital'!J22</f>
        <v>3479.6366534891131</v>
      </c>
      <c r="K27" s="535">
        <f>'Working Capital'!L22-'Working Capital'!K22</f>
        <v>3823.6836517336924</v>
      </c>
      <c r="L27" s="535">
        <f>'Working Capital'!M22-'Working Capital'!L22</f>
        <v>4248.7241996805678</v>
      </c>
      <c r="M27" s="535">
        <f>'Working Capital'!N22-'Working Capital'!M22</f>
        <v>4561.3490947040773</v>
      </c>
      <c r="N27" s="535">
        <f>'Working Capital'!O22-'Working Capital'!N22</f>
        <v>4966.1812084014455</v>
      </c>
      <c r="O27" s="535">
        <f>'Working Capital'!P22-'Working Capital'!O22</f>
        <v>5365.0573787127214</v>
      </c>
      <c r="P27" s="535">
        <f>'Working Capital'!Q22-'Working Capital'!P22</f>
        <v>5748.3884096956899</v>
      </c>
      <c r="Q27" s="535">
        <f>'Working Capital'!R22-'Working Capital'!Q22</f>
        <v>6170.2395944340242</v>
      </c>
      <c r="R27" s="535">
        <f>'Working Capital'!S22-'Working Capital'!R22</f>
        <v>6680.2931840439414</v>
      </c>
      <c r="S27" s="535">
        <f>'Working Capital'!T22-'Working Capital'!S22</f>
        <v>7916.5093267878547</v>
      </c>
      <c r="T27" s="535">
        <f>'Working Capital'!U22-'Working Capital'!T22</f>
        <v>8603.2665108866786</v>
      </c>
      <c r="U27" s="535">
        <f>'Working Capital'!V22-'Working Capital'!U22</f>
        <v>9349.5998807061114</v>
      </c>
      <c r="V27" s="535">
        <f>'Working Capital'!W22-'Working Capital'!V22</f>
        <v>10160.677670357371</v>
      </c>
      <c r="W27" s="535">
        <f>'Working Capital'!X22-'Working Capital'!W22</f>
        <v>11042.116458260847</v>
      </c>
      <c r="X27" s="535">
        <f>'Working Capital'!Y22-'Working Capital'!X22</f>
        <v>12000.020061015006</v>
      </c>
      <c r="Y27" s="535">
        <f>'Working Capital'!Z22-'Working Capital'!Y22</f>
        <v>13041.02180130803</v>
      </c>
      <c r="Z27" s="535">
        <f>'Working Capital'!AA22-'Working Capital'!Z22</f>
        <v>14172.330442571518</v>
      </c>
      <c r="AA27" s="535">
        <f>'Working Capital'!AB22-'Working Capital'!AA22</f>
        <v>0</v>
      </c>
      <c r="AB27" s="535">
        <f>'Working Capital'!AC22-'Working Capital'!AB22</f>
        <v>0</v>
      </c>
    </row>
    <row r="28" spans="1:28">
      <c r="B28" s="534" t="str">
        <f>'Working Capital'!B23</f>
        <v>Taxes</v>
      </c>
      <c r="D28" s="525"/>
      <c r="E28" s="528"/>
      <c r="F28" s="535"/>
      <c r="G28" s="535"/>
      <c r="H28" s="535">
        <f>'Working Capital'!I23-'Working Capital'!H23</f>
        <v>2466.6743178260876</v>
      </c>
      <c r="I28" s="535">
        <f>'Working Capital'!J23-'Working Capital'!I23</f>
        <v>3248.323426378789</v>
      </c>
      <c r="J28" s="535">
        <f>'Working Capital'!K23-'Working Capital'!J23</f>
        <v>2892.9305876869039</v>
      </c>
      <c r="K28" s="535">
        <f>'Working Capital'!L23-'Working Capital'!K23</f>
        <v>3178.9673736902841</v>
      </c>
      <c r="L28" s="535">
        <f>'Working Capital'!M23-'Working Capital'!L23</f>
        <v>3532.3412815463671</v>
      </c>
      <c r="M28" s="535">
        <f>'Working Capital'!N23-'Working Capital'!M23</f>
        <v>3792.2540860568843</v>
      </c>
      <c r="N28" s="535">
        <f>'Working Capital'!O23-'Working Capital'!N23</f>
        <v>4128.8269300688262</v>
      </c>
      <c r="O28" s="535">
        <f>'Working Capital'!P23-'Working Capital'!O23</f>
        <v>4460.4480700622371</v>
      </c>
      <c r="P28" s="535">
        <f>'Working Capital'!Q23-'Working Capital'!P23</f>
        <v>4779.1451569055425</v>
      </c>
      <c r="Q28" s="535">
        <f>'Working Capital'!R23-'Working Capital'!Q23</f>
        <v>5129.8674642354817</v>
      </c>
      <c r="R28" s="535">
        <f>'Working Capital'!S23-'Working Capital'!R23</f>
        <v>5553.9202541330742</v>
      </c>
      <c r="S28" s="535">
        <f>'Working Capital'!T23-'Working Capital'!S23</f>
        <v>6581.6963837902149</v>
      </c>
      <c r="T28" s="535">
        <f>'Working Capital'!U23-'Working Capital'!T23</f>
        <v>7152.6585450840066</v>
      </c>
      <c r="U28" s="535">
        <f>'Working Capital'!V23-'Working Capital'!U23</f>
        <v>7773.1516738700593</v>
      </c>
      <c r="V28" s="535">
        <f>'Working Capital'!W23-'Working Capital'!V23</f>
        <v>8447.4725815782876</v>
      </c>
      <c r="W28" s="535">
        <f>'Working Capital'!X23-'Working Capital'!W23</f>
        <v>9180.2908280301781</v>
      </c>
      <c r="X28" s="535">
        <f>'Working Capital'!Y23-'Working Capital'!X23</f>
        <v>9976.6810573618277</v>
      </c>
      <c r="Y28" s="535">
        <f>'Working Capital'!Z23-'Working Capital'!Y23</f>
        <v>10842.158139087929</v>
      </c>
      <c r="Z28" s="535">
        <f>'Working Capital'!AA23-'Working Capital'!Z23</f>
        <v>11782.715357653826</v>
      </c>
      <c r="AA28" s="535">
        <f>'Working Capital'!AB23-'Working Capital'!AA23</f>
        <v>0</v>
      </c>
      <c r="AB28" s="535">
        <f>'Working Capital'!AC23-'Working Capital'!AB23</f>
        <v>0</v>
      </c>
    </row>
    <row r="29" spans="1:28">
      <c r="B29" s="534" t="str">
        <f>'Working Capital'!B24</f>
        <v>Provisões técnicas de operações de assist. à saúde</v>
      </c>
      <c r="D29" s="525"/>
      <c r="E29" s="528"/>
      <c r="F29" s="535"/>
      <c r="G29" s="535"/>
      <c r="H29" s="535">
        <f>'Working Capital'!I24-'Working Capital'!H24</f>
        <v>16432.126633360138</v>
      </c>
      <c r="I29" s="535">
        <f>'Working Capital'!J24-'Working Capital'!I24</f>
        <v>21639.201212184445</v>
      </c>
      <c r="J29" s="535">
        <f>'Working Capital'!K24-'Working Capital'!J24</f>
        <v>19271.697692254354</v>
      </c>
      <c r="K29" s="535">
        <f>'Working Capital'!L24-'Working Capital'!K24</f>
        <v>21177.175304535718</v>
      </c>
      <c r="L29" s="535">
        <f>'Working Capital'!M24-'Working Capital'!L24</f>
        <v>23531.229409227555</v>
      </c>
      <c r="M29" s="535">
        <f>'Working Capital'!N24-'Working Capital'!M24</f>
        <v>25262.678140210628</v>
      </c>
      <c r="N29" s="535">
        <f>'Working Capital'!O24-'Working Capital'!N24</f>
        <v>27504.809399366321</v>
      </c>
      <c r="O29" s="535">
        <f>'Working Capital'!P24-'Working Capital'!O24</f>
        <v>29713.954128076846</v>
      </c>
      <c r="P29" s="535">
        <f>'Working Capital'!Q24-'Working Capital'!P24</f>
        <v>31837.003308443469</v>
      </c>
      <c r="Q29" s="535">
        <f>'Working Capital'!R24-'Working Capital'!Q24</f>
        <v>34173.393372401653</v>
      </c>
      <c r="R29" s="535">
        <f>'Working Capital'!S24-'Working Capital'!R24</f>
        <v>36998.285613939224</v>
      </c>
      <c r="S29" s="535">
        <f>'Working Capital'!T24-'Working Capital'!S24</f>
        <v>43844.972828064463</v>
      </c>
      <c r="T29" s="535">
        <f>'Working Capital'!U24-'Working Capital'!T24</f>
        <v>47648.524220899097</v>
      </c>
      <c r="U29" s="535">
        <f>'Working Capital'!V24-'Working Capital'!U24</f>
        <v>51782.033697062056</v>
      </c>
      <c r="V29" s="535">
        <f>'Working Capital'!W24-'Working Capital'!V24</f>
        <v>56274.125120282173</v>
      </c>
      <c r="W29" s="535">
        <f>'Working Capital'!X24-'Working Capital'!W24</f>
        <v>61155.905474466621</v>
      </c>
      <c r="X29" s="535">
        <f>'Working Capital'!Y24-'Working Capital'!X24</f>
        <v>66461.180274376646</v>
      </c>
      <c r="Y29" s="535">
        <f>'Working Capital'!Z24-'Working Capital'!Y24</f>
        <v>72226.687663178775</v>
      </c>
      <c r="Z29" s="535">
        <f>'Working Capital'!AA24-'Working Capital'!Z24</f>
        <v>78492.352817959501</v>
      </c>
      <c r="AA29" s="535">
        <f>'Working Capital'!AB24-'Working Capital'!AA24</f>
        <v>0</v>
      </c>
      <c r="AB29" s="535">
        <f>'Working Capital'!AC24-'Working Capital'!AB24</f>
        <v>0</v>
      </c>
    </row>
    <row r="30" spans="1:28">
      <c r="B30" s="606" t="str">
        <f>'Working Capital'!B25</f>
        <v>Débitos diversos</v>
      </c>
      <c r="D30" s="525"/>
      <c r="E30" s="528"/>
      <c r="F30" s="535"/>
      <c r="G30" s="535"/>
      <c r="H30" s="535">
        <f>'Working Capital'!I25-'Working Capital'!H25</f>
        <v>0</v>
      </c>
      <c r="I30" s="535">
        <f>'Working Capital'!J25-'Working Capital'!I25</f>
        <v>0</v>
      </c>
      <c r="J30" s="535">
        <f>'Working Capital'!K25-'Working Capital'!J25</f>
        <v>0</v>
      </c>
      <c r="K30" s="535">
        <f>'Working Capital'!L25-'Working Capital'!K25</f>
        <v>0</v>
      </c>
      <c r="L30" s="535">
        <f>'Working Capital'!M25-'Working Capital'!L25</f>
        <v>0</v>
      </c>
      <c r="M30" s="535">
        <f>'Working Capital'!N25-'Working Capital'!M25</f>
        <v>0</v>
      </c>
      <c r="N30" s="535">
        <f>'Working Capital'!O25-'Working Capital'!N25</f>
        <v>0</v>
      </c>
      <c r="O30" s="535">
        <f>'Working Capital'!P25-'Working Capital'!O25</f>
        <v>0</v>
      </c>
      <c r="P30" s="535">
        <f>'Working Capital'!Q25-'Working Capital'!P25</f>
        <v>0</v>
      </c>
      <c r="Q30" s="535">
        <f>'Working Capital'!R25-'Working Capital'!Q25</f>
        <v>0</v>
      </c>
      <c r="R30" s="535">
        <f>'Working Capital'!S25-'Working Capital'!R25</f>
        <v>0</v>
      </c>
      <c r="S30" s="535">
        <f>'Working Capital'!T25-'Working Capital'!S25</f>
        <v>0</v>
      </c>
      <c r="T30" s="535">
        <f>'Working Capital'!U25-'Working Capital'!T25</f>
        <v>0</v>
      </c>
      <c r="U30" s="535">
        <f>'Working Capital'!V25-'Working Capital'!U25</f>
        <v>0</v>
      </c>
      <c r="V30" s="535">
        <f>'Working Capital'!W25-'Working Capital'!V25</f>
        <v>0</v>
      </c>
      <c r="W30" s="535">
        <f>'Working Capital'!X25-'Working Capital'!W25</f>
        <v>0</v>
      </c>
      <c r="X30" s="535">
        <f>'Working Capital'!Y25-'Working Capital'!X25</f>
        <v>0</v>
      </c>
      <c r="Y30" s="535">
        <f>'Working Capital'!Z25-'Working Capital'!Y25</f>
        <v>0</v>
      </c>
      <c r="Z30" s="535">
        <f>'Working Capital'!AA25-'Working Capital'!Z25</f>
        <v>0</v>
      </c>
      <c r="AA30" s="535">
        <f>'Working Capital'!AB25-'Working Capital'!AA25</f>
        <v>0</v>
      </c>
      <c r="AB30" s="535">
        <f>'Working Capital'!AC25-'Working Capital'!AB25</f>
        <v>0</v>
      </c>
    </row>
    <row r="31" spans="1:28">
      <c r="B31" s="534" t="str">
        <f>+'Working Capital'!B26</f>
        <v>Empréstimos de coligadas</v>
      </c>
      <c r="D31" s="525"/>
      <c r="E31" s="528"/>
      <c r="F31" s="535"/>
      <c r="G31" s="535"/>
      <c r="H31" s="535">
        <f>'Working Capital'!I26-'Working Capital'!H26</f>
        <v>0</v>
      </c>
      <c r="I31" s="535">
        <f>'Working Capital'!J26-'Working Capital'!I26</f>
        <v>0</v>
      </c>
      <c r="J31" s="535">
        <f>'Working Capital'!K26-'Working Capital'!J26</f>
        <v>0</v>
      </c>
      <c r="K31" s="535">
        <f>'Working Capital'!L26-'Working Capital'!K26</f>
        <v>0</v>
      </c>
      <c r="L31" s="535">
        <f>'Working Capital'!M26-'Working Capital'!L26</f>
        <v>0</v>
      </c>
      <c r="M31" s="535">
        <f>'Working Capital'!N26-'Working Capital'!M26</f>
        <v>0</v>
      </c>
      <c r="N31" s="535">
        <f>'Working Capital'!O26-'Working Capital'!N26</f>
        <v>0</v>
      </c>
      <c r="O31" s="535">
        <f>'Working Capital'!P26-'Working Capital'!O26</f>
        <v>0</v>
      </c>
      <c r="P31" s="535">
        <f>'Working Capital'!Q26-'Working Capital'!P26</f>
        <v>0</v>
      </c>
      <c r="Q31" s="535">
        <f>'Working Capital'!R26-'Working Capital'!Q26</f>
        <v>0</v>
      </c>
      <c r="R31" s="535">
        <f>'Working Capital'!S26-'Working Capital'!R26</f>
        <v>0</v>
      </c>
      <c r="S31" s="535">
        <f>'Working Capital'!T26-'Working Capital'!S26</f>
        <v>0</v>
      </c>
      <c r="T31" s="535">
        <f>'Working Capital'!U26-'Working Capital'!T26</f>
        <v>0</v>
      </c>
      <c r="U31" s="535">
        <f>'Working Capital'!V26-'Working Capital'!U26</f>
        <v>0</v>
      </c>
      <c r="V31" s="535">
        <f>'Working Capital'!W26-'Working Capital'!V26</f>
        <v>0</v>
      </c>
      <c r="W31" s="535">
        <f>'Working Capital'!X26-'Working Capital'!W26</f>
        <v>0</v>
      </c>
      <c r="X31" s="535">
        <f>'Working Capital'!Y26-'Working Capital'!X26</f>
        <v>0</v>
      </c>
      <c r="Y31" s="535">
        <f>'Working Capital'!Z26-'Working Capital'!Y26</f>
        <v>0</v>
      </c>
      <c r="Z31" s="535">
        <f>'Working Capital'!AA26-'Working Capital'!Z26</f>
        <v>0</v>
      </c>
      <c r="AA31" s="535">
        <f>'Working Capital'!AB26-'Working Capital'!AA26</f>
        <v>0</v>
      </c>
      <c r="AB31" s="535">
        <f>'Working Capital'!AC26-'Working Capital'!AB26</f>
        <v>0</v>
      </c>
    </row>
    <row r="32" spans="1:28">
      <c r="B32" s="536" t="str">
        <f>+'Working Capital'!B27</f>
        <v>Other Non-Op. Cur. Liabilities</v>
      </c>
      <c r="D32" s="525"/>
      <c r="E32" s="528"/>
      <c r="F32" s="535"/>
      <c r="G32" s="535"/>
      <c r="H32" s="535">
        <f>'Working Capital'!I27-'Working Capital'!H27</f>
        <v>0</v>
      </c>
      <c r="I32" s="535">
        <f>'Working Capital'!J27-'Working Capital'!I27</f>
        <v>0</v>
      </c>
      <c r="J32" s="535">
        <f>'Working Capital'!K27-'Working Capital'!J27</f>
        <v>0</v>
      </c>
      <c r="K32" s="535">
        <f>'Working Capital'!L27-'Working Capital'!K27</f>
        <v>0</v>
      </c>
      <c r="L32" s="535">
        <f>'Working Capital'!M27-'Working Capital'!L27</f>
        <v>0</v>
      </c>
      <c r="M32" s="535">
        <f>'Working Capital'!N27-'Working Capital'!M27</f>
        <v>0</v>
      </c>
      <c r="N32" s="535">
        <f>'Working Capital'!O27-'Working Capital'!N27</f>
        <v>0</v>
      </c>
      <c r="O32" s="535">
        <f>'Working Capital'!P27-'Working Capital'!O27</f>
        <v>0</v>
      </c>
      <c r="P32" s="535">
        <f>'Working Capital'!Q27-'Working Capital'!P27</f>
        <v>0</v>
      </c>
      <c r="Q32" s="535">
        <f>'Working Capital'!R27-'Working Capital'!Q27</f>
        <v>0</v>
      </c>
      <c r="R32" s="535">
        <f>'Working Capital'!S27-'Working Capital'!R27</f>
        <v>0</v>
      </c>
      <c r="S32" s="535">
        <f>'Working Capital'!T27-'Working Capital'!S27</f>
        <v>0</v>
      </c>
      <c r="T32" s="535">
        <f>'Working Capital'!U27-'Working Capital'!T27</f>
        <v>0</v>
      </c>
      <c r="U32" s="535">
        <f>'Working Capital'!V27-'Working Capital'!U27</f>
        <v>0</v>
      </c>
      <c r="V32" s="535">
        <f>'Working Capital'!W27-'Working Capital'!V27</f>
        <v>0</v>
      </c>
      <c r="W32" s="535">
        <f>'Working Capital'!X27-'Working Capital'!W27</f>
        <v>0</v>
      </c>
      <c r="X32" s="535">
        <f>'Working Capital'!Y27-'Working Capital'!X27</f>
        <v>0</v>
      </c>
      <c r="Y32" s="535">
        <f>'Working Capital'!Z27-'Working Capital'!Y27</f>
        <v>0</v>
      </c>
      <c r="Z32" s="535">
        <f>'Working Capital'!AA27-'Working Capital'!Z27</f>
        <v>0</v>
      </c>
      <c r="AA32" s="535">
        <f>'Working Capital'!AB27-'Working Capital'!AA27</f>
        <v>0</v>
      </c>
      <c r="AB32" s="535">
        <f>'Working Capital'!AC27-'Working Capital'!AB27</f>
        <v>0</v>
      </c>
    </row>
    <row r="33" spans="2:28">
      <c r="D33" s="525"/>
      <c r="E33" s="528"/>
      <c r="F33" s="521"/>
      <c r="G33" s="521"/>
      <c r="H33" s="521"/>
      <c r="I33" s="521"/>
      <c r="J33" s="521"/>
      <c r="K33" s="521"/>
      <c r="L33" s="521"/>
      <c r="M33" s="521"/>
      <c r="N33" s="521"/>
      <c r="O33" s="521"/>
      <c r="P33" s="521"/>
      <c r="Q33" s="521"/>
      <c r="R33" s="521"/>
      <c r="S33" s="521"/>
      <c r="T33" s="521"/>
      <c r="U33" s="521"/>
      <c r="V33" s="521"/>
      <c r="W33" s="521"/>
      <c r="X33" s="521"/>
      <c r="Y33" s="521"/>
      <c r="Z33" s="521"/>
      <c r="AA33" s="521"/>
      <c r="AB33" s="521"/>
    </row>
    <row r="34" spans="2:28">
      <c r="B34" s="522" t="s">
        <v>97</v>
      </c>
      <c r="C34" s="523"/>
      <c r="D34" s="524"/>
      <c r="E34" s="524"/>
      <c r="F34" s="524"/>
      <c r="G34" s="524"/>
      <c r="H34" s="524">
        <f>SUM(H36:H39)</f>
        <v>-139000</v>
      </c>
      <c r="I34" s="524">
        <f t="shared" ref="I34:AB34" ca="1" si="2">SUM(I36:I39)</f>
        <v>-107863.74285714285</v>
      </c>
      <c r="J34" s="524">
        <f t="shared" ca="1" si="2"/>
        <v>-63272.848979591829</v>
      </c>
      <c r="K34" s="524">
        <f t="shared" ca="1" si="2"/>
        <v>-72311.827405247808</v>
      </c>
      <c r="L34" s="524">
        <f t="shared" ca="1" si="2"/>
        <v>-82642.088463140361</v>
      </c>
      <c r="M34" s="524">
        <f t="shared" ca="1" si="2"/>
        <v>-94448.101100731845</v>
      </c>
      <c r="N34" s="524">
        <f t="shared" ca="1" si="2"/>
        <v>-107940.68697226496</v>
      </c>
      <c r="O34" s="524">
        <f t="shared" ca="1" si="2"/>
        <v>-123360.78511115996</v>
      </c>
      <c r="P34" s="524">
        <f t="shared" ca="1" si="2"/>
        <v>-121126.61155561139</v>
      </c>
      <c r="Q34" s="524">
        <f t="shared" ca="1" si="2"/>
        <v>-123021.30708396403</v>
      </c>
      <c r="R34" s="524">
        <f t="shared" ca="1" si="2"/>
        <v>-131556.80109887433</v>
      </c>
      <c r="S34" s="524">
        <f t="shared" ca="1" si="2"/>
        <v>-140020.3687693924</v>
      </c>
      <c r="T34" s="524">
        <f t="shared" ca="1" si="2"/>
        <v>-120210.66595599982</v>
      </c>
      <c r="U34" s="524">
        <f t="shared" ca="1" si="2"/>
        <v>-123891.03236389525</v>
      </c>
      <c r="V34" s="524">
        <f t="shared" ca="1" si="2"/>
        <v>-126169.65313412815</v>
      </c>
      <c r="W34" s="524">
        <f t="shared" ca="1" si="2"/>
        <v>-126570.9199945522</v>
      </c>
      <c r="X34" s="524">
        <f t="shared" ca="1" si="2"/>
        <v>-127348.67834297231</v>
      </c>
      <c r="Y34" s="524">
        <f t="shared" ca="1" si="2"/>
        <v>-127966.87423711634</v>
      </c>
      <c r="Z34" s="524">
        <f t="shared" ca="1" si="2"/>
        <v>-127454.02754257948</v>
      </c>
      <c r="AA34" s="524">
        <f t="shared" ca="1" si="2"/>
        <v>-125658.83593874906</v>
      </c>
      <c r="AB34" s="524">
        <f t="shared" ca="1" si="2"/>
        <v>-126437.14593628468</v>
      </c>
    </row>
    <row r="35" spans="2:28">
      <c r="D35" s="525"/>
      <c r="E35" s="528"/>
      <c r="F35" s="521"/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521"/>
      <c r="U35" s="521"/>
      <c r="V35" s="521"/>
      <c r="W35" s="521"/>
      <c r="X35" s="521"/>
      <c r="Y35" s="521"/>
      <c r="Z35" s="521"/>
      <c r="AA35" s="521"/>
      <c r="AB35" s="521"/>
    </row>
    <row r="36" spans="2:28">
      <c r="B36" s="486" t="s">
        <v>59</v>
      </c>
      <c r="D36" s="525"/>
      <c r="E36" s="528"/>
      <c r="F36" s="521"/>
      <c r="G36" s="521"/>
      <c r="H36" s="521">
        <f>-'Fixed Assets &amp; CAPEX'!H35</f>
        <v>-139000</v>
      </c>
      <c r="I36" s="521">
        <f ca="1">-'Fixed Assets &amp; CAPEX'!I35</f>
        <v>-107863.74285714285</v>
      </c>
      <c r="J36" s="521">
        <f ca="1">-'Fixed Assets &amp; CAPEX'!J35</f>
        <v>-63272.848979591829</v>
      </c>
      <c r="K36" s="521">
        <f ca="1">-'Fixed Assets &amp; CAPEX'!K35</f>
        <v>-72311.827405247808</v>
      </c>
      <c r="L36" s="521">
        <f ca="1">-'Fixed Assets &amp; CAPEX'!L35</f>
        <v>-82642.088463140361</v>
      </c>
      <c r="M36" s="521">
        <f ca="1">-'Fixed Assets &amp; CAPEX'!M35</f>
        <v>-94448.101100731845</v>
      </c>
      <c r="N36" s="521">
        <f ca="1">-'Fixed Assets &amp; CAPEX'!N35</f>
        <v>-107940.68697226496</v>
      </c>
      <c r="O36" s="521">
        <f ca="1">-'Fixed Assets &amp; CAPEX'!O35</f>
        <v>-123360.78511115996</v>
      </c>
      <c r="P36" s="521">
        <f ca="1">-'Fixed Assets &amp; CAPEX'!P35</f>
        <v>-121126.61155561139</v>
      </c>
      <c r="Q36" s="521">
        <f ca="1">-'Fixed Assets &amp; CAPEX'!Q35</f>
        <v>-123021.30708396403</v>
      </c>
      <c r="R36" s="521">
        <f ca="1">-'Fixed Assets &amp; CAPEX'!R35</f>
        <v>-131556.80109887433</v>
      </c>
      <c r="S36" s="521">
        <f ca="1">-'Fixed Assets &amp; CAPEX'!S35</f>
        <v>-140020.3687693924</v>
      </c>
      <c r="T36" s="521">
        <f ca="1">-'Fixed Assets &amp; CAPEX'!T35</f>
        <v>-120210.66595599982</v>
      </c>
      <c r="U36" s="521">
        <f ca="1">-'Fixed Assets &amp; CAPEX'!U35</f>
        <v>-123891.03236389525</v>
      </c>
      <c r="V36" s="521">
        <f ca="1">-'Fixed Assets &amp; CAPEX'!V35</f>
        <v>-126169.65313412815</v>
      </c>
      <c r="W36" s="521">
        <f ca="1">-'Fixed Assets &amp; CAPEX'!W35</f>
        <v>-126570.9199945522</v>
      </c>
      <c r="X36" s="521">
        <f ca="1">-'Fixed Assets &amp; CAPEX'!X35</f>
        <v>-127348.67834297231</v>
      </c>
      <c r="Y36" s="521">
        <f ca="1">-'Fixed Assets &amp; CAPEX'!Y35</f>
        <v>-127966.87423711634</v>
      </c>
      <c r="Z36" s="521">
        <f ca="1">-'Fixed Assets &amp; CAPEX'!Z35</f>
        <v>-127454.02754257948</v>
      </c>
      <c r="AA36" s="521">
        <f ca="1">-'Fixed Assets &amp; CAPEX'!AA35</f>
        <v>-125658.83593874906</v>
      </c>
      <c r="AB36" s="521">
        <f ca="1">-'Fixed Assets &amp; CAPEX'!AB35</f>
        <v>-126437.14593628468</v>
      </c>
    </row>
    <row r="37" spans="2:28">
      <c r="B37" s="486" t="s">
        <v>56</v>
      </c>
      <c r="D37" s="525"/>
      <c r="E37" s="528"/>
      <c r="F37" s="521"/>
      <c r="G37" s="521"/>
      <c r="H37" s="521">
        <v>0</v>
      </c>
      <c r="I37" s="521">
        <v>0</v>
      </c>
      <c r="J37" s="521">
        <v>0</v>
      </c>
      <c r="K37" s="521">
        <v>0</v>
      </c>
      <c r="L37" s="521">
        <v>0</v>
      </c>
      <c r="M37" s="521">
        <v>0</v>
      </c>
      <c r="N37" s="521">
        <v>0</v>
      </c>
      <c r="O37" s="521">
        <v>0</v>
      </c>
      <c r="P37" s="521">
        <v>0</v>
      </c>
      <c r="Q37" s="521">
        <v>0</v>
      </c>
      <c r="R37" s="521">
        <v>0</v>
      </c>
      <c r="S37" s="521">
        <v>0</v>
      </c>
      <c r="T37" s="521">
        <v>0</v>
      </c>
      <c r="U37" s="521">
        <v>0</v>
      </c>
      <c r="V37" s="521">
        <v>0</v>
      </c>
      <c r="W37" s="521">
        <v>0</v>
      </c>
      <c r="X37" s="521">
        <v>0</v>
      </c>
      <c r="Y37" s="521">
        <v>0</v>
      </c>
      <c r="Z37" s="521">
        <v>0</v>
      </c>
      <c r="AA37" s="521">
        <v>0</v>
      </c>
      <c r="AB37" s="521">
        <v>0</v>
      </c>
    </row>
    <row r="38" spans="2:28">
      <c r="B38" s="488" t="s">
        <v>40</v>
      </c>
      <c r="C38" s="488"/>
      <c r="D38" s="525"/>
      <c r="E38" s="525"/>
      <c r="F38" s="537"/>
      <c r="G38" s="537"/>
      <c r="H38" s="149"/>
      <c r="I38" s="149"/>
      <c r="J38" s="149">
        <v>0</v>
      </c>
      <c r="K38" s="149">
        <v>0</v>
      </c>
      <c r="L38" s="149">
        <v>0</v>
      </c>
      <c r="M38" s="149">
        <v>0</v>
      </c>
      <c r="N38" s="149">
        <v>0</v>
      </c>
      <c r="O38" s="149">
        <v>0</v>
      </c>
      <c r="P38" s="149">
        <v>0</v>
      </c>
      <c r="Q38" s="149">
        <v>0</v>
      </c>
      <c r="R38" s="149">
        <v>0</v>
      </c>
      <c r="S38" s="149">
        <v>0</v>
      </c>
      <c r="T38" s="149">
        <v>0</v>
      </c>
      <c r="U38" s="149">
        <v>0</v>
      </c>
      <c r="V38" s="149">
        <v>0</v>
      </c>
      <c r="W38" s="149">
        <v>0</v>
      </c>
      <c r="X38" s="149">
        <v>0</v>
      </c>
      <c r="Y38" s="149">
        <v>0</v>
      </c>
      <c r="Z38" s="149">
        <v>0</v>
      </c>
      <c r="AA38" s="149">
        <v>0</v>
      </c>
      <c r="AB38" s="149">
        <v>0</v>
      </c>
    </row>
    <row r="39" spans="2:28">
      <c r="B39" s="527" t="s">
        <v>61</v>
      </c>
      <c r="D39" s="525"/>
      <c r="E39" s="528"/>
      <c r="F39" s="521"/>
      <c r="G39" s="521"/>
      <c r="H39" s="521"/>
      <c r="I39" s="521"/>
      <c r="J39" s="521"/>
      <c r="K39" s="521"/>
      <c r="L39" s="521"/>
      <c r="M39" s="521"/>
      <c r="N39" s="521"/>
      <c r="O39" s="521"/>
      <c r="P39" s="521"/>
      <c r="Q39" s="521"/>
      <c r="R39" s="521"/>
      <c r="S39" s="521"/>
      <c r="T39" s="521"/>
      <c r="U39" s="521"/>
      <c r="V39" s="521"/>
      <c r="W39" s="521"/>
      <c r="X39" s="521"/>
      <c r="Y39" s="521"/>
      <c r="Z39" s="521"/>
      <c r="AA39" s="521"/>
      <c r="AB39" s="521"/>
    </row>
    <row r="40" spans="2:28">
      <c r="D40" s="528"/>
      <c r="E40" s="528"/>
      <c r="F40" s="521"/>
      <c r="G40" s="521"/>
      <c r="H40" s="521"/>
      <c r="I40" s="521"/>
      <c r="J40" s="521"/>
      <c r="K40" s="521"/>
      <c r="L40" s="521"/>
      <c r="M40" s="521"/>
      <c r="N40" s="521"/>
      <c r="O40" s="521"/>
      <c r="P40" s="521"/>
      <c r="Q40" s="521"/>
      <c r="R40" s="521"/>
      <c r="S40" s="521"/>
      <c r="T40" s="521"/>
      <c r="U40" s="521"/>
      <c r="V40" s="521"/>
      <c r="W40" s="521"/>
      <c r="X40" s="521"/>
      <c r="Y40" s="521"/>
      <c r="Z40" s="521"/>
      <c r="AA40" s="521"/>
      <c r="AB40" s="521"/>
    </row>
    <row r="41" spans="2:28">
      <c r="B41" s="522" t="s">
        <v>64</v>
      </c>
      <c r="C41" s="523"/>
      <c r="D41" s="524"/>
      <c r="E41" s="524"/>
      <c r="F41" s="524"/>
      <c r="G41" s="524"/>
      <c r="H41" s="524">
        <f ca="1">H10+H34</f>
        <v>-96915.490320196579</v>
      </c>
      <c r="I41" s="524">
        <f t="shared" ref="I41:AB41" ca="1" si="3">I10+I34</f>
        <v>-44371.861616540991</v>
      </c>
      <c r="J41" s="524">
        <f t="shared" ca="1" si="3"/>
        <v>33111.551987873769</v>
      </c>
      <c r="K41" s="524">
        <f t="shared" ca="1" si="3"/>
        <v>26846.865713759616</v>
      </c>
      <c r="L41" s="524">
        <f t="shared" ca="1" si="3"/>
        <v>-2608.1272421710164</v>
      </c>
      <c r="M41" s="524">
        <f t="shared" ca="1" si="3"/>
        <v>-9084.4365152481478</v>
      </c>
      <c r="N41" s="524">
        <f t="shared" ca="1" si="3"/>
        <v>-14415.764599071263</v>
      </c>
      <c r="O41" s="524">
        <f t="shared" ca="1" si="3"/>
        <v>46749.362866980111</v>
      </c>
      <c r="P41" s="524">
        <f t="shared" ca="1" si="3"/>
        <v>23229.938922863395</v>
      </c>
      <c r="Q41" s="524">
        <f t="shared" ca="1" si="3"/>
        <v>47575.029415975325</v>
      </c>
      <c r="R41" s="524">
        <f t="shared" ca="1" si="3"/>
        <v>47160.667478344345</v>
      </c>
      <c r="S41" s="524" t="e">
        <f t="shared" ca="1" si="3"/>
        <v>#VALUE!</v>
      </c>
      <c r="T41" s="524" t="e">
        <f t="shared" ca="1" si="3"/>
        <v>#VALUE!</v>
      </c>
      <c r="U41" s="524" t="e">
        <f t="shared" ca="1" si="3"/>
        <v>#VALUE!</v>
      </c>
      <c r="V41" s="524" t="e">
        <f t="shared" ca="1" si="3"/>
        <v>#VALUE!</v>
      </c>
      <c r="W41" s="524" t="e">
        <f t="shared" ca="1" si="3"/>
        <v>#VALUE!</v>
      </c>
      <c r="X41" s="524" t="e">
        <f t="shared" ca="1" si="3"/>
        <v>#VALUE!</v>
      </c>
      <c r="Y41" s="524" t="e">
        <f t="shared" ca="1" si="3"/>
        <v>#VALUE!</v>
      </c>
      <c r="Z41" s="524" t="e">
        <f t="shared" ca="1" si="3"/>
        <v>#VALUE!</v>
      </c>
      <c r="AA41" s="524" t="e">
        <f t="shared" ca="1" si="3"/>
        <v>#VALUE!</v>
      </c>
      <c r="AB41" s="524" t="e">
        <f t="shared" ca="1" si="3"/>
        <v>#DIV/0!</v>
      </c>
    </row>
    <row r="42" spans="2:28">
      <c r="D42" s="528"/>
      <c r="E42" s="528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521"/>
      <c r="S42" s="521"/>
      <c r="T42" s="521"/>
      <c r="U42" s="521"/>
      <c r="V42" s="521"/>
      <c r="W42" s="521"/>
      <c r="X42" s="521"/>
      <c r="Y42" s="521"/>
      <c r="Z42" s="521"/>
      <c r="AA42" s="521"/>
      <c r="AB42" s="521"/>
    </row>
    <row r="43" spans="2:28">
      <c r="B43" s="522" t="s">
        <v>98</v>
      </c>
      <c r="C43" s="523"/>
      <c r="D43" s="524"/>
      <c r="E43" s="524"/>
      <c r="F43" s="524"/>
      <c r="G43" s="524"/>
      <c r="H43" s="524">
        <f>SUM(H45:H54)</f>
        <v>17873</v>
      </c>
      <c r="I43" s="524">
        <f ca="1">SUM(I45:I54)</f>
        <v>60793.210571428557</v>
      </c>
      <c r="J43" s="524">
        <f t="shared" ref="J43:AB43" ca="1" si="4">SUM(J45:J54)</f>
        <v>-78382.042530612249</v>
      </c>
      <c r="K43" s="524">
        <f t="shared" ca="1" si="4"/>
        <v>-129321.78713702624</v>
      </c>
      <c r="L43" s="524">
        <f t="shared" ca="1" si="4"/>
        <v>-152160.23906614681</v>
      </c>
      <c r="M43" s="524">
        <f t="shared" ca="1" si="4"/>
        <v>-253829.55520254839</v>
      </c>
      <c r="N43" s="524">
        <f t="shared" ca="1" si="4"/>
        <v>-357942.41479419614</v>
      </c>
      <c r="O43" s="524">
        <f t="shared" ca="1" si="4"/>
        <v>-372730.73893636349</v>
      </c>
      <c r="P43" s="524">
        <f t="shared" ca="1" si="4"/>
        <v>-332916.15840435034</v>
      </c>
      <c r="Q43" s="524">
        <f t="shared" ca="1" si="4"/>
        <v>-320133.35419083695</v>
      </c>
      <c r="R43" s="524">
        <f t="shared" ca="1" si="4"/>
        <v>-265625.1084077048</v>
      </c>
      <c r="S43" s="524">
        <f t="shared" ca="1" si="4"/>
        <v>-210758.85981670814</v>
      </c>
      <c r="T43" s="524" t="e">
        <f t="shared" ca="1" si="4"/>
        <v>#VALUE!</v>
      </c>
      <c r="U43" s="524" t="e">
        <f t="shared" ca="1" si="4"/>
        <v>#VALUE!</v>
      </c>
      <c r="V43" s="524" t="e">
        <f t="shared" ca="1" si="4"/>
        <v>#VALUE!</v>
      </c>
      <c r="W43" s="524" t="e">
        <f t="shared" ca="1" si="4"/>
        <v>#VALUE!</v>
      </c>
      <c r="X43" s="524" t="e">
        <f t="shared" ca="1" si="4"/>
        <v>#VALUE!</v>
      </c>
      <c r="Y43" s="524" t="e">
        <f t="shared" ca="1" si="4"/>
        <v>#VALUE!</v>
      </c>
      <c r="Z43" s="524" t="e">
        <f t="shared" ca="1" si="4"/>
        <v>#VALUE!</v>
      </c>
      <c r="AA43" s="524" t="e">
        <f t="shared" ca="1" si="4"/>
        <v>#VALUE!</v>
      </c>
      <c r="AB43" s="524" t="e">
        <f t="shared" ca="1" si="4"/>
        <v>#VALUE!</v>
      </c>
    </row>
    <row r="44" spans="2:28">
      <c r="D44" s="525"/>
      <c r="E44" s="528"/>
      <c r="F44" s="521"/>
      <c r="G44" s="521"/>
      <c r="H44" s="521"/>
      <c r="I44" s="521"/>
      <c r="J44" s="521"/>
      <c r="K44" s="521"/>
      <c r="L44" s="521"/>
      <c r="M44" s="521"/>
      <c r="N44" s="521"/>
      <c r="O44" s="521"/>
      <c r="P44" s="521"/>
      <c r="Q44" s="521"/>
      <c r="R44" s="521"/>
      <c r="S44" s="521"/>
      <c r="T44" s="521"/>
      <c r="U44" s="521"/>
      <c r="V44" s="521"/>
      <c r="W44" s="521"/>
      <c r="X44" s="521"/>
      <c r="Y44" s="521"/>
      <c r="Z44" s="521"/>
      <c r="AA44" s="521"/>
      <c r="AB44" s="521"/>
    </row>
    <row r="45" spans="2:28">
      <c r="B45" s="486" t="s">
        <v>65</v>
      </c>
      <c r="D45" s="521"/>
      <c r="E45" s="521"/>
      <c r="F45" s="521"/>
      <c r="G45" s="521"/>
      <c r="H45" s="521">
        <f>-'Balance Sheet'!I53</f>
        <v>0</v>
      </c>
      <c r="I45" s="521">
        <f ca="1">-'Balance Sheet'!J53</f>
        <v>0</v>
      </c>
      <c r="J45" s="521">
        <f ca="1">-'Balance Sheet'!K53</f>
        <v>0</v>
      </c>
      <c r="K45" s="521">
        <f ca="1">-'Balance Sheet'!L53</f>
        <v>0</v>
      </c>
      <c r="L45" s="521">
        <f ca="1">-'Balance Sheet'!M53</f>
        <v>0</v>
      </c>
      <c r="M45" s="521">
        <f ca="1">-'Balance Sheet'!N53</f>
        <v>0</v>
      </c>
      <c r="N45" s="521">
        <f ca="1">-'Balance Sheet'!O53</f>
        <v>0</v>
      </c>
      <c r="O45" s="521">
        <f ca="1">-'Balance Sheet'!P53</f>
        <v>0</v>
      </c>
      <c r="P45" s="521">
        <f ca="1">-'Balance Sheet'!Q53</f>
        <v>0</v>
      </c>
      <c r="Q45" s="521">
        <f ca="1">-'Balance Sheet'!R53</f>
        <v>0</v>
      </c>
      <c r="R45" s="521">
        <f ca="1">-'Balance Sheet'!S53</f>
        <v>0</v>
      </c>
      <c r="S45" s="521">
        <f ca="1">-'Balance Sheet'!T53</f>
        <v>0</v>
      </c>
      <c r="T45" s="521" t="e">
        <f ca="1">-'Balance Sheet'!U53</f>
        <v>#VALUE!</v>
      </c>
      <c r="U45" s="521" t="e">
        <f ca="1">-'Balance Sheet'!V53</f>
        <v>#VALUE!</v>
      </c>
      <c r="V45" s="521" t="e">
        <f ca="1">-'Balance Sheet'!W53</f>
        <v>#VALUE!</v>
      </c>
      <c r="W45" s="521" t="e">
        <f ca="1">-'Balance Sheet'!X53</f>
        <v>#VALUE!</v>
      </c>
      <c r="X45" s="521" t="e">
        <f ca="1">-'Balance Sheet'!Y53</f>
        <v>#VALUE!</v>
      </c>
      <c r="Y45" s="521" t="e">
        <f ca="1">-'Balance Sheet'!Z53</f>
        <v>#VALUE!</v>
      </c>
      <c r="Z45" s="521" t="e">
        <f ca="1">-'Balance Sheet'!AA53</f>
        <v>#VALUE!</v>
      </c>
      <c r="AA45" s="521" t="e">
        <f ca="1">-'Balance Sheet'!AB53</f>
        <v>#VALUE!</v>
      </c>
      <c r="AB45" s="521" t="e">
        <f ca="1">-'Balance Sheet'!AC53</f>
        <v>#VALUE!</v>
      </c>
    </row>
    <row r="46" spans="2:28">
      <c r="B46" s="486" t="s">
        <v>241</v>
      </c>
      <c r="D46" s="525"/>
      <c r="E46" s="528"/>
      <c r="F46" s="537"/>
      <c r="G46" s="537"/>
      <c r="H46" s="149"/>
      <c r="I46" s="149"/>
      <c r="J46" s="149"/>
      <c r="K46" s="149"/>
      <c r="L46" s="149"/>
      <c r="M46" s="149"/>
      <c r="N46" s="149">
        <f>'Goodwill, Taxes &amp; Div.'!N53</f>
        <v>0</v>
      </c>
      <c r="O46" s="149">
        <f>'Goodwill, Taxes &amp; Div.'!O53</f>
        <v>0</v>
      </c>
      <c r="P46" s="149">
        <f>'Goodwill, Taxes &amp; Div.'!P53</f>
        <v>0</v>
      </c>
      <c r="Q46" s="149">
        <f>'Goodwill, Taxes &amp; Div.'!Q53</f>
        <v>0</v>
      </c>
      <c r="R46" s="149">
        <f>'Goodwill, Taxes &amp; Div.'!R53</f>
        <v>0</v>
      </c>
      <c r="S46" s="149">
        <f>'Goodwill, Taxes &amp; Div.'!S53</f>
        <v>0</v>
      </c>
      <c r="T46" s="149">
        <f>'Goodwill, Taxes &amp; Div.'!T53</f>
        <v>0</v>
      </c>
      <c r="U46" s="149">
        <f>'Goodwill, Taxes &amp; Div.'!U53</f>
        <v>0</v>
      </c>
      <c r="V46" s="149">
        <f>'Goodwill, Taxes &amp; Div.'!V53</f>
        <v>0</v>
      </c>
      <c r="W46" s="149">
        <f>'Goodwill, Taxes &amp; Div.'!W53</f>
        <v>0</v>
      </c>
      <c r="X46" s="149">
        <f>'Goodwill, Taxes &amp; Div.'!X53</f>
        <v>0</v>
      </c>
      <c r="Y46" s="149">
        <f>'Goodwill, Taxes &amp; Div.'!Y53</f>
        <v>0</v>
      </c>
      <c r="Z46" s="149">
        <f>'Goodwill, Taxes &amp; Div.'!Z53</f>
        <v>0</v>
      </c>
      <c r="AA46" s="149">
        <f>'Goodwill, Taxes &amp; Div.'!AA53</f>
        <v>0</v>
      </c>
      <c r="AB46" s="149">
        <f>'Goodwill, Taxes &amp; Div.'!AB53</f>
        <v>0</v>
      </c>
    </row>
    <row r="47" spans="2:28">
      <c r="B47" s="486" t="s">
        <v>121</v>
      </c>
      <c r="D47" s="525"/>
      <c r="E47" s="528"/>
      <c r="F47" s="521"/>
      <c r="G47" s="521"/>
      <c r="H47" s="521"/>
      <c r="I47" s="521"/>
      <c r="J47" s="521"/>
      <c r="K47" s="521"/>
      <c r="L47" s="521"/>
      <c r="M47" s="521"/>
      <c r="N47" s="521"/>
      <c r="O47" s="521"/>
      <c r="P47" s="521"/>
      <c r="Q47" s="521"/>
      <c r="R47" s="521"/>
      <c r="S47" s="521"/>
      <c r="T47" s="521"/>
      <c r="U47" s="521"/>
      <c r="V47" s="521"/>
      <c r="W47" s="521"/>
      <c r="X47" s="521"/>
      <c r="Y47" s="521"/>
      <c r="Z47" s="521"/>
      <c r="AA47" s="521"/>
      <c r="AB47" s="521"/>
    </row>
    <row r="48" spans="2:28">
      <c r="B48" s="486" t="s">
        <v>257</v>
      </c>
      <c r="D48" s="525"/>
      <c r="E48" s="528"/>
      <c r="F48" s="521"/>
      <c r="G48" s="521"/>
      <c r="H48" s="521"/>
      <c r="I48" s="521"/>
      <c r="J48" s="521"/>
      <c r="K48" s="521"/>
      <c r="L48" s="521"/>
      <c r="M48" s="521"/>
      <c r="N48" s="521"/>
      <c r="O48" s="521"/>
      <c r="P48" s="521"/>
      <c r="Q48" s="521"/>
      <c r="R48" s="521"/>
      <c r="S48" s="521"/>
      <c r="T48" s="521"/>
      <c r="U48" s="521"/>
      <c r="V48" s="521"/>
      <c r="W48" s="521"/>
      <c r="X48" s="521"/>
      <c r="Y48" s="521"/>
      <c r="Z48" s="521"/>
      <c r="AA48" s="521"/>
      <c r="AB48" s="521"/>
    </row>
    <row r="49" spans="2:28">
      <c r="B49" s="487" t="s">
        <v>410</v>
      </c>
      <c r="D49" s="525"/>
      <c r="E49" s="528"/>
      <c r="F49" s="521"/>
      <c r="G49" s="521"/>
      <c r="H49" s="521"/>
      <c r="I49" s="521"/>
      <c r="J49" s="521"/>
      <c r="K49" s="521"/>
      <c r="L49" s="521"/>
      <c r="M49" s="521"/>
      <c r="N49" s="521"/>
      <c r="O49" s="521"/>
      <c r="P49" s="521"/>
      <c r="Q49" s="521"/>
      <c r="R49" s="521"/>
      <c r="S49" s="521"/>
      <c r="T49" s="521"/>
      <c r="U49" s="521"/>
      <c r="V49" s="521"/>
      <c r="W49" s="521"/>
      <c r="X49" s="521"/>
      <c r="Y49" s="521"/>
      <c r="Z49" s="521"/>
      <c r="AA49" s="521"/>
      <c r="AB49" s="521"/>
    </row>
    <row r="50" spans="2:28">
      <c r="B50" s="486" t="s">
        <v>258</v>
      </c>
      <c r="D50" s="525"/>
      <c r="E50" s="528"/>
      <c r="F50" s="521"/>
      <c r="G50" s="521"/>
      <c r="H50" s="521"/>
      <c r="I50" s="521"/>
      <c r="J50" s="521"/>
      <c r="K50" s="521"/>
      <c r="L50" s="521"/>
      <c r="M50" s="521"/>
      <c r="N50" s="521"/>
      <c r="O50" s="521"/>
      <c r="P50" s="521"/>
      <c r="Q50" s="521"/>
      <c r="R50" s="521"/>
      <c r="S50" s="521"/>
      <c r="T50" s="521"/>
      <c r="U50" s="521"/>
      <c r="V50" s="521"/>
      <c r="W50" s="521"/>
      <c r="X50" s="521"/>
      <c r="Y50" s="521"/>
      <c r="Z50" s="521"/>
      <c r="AA50" s="521"/>
      <c r="AB50" s="521"/>
    </row>
    <row r="51" spans="2:28">
      <c r="B51" s="486" t="s">
        <v>69</v>
      </c>
      <c r="D51" s="525"/>
      <c r="E51" s="528"/>
      <c r="F51" s="521"/>
      <c r="G51" s="521"/>
      <c r="H51" s="538">
        <f>'ST Inv. &amp; Debt'!H28-(IF('ST Inv. &amp; Debt'!D128="N",'ST Inv. &amp; Debt'!D125,0))</f>
        <v>95360</v>
      </c>
      <c r="I51" s="521">
        <f ca="1">'ST Inv. &amp; Debt'!I28</f>
        <v>132359.12285714285</v>
      </c>
      <c r="J51" s="521">
        <f ca="1">'ST Inv. &amp; Debt'!J28</f>
        <v>31636.424489795914</v>
      </c>
      <c r="K51" s="521">
        <f ca="1">'ST Inv. &amp; Debt'!K28</f>
        <v>36155.913702623904</v>
      </c>
      <c r="L51" s="521">
        <f ca="1">'ST Inv. &amp; Debt'!L28</f>
        <v>41321.04423157018</v>
      </c>
      <c r="M51" s="521">
        <f ca="1">'ST Inv. &amp; Debt'!M28</f>
        <v>47224.050550365922</v>
      </c>
      <c r="N51" s="521">
        <f ca="1">'ST Inv. &amp; Debt'!N28</f>
        <v>53970.343486132479</v>
      </c>
      <c r="O51" s="521">
        <f ca="1">'ST Inv. &amp; Debt'!O28</f>
        <v>61680.39255557998</v>
      </c>
      <c r="P51" s="521">
        <f ca="1">'ST Inv. &amp; Debt'!P28</f>
        <v>60563.305777805697</v>
      </c>
      <c r="Q51" s="521">
        <f ca="1">'ST Inv. &amp; Debt'!Q28</f>
        <v>61510.653541982014</v>
      </c>
      <c r="R51" s="521">
        <f ca="1">'ST Inv. &amp; Debt'!R28</f>
        <v>65778.400549437167</v>
      </c>
      <c r="S51" s="521">
        <f ca="1">'ST Inv. &amp; Debt'!S28</f>
        <v>70010.1843846962</v>
      </c>
      <c r="T51" s="521">
        <f ca="1">'ST Inv. &amp; Debt'!T28</f>
        <v>60105.332977999911</v>
      </c>
      <c r="U51" s="521">
        <f ca="1">'ST Inv. &amp; Debt'!U28</f>
        <v>61945.516181947627</v>
      </c>
      <c r="V51" s="521">
        <f ca="1">'ST Inv. &amp; Debt'!V28</f>
        <v>63084.826567064076</v>
      </c>
      <c r="W51" s="521">
        <f ca="1">'ST Inv. &amp; Debt'!W28</f>
        <v>63285.459997276099</v>
      </c>
      <c r="X51" s="521">
        <f ca="1">'ST Inv. &amp; Debt'!X28</f>
        <v>63674.339171486157</v>
      </c>
      <c r="Y51" s="521">
        <f ca="1">'ST Inv. &amp; Debt'!Y28</f>
        <v>63983.437118558169</v>
      </c>
      <c r="Z51" s="521">
        <f ca="1">'ST Inv. &amp; Debt'!Z28</f>
        <v>63727.013771289741</v>
      </c>
      <c r="AA51" s="521">
        <f ca="1">'ST Inv. &amp; Debt'!AA28</f>
        <v>62829.417969374532</v>
      </c>
      <c r="AB51" s="521">
        <f ca="1">'ST Inv. &amp; Debt'!AB28</f>
        <v>63218.57296814234</v>
      </c>
    </row>
    <row r="52" spans="2:28">
      <c r="B52" s="486" t="s">
        <v>66</v>
      </c>
      <c r="D52" s="525"/>
      <c r="E52" s="528"/>
      <c r="F52" s="521"/>
      <c r="G52" s="521"/>
      <c r="H52" s="521">
        <f>'ST Inv. &amp; Debt'!H29</f>
        <v>-53291</v>
      </c>
      <c r="I52" s="521">
        <f ca="1">'ST Inv. &amp; Debt'!I29</f>
        <v>-48163.912285714287</v>
      </c>
      <c r="J52" s="521">
        <f ca="1">'ST Inv. &amp; Debt'!J29</f>
        <v>-87412.467020408163</v>
      </c>
      <c r="K52" s="521">
        <f ca="1">'ST Inv. &amp; Debt'!K29</f>
        <v>-141041.70083965015</v>
      </c>
      <c r="L52" s="521">
        <f ca="1">'ST Inv. &amp; Debt'!L29</f>
        <v>-176494.28329771699</v>
      </c>
      <c r="M52" s="521">
        <f ca="1">'ST Inv. &amp; Debt'!M29</f>
        <v>-284066.60575291433</v>
      </c>
      <c r="N52" s="521">
        <f ca="1">'ST Inv. &amp; Debt'!N29</f>
        <v>-394925.75828032859</v>
      </c>
      <c r="O52" s="521">
        <f ca="1">'ST Inv. &amp; Debt'!O29</f>
        <v>-417424.13149194344</v>
      </c>
      <c r="P52" s="521">
        <f ca="1">'ST Inv. &amp; Debt'!P29</f>
        <v>-376492.46418215602</v>
      </c>
      <c r="Q52" s="521">
        <f ca="1">'ST Inv. &amp; Debt'!Q29</f>
        <v>-364657.00773281895</v>
      </c>
      <c r="R52" s="521">
        <f ca="1">'ST Inv. &amp; Debt'!R29</f>
        <v>-331403.50895714195</v>
      </c>
      <c r="S52" s="521">
        <f ca="1">'ST Inv. &amp; Debt'!S29</f>
        <v>-280769.04420140432</v>
      </c>
      <c r="T52" s="521" t="e">
        <f ca="1">'ST Inv. &amp; Debt'!T29</f>
        <v>#VALUE!</v>
      </c>
      <c r="U52" s="521" t="e">
        <f ca="1">'ST Inv. &amp; Debt'!U29</f>
        <v>#VALUE!</v>
      </c>
      <c r="V52" s="521" t="e">
        <f ca="1">'ST Inv. &amp; Debt'!V29</f>
        <v>#VALUE!</v>
      </c>
      <c r="W52" s="521" t="e">
        <f ca="1">'ST Inv. &amp; Debt'!W29</f>
        <v>#VALUE!</v>
      </c>
      <c r="X52" s="521" t="e">
        <f ca="1">'ST Inv. &amp; Debt'!X29</f>
        <v>#VALUE!</v>
      </c>
      <c r="Y52" s="521" t="e">
        <f ca="1">'ST Inv. &amp; Debt'!Y29</f>
        <v>#VALUE!</v>
      </c>
      <c r="Z52" s="521" t="e">
        <f ca="1">'ST Inv. &amp; Debt'!Z29</f>
        <v>#VALUE!</v>
      </c>
      <c r="AA52" s="521" t="e">
        <f ca="1">'ST Inv. &amp; Debt'!AA29</f>
        <v>#VALUE!</v>
      </c>
      <c r="AB52" s="521" t="e">
        <f ca="1">'ST Inv. &amp; Debt'!AB29</f>
        <v>#VALUE!</v>
      </c>
    </row>
    <row r="53" spans="2:28">
      <c r="B53" s="600" t="str">
        <f>'Balance Sheet'!C69</f>
        <v>Tributos e contribuições a recolher - parcelamento</v>
      </c>
      <c r="C53" s="600"/>
      <c r="D53" s="603"/>
      <c r="E53" s="604"/>
      <c r="F53" s="605"/>
      <c r="G53" s="605"/>
      <c r="H53" s="605">
        <f>-'Balance Sheet'!I51</f>
        <v>-24196</v>
      </c>
      <c r="I53" s="605">
        <f>-'Balance Sheet'!J51</f>
        <v>-23402</v>
      </c>
      <c r="J53" s="605">
        <f>-'Balance Sheet'!K51</f>
        <v>-22606</v>
      </c>
      <c r="K53" s="605">
        <f>-'Balance Sheet'!L51</f>
        <v>-24436</v>
      </c>
      <c r="L53" s="605">
        <f>-'Balance Sheet'!M51</f>
        <v>-16987</v>
      </c>
      <c r="M53" s="605">
        <f>-'Balance Sheet'!N51</f>
        <v>-16987</v>
      </c>
      <c r="N53" s="605">
        <f>-'Balance Sheet'!O51</f>
        <v>-16987</v>
      </c>
      <c r="O53" s="605">
        <f>-'Balance Sheet'!P51</f>
        <v>-16987</v>
      </c>
      <c r="P53" s="605">
        <f>-'Balance Sheet'!Q51</f>
        <v>-16987</v>
      </c>
      <c r="Q53" s="605">
        <f>-'Balance Sheet'!R51</f>
        <v>-16987</v>
      </c>
      <c r="R53" s="521">
        <f>-'Balance Sheet'!S51</f>
        <v>0</v>
      </c>
      <c r="S53" s="521">
        <f>-'Balance Sheet'!T51</f>
        <v>0</v>
      </c>
      <c r="T53" s="521">
        <f>-'Balance Sheet'!U51</f>
        <v>0</v>
      </c>
      <c r="U53" s="521">
        <f>-'Balance Sheet'!V51</f>
        <v>0</v>
      </c>
      <c r="V53" s="521">
        <f>-'Balance Sheet'!W51</f>
        <v>0</v>
      </c>
      <c r="W53" s="521">
        <f>-'Balance Sheet'!X51</f>
        <v>0</v>
      </c>
      <c r="X53" s="521">
        <f>-'Balance Sheet'!Y51</f>
        <v>0</v>
      </c>
      <c r="Y53" s="521">
        <f>-'Balance Sheet'!Z51</f>
        <v>0</v>
      </c>
      <c r="Z53" s="521">
        <f>-'Balance Sheet'!AA51</f>
        <v>0</v>
      </c>
      <c r="AA53" s="521"/>
      <c r="AB53" s="521"/>
    </row>
    <row r="54" spans="2:28">
      <c r="B54" s="486" t="s">
        <v>414</v>
      </c>
      <c r="D54" s="525"/>
      <c r="E54" s="528"/>
      <c r="F54" s="521"/>
      <c r="G54" s="521"/>
      <c r="H54" s="521">
        <f>'Balance Sheet'!J60-'Balance Sheet'!I60</f>
        <v>0</v>
      </c>
      <c r="I54" s="521">
        <f>'Balance Sheet'!K60-'Balance Sheet'!J60</f>
        <v>0</v>
      </c>
      <c r="J54" s="521">
        <f>'Balance Sheet'!L60-'Balance Sheet'!K60</f>
        <v>0</v>
      </c>
      <c r="K54" s="521">
        <f>'Balance Sheet'!M60-'Balance Sheet'!L60</f>
        <v>0</v>
      </c>
      <c r="L54" s="521">
        <f>'Balance Sheet'!N60-'Balance Sheet'!M60</f>
        <v>0</v>
      </c>
      <c r="M54" s="521">
        <f>'Balance Sheet'!O60-'Balance Sheet'!N60</f>
        <v>0</v>
      </c>
      <c r="N54" s="521">
        <f>'Balance Sheet'!P60-'Balance Sheet'!O60</f>
        <v>0</v>
      </c>
      <c r="O54" s="521">
        <f>'Balance Sheet'!Q60-'Balance Sheet'!P60</f>
        <v>0</v>
      </c>
      <c r="P54" s="521">
        <f>'Balance Sheet'!R60-'Balance Sheet'!Q60</f>
        <v>0</v>
      </c>
      <c r="Q54" s="521">
        <f>'Balance Sheet'!S60-'Balance Sheet'!R60</f>
        <v>0</v>
      </c>
      <c r="R54" s="521">
        <f>'Balance Sheet'!T60-'Balance Sheet'!S60</f>
        <v>0</v>
      </c>
      <c r="S54" s="521">
        <f>'Balance Sheet'!U60-'Balance Sheet'!T60</f>
        <v>0</v>
      </c>
      <c r="T54" s="521">
        <f>'Balance Sheet'!V60-'Balance Sheet'!U60</f>
        <v>0</v>
      </c>
      <c r="U54" s="521">
        <f>'Balance Sheet'!W60-'Balance Sheet'!V60</f>
        <v>0</v>
      </c>
      <c r="V54" s="521">
        <f>'Balance Sheet'!X60-'Balance Sheet'!W60</f>
        <v>0</v>
      </c>
      <c r="W54" s="521">
        <f>'Balance Sheet'!Y60-'Balance Sheet'!X60</f>
        <v>0</v>
      </c>
      <c r="X54" s="521">
        <f>'Balance Sheet'!Z60-'Balance Sheet'!Y60</f>
        <v>0</v>
      </c>
      <c r="Y54" s="521">
        <f>'Balance Sheet'!AA60-'Balance Sheet'!Z60</f>
        <v>0</v>
      </c>
      <c r="Z54" s="521">
        <f>'Balance Sheet'!AB60-'Balance Sheet'!AA60</f>
        <v>0</v>
      </c>
      <c r="AA54" s="521">
        <f>'Balance Sheet'!AC60-'Balance Sheet'!AB60</f>
        <v>0</v>
      </c>
      <c r="AB54" s="521">
        <f>'Balance Sheet'!AD60-'Balance Sheet'!AC60</f>
        <v>0</v>
      </c>
    </row>
    <row r="55" spans="2:28">
      <c r="D55" s="528"/>
      <c r="E55" s="528"/>
      <c r="F55" s="521"/>
      <c r="G55" s="521"/>
      <c r="H55" s="521"/>
      <c r="I55" s="521"/>
      <c r="J55" s="521"/>
      <c r="K55" s="521"/>
      <c r="L55" s="521"/>
      <c r="M55" s="521"/>
      <c r="N55" s="521"/>
      <c r="O55" s="521"/>
      <c r="P55" s="521"/>
      <c r="Q55" s="521"/>
      <c r="R55" s="521"/>
      <c r="S55" s="521"/>
      <c r="T55" s="521"/>
      <c r="U55" s="521"/>
      <c r="V55" s="521"/>
      <c r="W55" s="521"/>
      <c r="X55" s="521"/>
      <c r="Y55" s="521"/>
      <c r="Z55" s="521"/>
      <c r="AA55" s="521"/>
      <c r="AB55" s="521"/>
    </row>
    <row r="56" spans="2:28">
      <c r="B56" s="522" t="s">
        <v>67</v>
      </c>
      <c r="C56" s="523"/>
      <c r="D56" s="524"/>
      <c r="E56" s="524"/>
      <c r="F56" s="524"/>
      <c r="G56" s="524"/>
      <c r="H56" s="524">
        <f ca="1">H41+H43</f>
        <v>-79042.490320196579</v>
      </c>
      <c r="I56" s="524">
        <f t="shared" ref="I56:AB56" ca="1" si="5">I41+I43</f>
        <v>16421.348954887566</v>
      </c>
      <c r="J56" s="524">
        <f t="shared" ca="1" si="5"/>
        <v>-45270.49054273848</v>
      </c>
      <c r="K56" s="524">
        <f t="shared" ca="1" si="5"/>
        <v>-102474.92142326663</v>
      </c>
      <c r="L56" s="524">
        <f t="shared" ca="1" si="5"/>
        <v>-154768.36630831781</v>
      </c>
      <c r="M56" s="524">
        <f t="shared" ca="1" si="5"/>
        <v>-262913.99171779654</v>
      </c>
      <c r="N56" s="524">
        <f t="shared" ca="1" si="5"/>
        <v>-372358.17939326738</v>
      </c>
      <c r="O56" s="524">
        <f t="shared" ca="1" si="5"/>
        <v>-325981.37606938335</v>
      </c>
      <c r="P56" s="524">
        <f t="shared" ca="1" si="5"/>
        <v>-309686.21948148694</v>
      </c>
      <c r="Q56" s="524">
        <f t="shared" ca="1" si="5"/>
        <v>-272558.32477486163</v>
      </c>
      <c r="R56" s="524">
        <f t="shared" ca="1" si="5"/>
        <v>-218464.44092936045</v>
      </c>
      <c r="S56" s="524" t="e">
        <f t="shared" ca="1" si="5"/>
        <v>#VALUE!</v>
      </c>
      <c r="T56" s="524" t="e">
        <f t="shared" ca="1" si="5"/>
        <v>#VALUE!</v>
      </c>
      <c r="U56" s="524" t="e">
        <f t="shared" ca="1" si="5"/>
        <v>#VALUE!</v>
      </c>
      <c r="V56" s="524" t="e">
        <f t="shared" ca="1" si="5"/>
        <v>#VALUE!</v>
      </c>
      <c r="W56" s="524" t="e">
        <f t="shared" ca="1" si="5"/>
        <v>#VALUE!</v>
      </c>
      <c r="X56" s="524" t="e">
        <f t="shared" ca="1" si="5"/>
        <v>#VALUE!</v>
      </c>
      <c r="Y56" s="524" t="e">
        <f t="shared" ca="1" si="5"/>
        <v>#VALUE!</v>
      </c>
      <c r="Z56" s="524" t="e">
        <f t="shared" ca="1" si="5"/>
        <v>#VALUE!</v>
      </c>
      <c r="AA56" s="524" t="e">
        <f t="shared" ca="1" si="5"/>
        <v>#VALUE!</v>
      </c>
      <c r="AB56" s="524" t="e">
        <f t="shared" ca="1" si="5"/>
        <v>#DIV/0!</v>
      </c>
    </row>
    <row r="57" spans="2:28">
      <c r="D57" s="528"/>
      <c r="E57" s="528"/>
      <c r="F57" s="521"/>
      <c r="G57" s="521"/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S57" s="521"/>
      <c r="T57" s="521"/>
      <c r="U57" s="521"/>
      <c r="V57" s="521"/>
      <c r="W57" s="521"/>
      <c r="X57" s="521"/>
      <c r="Y57" s="521"/>
      <c r="Z57" s="521"/>
      <c r="AA57" s="521"/>
      <c r="AB57" s="521"/>
    </row>
    <row r="58" spans="2:28">
      <c r="B58" s="486" t="s">
        <v>247</v>
      </c>
      <c r="D58" s="528"/>
      <c r="E58" s="528"/>
      <c r="F58" s="539"/>
      <c r="G58" s="539"/>
      <c r="H58" s="539">
        <f>'Balance Sheet'!I13</f>
        <v>228486</v>
      </c>
      <c r="I58" s="539">
        <f ca="1">'Balance Sheet'!J13</f>
        <v>149443.50967980342</v>
      </c>
      <c r="J58" s="539">
        <f ca="1">'Balance Sheet'!K13</f>
        <v>165864.85863469099</v>
      </c>
      <c r="K58" s="539">
        <f ca="1">'Balance Sheet'!L13</f>
        <v>120594.36809195251</v>
      </c>
      <c r="L58" s="539">
        <f ca="1">'Balance Sheet'!M13</f>
        <v>70000</v>
      </c>
      <c r="M58" s="539">
        <f ca="1">'Balance Sheet'!N13</f>
        <v>70000</v>
      </c>
      <c r="N58" s="539">
        <f ca="1">'Balance Sheet'!O13</f>
        <v>70000</v>
      </c>
      <c r="O58" s="539">
        <f ca="1">'Balance Sheet'!P13</f>
        <v>70000</v>
      </c>
      <c r="P58" s="539">
        <f ca="1">'Balance Sheet'!Q13</f>
        <v>70000</v>
      </c>
      <c r="Q58" s="539">
        <f ca="1">'Balance Sheet'!R13</f>
        <v>70000</v>
      </c>
      <c r="R58" s="539">
        <f ca="1">'Balance Sheet'!S13</f>
        <v>70000</v>
      </c>
      <c r="S58" s="539">
        <f ca="1">'Balance Sheet'!T13</f>
        <v>70000</v>
      </c>
      <c r="T58" s="539" t="e">
        <f ca="1">'Balance Sheet'!U13</f>
        <v>#VALUE!</v>
      </c>
      <c r="U58" s="539" t="e">
        <f ca="1">'Balance Sheet'!V13</f>
        <v>#VALUE!</v>
      </c>
      <c r="V58" s="539" t="e">
        <f ca="1">'Balance Sheet'!W13</f>
        <v>#VALUE!</v>
      </c>
      <c r="W58" s="539" t="e">
        <f ca="1">'Balance Sheet'!X13</f>
        <v>#VALUE!</v>
      </c>
      <c r="X58" s="539" t="e">
        <f ca="1">'Balance Sheet'!Y13</f>
        <v>#VALUE!</v>
      </c>
      <c r="Y58" s="539" t="e">
        <f ca="1">'Balance Sheet'!Z13</f>
        <v>#VALUE!</v>
      </c>
      <c r="Z58" s="539" t="e">
        <f ca="1">'Balance Sheet'!AA13</f>
        <v>#VALUE!</v>
      </c>
      <c r="AA58" s="539" t="e">
        <f ca="1">'Balance Sheet'!AB13</f>
        <v>#VALUE!</v>
      </c>
      <c r="AB58" s="539" t="e">
        <f ca="1">'Balance Sheet'!AC13</f>
        <v>#VALUE!</v>
      </c>
    </row>
    <row r="59" spans="2:28">
      <c r="B59" s="522" t="s">
        <v>248</v>
      </c>
      <c r="C59" s="523"/>
      <c r="D59" s="524"/>
      <c r="E59" s="524"/>
      <c r="F59" s="524"/>
      <c r="G59" s="524"/>
      <c r="H59" s="524">
        <f ca="1">IF(H56+H58&lt;'ST Inv. &amp; Debt'!$F$54,'ST Inv. &amp; Debt'!$F$54,'Cash Flow'!H56+'Cash Flow'!H58)</f>
        <v>149443.50967980342</v>
      </c>
      <c r="I59" s="524">
        <f ca="1">IF(I56+I58&lt;'ST Inv. &amp; Debt'!$F$54,'ST Inv. &amp; Debt'!$F$54,'Cash Flow'!I56+'Cash Flow'!I58)</f>
        <v>165864.85863469099</v>
      </c>
      <c r="J59" s="524">
        <f ca="1">IF(J56+J58&lt;'ST Inv. &amp; Debt'!$F$54,'ST Inv. &amp; Debt'!$F$54,'Cash Flow'!J56+'Cash Flow'!J58)</f>
        <v>120594.36809195251</v>
      </c>
      <c r="K59" s="524">
        <f ca="1">IF(K56+K58&lt;'ST Inv. &amp; Debt'!$F$54,'ST Inv. &amp; Debt'!$F$54,'Cash Flow'!K56+'Cash Flow'!K58)</f>
        <v>70000</v>
      </c>
      <c r="L59" s="524">
        <f ca="1">IF(L56+L58&lt;'ST Inv. &amp; Debt'!$F$54,'ST Inv. &amp; Debt'!$F$54,'Cash Flow'!L56+'Cash Flow'!L58)</f>
        <v>70000</v>
      </c>
      <c r="M59" s="524">
        <f ca="1">IF(M56+M58&lt;'ST Inv. &amp; Debt'!$F$54,'ST Inv. &amp; Debt'!$F$54,'Cash Flow'!M56+'Cash Flow'!M58)</f>
        <v>70000</v>
      </c>
      <c r="N59" s="524">
        <f ca="1">IF(N56+N58&lt;'ST Inv. &amp; Debt'!$F$54,'ST Inv. &amp; Debt'!$F$54,'Cash Flow'!N56+'Cash Flow'!N58)</f>
        <v>70000</v>
      </c>
      <c r="O59" s="524">
        <f ca="1">IF(O56+O58&lt;'ST Inv. &amp; Debt'!$F$54,'ST Inv. &amp; Debt'!$F$54,'Cash Flow'!O56+'Cash Flow'!O58)</f>
        <v>70000</v>
      </c>
      <c r="P59" s="524">
        <f ca="1">IF(P56+P58&lt;'ST Inv. &amp; Debt'!$F$54,'ST Inv. &amp; Debt'!$F$54,'Cash Flow'!P56+'Cash Flow'!P58)</f>
        <v>70000</v>
      </c>
      <c r="Q59" s="524">
        <f ca="1">IF(Q56+Q58&lt;'ST Inv. &amp; Debt'!$F$54,'ST Inv. &amp; Debt'!$F$54,'Cash Flow'!Q56+'Cash Flow'!Q58)</f>
        <v>70000</v>
      </c>
      <c r="R59" s="524">
        <f ca="1">IF(R56+R58&lt;'ST Inv. &amp; Debt'!$F$54,'ST Inv. &amp; Debt'!$F$54,'Cash Flow'!R56+'Cash Flow'!R58)</f>
        <v>70000</v>
      </c>
      <c r="S59" s="524" t="e">
        <f ca="1">IF(S56+S58&lt;'ST Inv. &amp; Debt'!$F$54,'ST Inv. &amp; Debt'!$F$54,'Cash Flow'!S56+'Cash Flow'!S58)</f>
        <v>#VALUE!</v>
      </c>
      <c r="T59" s="524" t="e">
        <f ca="1">IF(T56+T58&lt;'ST Inv. &amp; Debt'!$F$54,'ST Inv. &amp; Debt'!$F$54,'Cash Flow'!T56+'Cash Flow'!T58)</f>
        <v>#VALUE!</v>
      </c>
      <c r="U59" s="524" t="e">
        <f ca="1">IF(U56+U58&lt;'ST Inv. &amp; Debt'!$F$54,'ST Inv. &amp; Debt'!$F$54,'Cash Flow'!U56+'Cash Flow'!U58)</f>
        <v>#VALUE!</v>
      </c>
      <c r="V59" s="524" t="e">
        <f ca="1">IF(V56+V58&lt;'ST Inv. &amp; Debt'!$F$54,'ST Inv. &amp; Debt'!$F$54,'Cash Flow'!V56+'Cash Flow'!V58)</f>
        <v>#VALUE!</v>
      </c>
      <c r="W59" s="524" t="e">
        <f ca="1">IF(W56+W58&lt;'ST Inv. &amp; Debt'!$F$54,'ST Inv. &amp; Debt'!$F$54,'Cash Flow'!W56+'Cash Flow'!W58)</f>
        <v>#VALUE!</v>
      </c>
      <c r="X59" s="524" t="e">
        <f ca="1">IF(X56+X58&lt;'ST Inv. &amp; Debt'!$F$54,'ST Inv. &amp; Debt'!$F$54,'Cash Flow'!X56+'Cash Flow'!X58)</f>
        <v>#VALUE!</v>
      </c>
      <c r="Y59" s="524" t="e">
        <f ca="1">IF(Y56+Y58&lt;'ST Inv. &amp; Debt'!$F$54,'ST Inv. &amp; Debt'!$F$54,'Cash Flow'!Y56+'Cash Flow'!Y58)</f>
        <v>#VALUE!</v>
      </c>
      <c r="Z59" s="524" t="e">
        <f ca="1">IF(Z56+Z58&lt;'ST Inv. &amp; Debt'!$F$54,'ST Inv. &amp; Debt'!$F$54,'Cash Flow'!Z56+'Cash Flow'!Z58)</f>
        <v>#VALUE!</v>
      </c>
      <c r="AA59" s="524" t="e">
        <f ca="1">IF(AA56+AA58&lt;'ST Inv. &amp; Debt'!$F$54,'ST Inv. &amp; Debt'!$F$54,'Cash Flow'!AA56+'Cash Flow'!AA58)</f>
        <v>#VALUE!</v>
      </c>
      <c r="AB59" s="524" t="e">
        <f ca="1">IF(AB56+AB58&lt;'ST Inv. &amp; Debt'!$F$54,'ST Inv. &amp; Debt'!$F$54,'Cash Flow'!AB56+'Cash Flow'!AB58)</f>
        <v>#DIV/0!</v>
      </c>
    </row>
    <row r="60" spans="2:28">
      <c r="D60" s="528"/>
      <c r="E60" s="528"/>
      <c r="F60" s="521"/>
      <c r="G60" s="521"/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  <c r="AA60" s="521"/>
      <c r="AB60" s="521"/>
    </row>
    <row r="61" spans="2:28">
      <c r="B61" s="486" t="s">
        <v>91</v>
      </c>
      <c r="D61" s="528"/>
      <c r="E61" s="540"/>
      <c r="F61" s="537"/>
      <c r="G61" s="537"/>
      <c r="H61" s="149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  <c r="AA61" s="521"/>
      <c r="AB61" s="521"/>
    </row>
    <row r="62" spans="2:28">
      <c r="B62" s="486" t="s">
        <v>37</v>
      </c>
      <c r="D62" s="521"/>
      <c r="E62" s="521"/>
      <c r="F62" s="541"/>
      <c r="G62" s="541"/>
      <c r="H62" s="541"/>
      <c r="I62" s="541"/>
      <c r="J62" s="541"/>
      <c r="K62" s="541"/>
      <c r="L62" s="541"/>
      <c r="M62" s="541"/>
      <c r="N62" s="541"/>
      <c r="O62" s="541"/>
      <c r="P62" s="541"/>
      <c r="Q62" s="541"/>
      <c r="R62" s="541"/>
      <c r="S62" s="541"/>
      <c r="T62" s="541"/>
      <c r="U62" s="541"/>
      <c r="V62" s="541"/>
      <c r="W62" s="541"/>
      <c r="X62" s="541"/>
      <c r="Y62" s="541"/>
      <c r="Z62" s="541"/>
      <c r="AA62" s="541"/>
      <c r="AB62" s="541"/>
    </row>
    <row r="63" spans="2:28">
      <c r="F63" s="515"/>
      <c r="G63" s="515"/>
      <c r="H63" s="515"/>
      <c r="I63" s="515"/>
      <c r="J63" s="515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5"/>
      <c r="V63" s="515"/>
      <c r="W63" s="515"/>
      <c r="X63" s="515"/>
      <c r="Y63" s="515"/>
      <c r="Z63" s="515"/>
      <c r="AA63" s="515"/>
      <c r="AB63" s="515"/>
    </row>
    <row r="64" spans="2:28">
      <c r="B64" s="542" t="s">
        <v>259</v>
      </c>
      <c r="C64" s="543"/>
      <c r="D64" s="544"/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  <c r="AA64" s="544"/>
      <c r="AB64" s="544"/>
    </row>
    <row r="65" spans="2:28">
      <c r="B65" s="545" t="s">
        <v>93</v>
      </c>
      <c r="C65" s="546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  <c r="AA65" s="547"/>
      <c r="AB65" s="547"/>
    </row>
    <row r="66" spans="2:28">
      <c r="H66" s="515"/>
    </row>
    <row r="67" spans="2:28">
      <c r="I67" s="548"/>
    </row>
    <row r="68" spans="2:28">
      <c r="J68" s="549"/>
    </row>
    <row r="73" spans="2:28">
      <c r="B73" s="530"/>
    </row>
    <row r="74" spans="2:28">
      <c r="B74" s="530"/>
    </row>
  </sheetData>
  <phoneticPr fontId="7" type="noConversion"/>
  <pageMargins left="0.74803149606299213" right="0.74803149606299213" top="0.98425196850393704" bottom="0.98425196850393704" header="0.51181102362204722" footer="0.51181102362204722"/>
  <pageSetup scale="6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A7:AB71"/>
  <sheetViews>
    <sheetView showGridLines="0" zoomScale="85" workbookViewId="0">
      <pane xSplit="7" ySplit="7" topLeftCell="H42" activePane="bottomRight" state="frozen"/>
      <selection activeCell="H55" sqref="H55"/>
      <selection pane="topRight" activeCell="H55" sqref="H55"/>
      <selection pane="bottomLeft" activeCell="H55" sqref="H55"/>
      <selection pane="bottomRight" activeCell="I53" sqref="I53"/>
    </sheetView>
  </sheetViews>
  <sheetFormatPr defaultRowHeight="13.2" outlineLevelRow="1" outlineLevelCol="1"/>
  <cols>
    <col min="1" max="1" width="4.88671875" customWidth="1"/>
    <col min="2" max="2" width="39.109375" bestFit="1" customWidth="1"/>
    <col min="3" max="3" width="4.88671875" customWidth="1"/>
    <col min="4" max="6" width="10.5546875" hidden="1" customWidth="1" outlineLevel="1"/>
    <col min="7" max="7" width="13.44140625" customWidth="1" collapsed="1"/>
    <col min="8" max="13" width="10.5546875" customWidth="1"/>
    <col min="14" max="28" width="10.5546875" customWidth="1" outlineLevel="1"/>
  </cols>
  <sheetData>
    <row r="7" spans="2:28" ht="16.2" thickBot="1">
      <c r="B7" s="17" t="s">
        <v>115</v>
      </c>
      <c r="C7" s="12"/>
      <c r="D7" s="1" t="e">
        <f>#REF!</f>
        <v>#REF!</v>
      </c>
      <c r="E7" s="1" t="e">
        <f>#REF!</f>
        <v>#REF!</v>
      </c>
      <c r="F7" s="1" t="e">
        <f>#REF!</f>
        <v>#REF!</v>
      </c>
      <c r="G7" s="1">
        <f>+'Revenues, COGS &amp; SG&amp;A'!C5</f>
        <v>40908</v>
      </c>
      <c r="H7" s="1">
        <f>'Revenues, COGS &amp; SG&amp;A'!I7</f>
        <v>41274</v>
      </c>
      <c r="I7" s="1">
        <f>'Revenues, COGS &amp; SG&amp;A'!J7</f>
        <v>41639</v>
      </c>
      <c r="J7" s="1">
        <f>'Revenues, COGS &amp; SG&amp;A'!K7</f>
        <v>42004</v>
      </c>
      <c r="K7" s="1">
        <f>'Revenues, COGS &amp; SG&amp;A'!L7</f>
        <v>42369</v>
      </c>
      <c r="L7" s="1">
        <f>'Revenues, COGS &amp; SG&amp;A'!M7</f>
        <v>42735</v>
      </c>
      <c r="M7" s="1">
        <f>'Revenues, COGS &amp; SG&amp;A'!N7</f>
        <v>43100</v>
      </c>
      <c r="N7" s="1">
        <f>'Revenues, COGS &amp; SG&amp;A'!O7</f>
        <v>43465</v>
      </c>
      <c r="O7" s="1">
        <f>'Revenues, COGS &amp; SG&amp;A'!P7</f>
        <v>43830</v>
      </c>
      <c r="P7" s="1">
        <f>'Revenues, COGS &amp; SG&amp;A'!Q7</f>
        <v>44196</v>
      </c>
      <c r="Q7" s="1">
        <f>'Revenues, COGS &amp; SG&amp;A'!R7</f>
        <v>44561</v>
      </c>
      <c r="R7" s="1">
        <f>'Revenues, COGS &amp; SG&amp;A'!S7</f>
        <v>44926</v>
      </c>
      <c r="S7" s="1">
        <f>'Revenues, COGS &amp; SG&amp;A'!T7</f>
        <v>45291</v>
      </c>
      <c r="T7" s="1">
        <f>'Revenues, COGS &amp; SG&amp;A'!U7</f>
        <v>45657</v>
      </c>
      <c r="U7" s="1">
        <f>'Revenues, COGS &amp; SG&amp;A'!V7</f>
        <v>46022</v>
      </c>
      <c r="V7" s="1">
        <f>'Revenues, COGS &amp; SG&amp;A'!W7</f>
        <v>46387</v>
      </c>
      <c r="W7" s="1">
        <f>'Revenues, COGS &amp; SG&amp;A'!X7</f>
        <v>46752</v>
      </c>
      <c r="X7" s="1">
        <f>'Revenues, COGS &amp; SG&amp;A'!Y7</f>
        <v>47118</v>
      </c>
      <c r="Y7" s="1">
        <f>'Revenues, COGS &amp; SG&amp;A'!Z7</f>
        <v>47483</v>
      </c>
      <c r="Z7" s="1">
        <f>'Revenues, COGS &amp; SG&amp;A'!AA7</f>
        <v>47848</v>
      </c>
      <c r="AA7" s="1">
        <f>'Revenues, COGS &amp; SG&amp;A'!AB7</f>
        <v>48213</v>
      </c>
      <c r="AB7" s="1">
        <f>'Revenues, COGS &amp; SG&amp;A'!AC7</f>
        <v>48579</v>
      </c>
    </row>
    <row r="8" spans="2:28" ht="13.8" thickTop="1">
      <c r="B8" s="41" t="s">
        <v>70</v>
      </c>
    </row>
    <row r="9" spans="2:28">
      <c r="D9" s="33"/>
      <c r="E9" s="33"/>
      <c r="F9" s="33"/>
      <c r="G9" s="34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</row>
    <row r="10" spans="2:28" outlineLevel="1">
      <c r="B10" s="28" t="s">
        <v>172</v>
      </c>
      <c r="C10" s="26"/>
      <c r="D10" s="63"/>
      <c r="E10" s="63"/>
      <c r="F10" s="63"/>
      <c r="G10" s="64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</row>
    <row r="11" spans="2:28" outlineLevel="1">
      <c r="B11" s="2"/>
    </row>
    <row r="12" spans="2:28" outlineLevel="1">
      <c r="B12" s="18" t="s">
        <v>122</v>
      </c>
      <c r="H12" s="30">
        <f>'Balance Sheet'!J28</f>
        <v>8368</v>
      </c>
      <c r="I12" s="30">
        <f>'Balance Sheet'!K28</f>
        <v>8368</v>
      </c>
      <c r="J12" s="30">
        <f>'Balance Sheet'!L28</f>
        <v>8368</v>
      </c>
      <c r="K12" s="30">
        <f>'Balance Sheet'!M28</f>
        <v>8368</v>
      </c>
      <c r="L12" s="30">
        <f>'Balance Sheet'!N28</f>
        <v>8368</v>
      </c>
      <c r="M12" s="30">
        <f>'Balance Sheet'!O28</f>
        <v>8368</v>
      </c>
      <c r="N12" s="30">
        <f>'Balance Sheet'!P28</f>
        <v>8368</v>
      </c>
      <c r="O12" s="30">
        <f>'Balance Sheet'!Q28</f>
        <v>8368</v>
      </c>
      <c r="P12" s="30">
        <f>'Balance Sheet'!R28</f>
        <v>8368</v>
      </c>
      <c r="Q12" s="30">
        <f>'Balance Sheet'!S28</f>
        <v>8368</v>
      </c>
      <c r="R12" s="30">
        <f>'Balance Sheet'!T28</f>
        <v>8368</v>
      </c>
      <c r="S12" s="30">
        <f>'Balance Sheet'!U28</f>
        <v>8368</v>
      </c>
      <c r="T12" s="30">
        <f>'Balance Sheet'!V28</f>
        <v>8368</v>
      </c>
      <c r="U12" s="30">
        <f>'Balance Sheet'!W28</f>
        <v>8368</v>
      </c>
      <c r="V12" s="30">
        <f>'Balance Sheet'!X28</f>
        <v>8368</v>
      </c>
      <c r="W12" s="30">
        <f>'Balance Sheet'!Y28</f>
        <v>8368</v>
      </c>
      <c r="X12" s="30">
        <f>'Balance Sheet'!Z28</f>
        <v>8368</v>
      </c>
      <c r="Y12" s="30">
        <f>'Balance Sheet'!AA28</f>
        <v>8368</v>
      </c>
      <c r="Z12" s="30">
        <f>'Balance Sheet'!AB28</f>
        <v>8368</v>
      </c>
      <c r="AA12" s="30">
        <f>'Balance Sheet'!AC28</f>
        <v>8368</v>
      </c>
      <c r="AB12" s="30">
        <f>'Balance Sheet'!AD28</f>
        <v>8368</v>
      </c>
    </row>
    <row r="13" spans="2:28" outlineLevel="1">
      <c r="B13" s="18" t="s">
        <v>154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</row>
    <row r="14" spans="2:28" outlineLevel="1">
      <c r="B14" s="18" t="s">
        <v>90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2:28" outlineLevel="1">
      <c r="B15" s="18" t="s">
        <v>43</v>
      </c>
      <c r="H15" s="30">
        <f t="shared" ref="H15:AB15" ca="1" si="0">H55</f>
        <v>0</v>
      </c>
      <c r="I15" s="30">
        <f t="shared" ca="1" si="0"/>
        <v>0</v>
      </c>
      <c r="J15" s="30">
        <f t="shared" ca="1" si="0"/>
        <v>0</v>
      </c>
      <c r="K15" s="30">
        <f t="shared" ca="1" si="0"/>
        <v>0</v>
      </c>
      <c r="L15" s="30">
        <f t="shared" ca="1" si="0"/>
        <v>0</v>
      </c>
      <c r="M15" s="30">
        <f t="shared" ca="1" si="0"/>
        <v>0</v>
      </c>
      <c r="N15" s="30">
        <f t="shared" ca="1" si="0"/>
        <v>0</v>
      </c>
      <c r="O15" s="30">
        <f t="shared" ca="1" si="0"/>
        <v>0</v>
      </c>
      <c r="P15" s="30">
        <f t="shared" ca="1" si="0"/>
        <v>0</v>
      </c>
      <c r="Q15" s="30">
        <f t="shared" ca="1" si="0"/>
        <v>0</v>
      </c>
      <c r="R15" s="30">
        <f t="shared" ca="1" si="0"/>
        <v>0</v>
      </c>
      <c r="S15" s="30" t="e">
        <f t="shared" ca="1" si="0"/>
        <v>#VALUE!</v>
      </c>
      <c r="T15" s="30" t="e">
        <f t="shared" ca="1" si="0"/>
        <v>#VALUE!</v>
      </c>
      <c r="U15" s="30" t="e">
        <f t="shared" ca="1" si="0"/>
        <v>#VALUE!</v>
      </c>
      <c r="V15" s="30" t="e">
        <f t="shared" ca="1" si="0"/>
        <v>#VALUE!</v>
      </c>
      <c r="W15" s="30" t="e">
        <f t="shared" ca="1" si="0"/>
        <v>#VALUE!</v>
      </c>
      <c r="X15" s="30" t="e">
        <f t="shared" ca="1" si="0"/>
        <v>#VALUE!</v>
      </c>
      <c r="Y15" s="30" t="e">
        <f t="shared" ca="1" si="0"/>
        <v>#VALUE!</v>
      </c>
      <c r="Z15" s="30" t="e">
        <f t="shared" ca="1" si="0"/>
        <v>#VALUE!</v>
      </c>
      <c r="AA15" s="30" t="e">
        <f t="shared" ca="1" si="0"/>
        <v>#VALUE!</v>
      </c>
      <c r="AB15" s="30" t="e">
        <f t="shared" ca="1" si="0"/>
        <v>#DIV/0!</v>
      </c>
    </row>
    <row r="16" spans="2:28" outlineLevel="1">
      <c r="B16" s="2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spans="1:28" outlineLevel="1">
      <c r="B17" s="28" t="s">
        <v>173</v>
      </c>
      <c r="C17" s="26"/>
      <c r="D17" s="63"/>
      <c r="E17" s="63"/>
      <c r="F17" s="63"/>
      <c r="G17" s="64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</row>
    <row r="18" spans="1:28" outlineLevel="1">
      <c r="B18" s="2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:28" outlineLevel="1">
      <c r="B19" s="18" t="s">
        <v>86</v>
      </c>
      <c r="C19" s="18"/>
      <c r="D19" s="6"/>
      <c r="E19" s="6"/>
      <c r="F19" s="80"/>
      <c r="G19" s="6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:28" outlineLevel="1">
      <c r="B20" s="18" t="s">
        <v>122</v>
      </c>
      <c r="C20" s="18"/>
      <c r="D20" s="6"/>
      <c r="E20" s="6"/>
      <c r="F20" s="80"/>
      <c r="G20" s="6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spans="1:28" outlineLevel="1">
      <c r="B21" s="25"/>
      <c r="C21" s="18"/>
      <c r="D21" s="6"/>
      <c r="E21" s="6"/>
      <c r="F21" s="80"/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outlineLevel="1">
      <c r="B22" s="28" t="s">
        <v>174</v>
      </c>
      <c r="C22" s="26"/>
      <c r="D22" s="63"/>
      <c r="E22" s="63"/>
      <c r="F22" s="63"/>
      <c r="G22" s="64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</row>
    <row r="23" spans="1:28" outlineLevel="1">
      <c r="B23" s="41"/>
    </row>
    <row r="24" spans="1:28" outlineLevel="1">
      <c r="B24" s="18" t="s">
        <v>122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spans="1:28" outlineLevel="1">
      <c r="B25" s="18" t="s">
        <v>238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outlineLevel="1">
      <c r="D26" s="33"/>
      <c r="E26" s="33"/>
      <c r="F26" s="33"/>
      <c r="G26" s="59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</row>
    <row r="27" spans="1:28">
      <c r="B27" s="28" t="s">
        <v>114</v>
      </c>
      <c r="C27" s="26"/>
      <c r="D27" s="63"/>
      <c r="E27" s="63"/>
      <c r="F27" s="63"/>
      <c r="G27" s="64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</row>
    <row r="28" spans="1:28">
      <c r="A28" s="13"/>
      <c r="D28" s="59"/>
      <c r="E28" s="59"/>
      <c r="F28" s="59"/>
      <c r="G28" s="62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spans="1:28">
      <c r="B29" s="2" t="s">
        <v>83</v>
      </c>
      <c r="C29" s="2"/>
      <c r="D29" s="60"/>
      <c r="E29" s="60"/>
      <c r="F29" s="59"/>
      <c r="G29" s="62"/>
      <c r="H29" s="138">
        <v>0</v>
      </c>
      <c r="I29" s="31">
        <f>H32</f>
        <v>0</v>
      </c>
      <c r="J29" s="31">
        <f t="shared" ref="J29:AB29" si="1">I32</f>
        <v>0</v>
      </c>
      <c r="K29" s="31">
        <f t="shared" si="1"/>
        <v>0</v>
      </c>
      <c r="L29" s="31">
        <f t="shared" si="1"/>
        <v>0</v>
      </c>
      <c r="M29" s="31">
        <f t="shared" si="1"/>
        <v>0</v>
      </c>
      <c r="N29" s="31">
        <f t="shared" si="1"/>
        <v>0</v>
      </c>
      <c r="O29" s="31">
        <f t="shared" si="1"/>
        <v>0</v>
      </c>
      <c r="P29" s="31">
        <f t="shared" si="1"/>
        <v>0</v>
      </c>
      <c r="Q29" s="31">
        <f t="shared" si="1"/>
        <v>0</v>
      </c>
      <c r="R29" s="31">
        <f t="shared" si="1"/>
        <v>0</v>
      </c>
      <c r="S29" s="31">
        <f t="shared" si="1"/>
        <v>0</v>
      </c>
      <c r="T29" s="31">
        <f t="shared" si="1"/>
        <v>0</v>
      </c>
      <c r="U29" s="31">
        <f t="shared" si="1"/>
        <v>0</v>
      </c>
      <c r="V29" s="31">
        <f t="shared" si="1"/>
        <v>0</v>
      </c>
      <c r="W29" s="31">
        <f t="shared" si="1"/>
        <v>0</v>
      </c>
      <c r="X29" s="31">
        <f t="shared" si="1"/>
        <v>0</v>
      </c>
      <c r="Y29" s="31">
        <f t="shared" si="1"/>
        <v>0</v>
      </c>
      <c r="Z29" s="31">
        <f t="shared" si="1"/>
        <v>0</v>
      </c>
      <c r="AA29" s="31">
        <f t="shared" si="1"/>
        <v>0</v>
      </c>
      <c r="AB29" s="31">
        <f t="shared" si="1"/>
        <v>0</v>
      </c>
    </row>
    <row r="30" spans="1:28">
      <c r="B30" t="s">
        <v>82</v>
      </c>
      <c r="D30" s="59"/>
      <c r="E30" s="59"/>
      <c r="F30" s="59"/>
      <c r="G30" s="62"/>
      <c r="H30" s="51">
        <v>7.4999999999999997E-2</v>
      </c>
      <c r="I30" s="51">
        <v>0.15</v>
      </c>
      <c r="J30" s="51">
        <f t="shared" ref="J30:N30" si="2">I30</f>
        <v>0.15</v>
      </c>
      <c r="K30" s="51">
        <f t="shared" si="2"/>
        <v>0.15</v>
      </c>
      <c r="L30" s="51">
        <f t="shared" si="2"/>
        <v>0.15</v>
      </c>
      <c r="M30" s="51">
        <f t="shared" si="2"/>
        <v>0.15</v>
      </c>
      <c r="N30" s="51">
        <f t="shared" si="2"/>
        <v>0.15</v>
      </c>
      <c r="O30" s="51">
        <f>1-SUM(H30:N30)</f>
        <v>2.4999999999999911E-2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</row>
    <row r="31" spans="1:28">
      <c r="B31" t="s">
        <v>30</v>
      </c>
      <c r="D31" s="59"/>
      <c r="E31" s="59"/>
      <c r="F31" s="59"/>
      <c r="G31" s="62"/>
      <c r="H31" s="30">
        <f>$H$29*(H30)</f>
        <v>0</v>
      </c>
      <c r="I31" s="30">
        <f t="shared" ref="I31:AB31" si="3">$H$29*(I30)</f>
        <v>0</v>
      </c>
      <c r="J31" s="30">
        <f t="shared" si="3"/>
        <v>0</v>
      </c>
      <c r="K31" s="30">
        <f t="shared" si="3"/>
        <v>0</v>
      </c>
      <c r="L31" s="30">
        <f t="shared" si="3"/>
        <v>0</v>
      </c>
      <c r="M31" s="30">
        <f t="shared" si="3"/>
        <v>0</v>
      </c>
      <c r="N31" s="30">
        <f t="shared" si="3"/>
        <v>0</v>
      </c>
      <c r="O31" s="30">
        <f t="shared" si="3"/>
        <v>0</v>
      </c>
      <c r="P31" s="30">
        <f t="shared" si="3"/>
        <v>0</v>
      </c>
      <c r="Q31" s="30">
        <f t="shared" si="3"/>
        <v>0</v>
      </c>
      <c r="R31" s="30">
        <f t="shared" si="3"/>
        <v>0</v>
      </c>
      <c r="S31" s="30">
        <f t="shared" si="3"/>
        <v>0</v>
      </c>
      <c r="T31" s="30">
        <f t="shared" si="3"/>
        <v>0</v>
      </c>
      <c r="U31" s="30">
        <f t="shared" si="3"/>
        <v>0</v>
      </c>
      <c r="V31" s="30">
        <f t="shared" si="3"/>
        <v>0</v>
      </c>
      <c r="W31" s="30">
        <f t="shared" si="3"/>
        <v>0</v>
      </c>
      <c r="X31" s="30">
        <f t="shared" si="3"/>
        <v>0</v>
      </c>
      <c r="Y31" s="30">
        <f t="shared" si="3"/>
        <v>0</v>
      </c>
      <c r="Z31" s="30">
        <f t="shared" si="3"/>
        <v>0</v>
      </c>
      <c r="AA31" s="30">
        <f t="shared" si="3"/>
        <v>0</v>
      </c>
      <c r="AB31" s="30">
        <f t="shared" si="3"/>
        <v>0</v>
      </c>
    </row>
    <row r="32" spans="1:28">
      <c r="B32" s="2" t="s">
        <v>84</v>
      </c>
      <c r="D32" s="59"/>
      <c r="E32" s="59"/>
      <c r="F32" s="59"/>
      <c r="G32" s="62"/>
      <c r="H32" s="31">
        <f>H29-H31</f>
        <v>0</v>
      </c>
      <c r="I32" s="31">
        <f t="shared" ref="I32:O32" si="4">I29-I31</f>
        <v>0</v>
      </c>
      <c r="J32" s="31">
        <f t="shared" si="4"/>
        <v>0</v>
      </c>
      <c r="K32" s="31">
        <f t="shared" si="4"/>
        <v>0</v>
      </c>
      <c r="L32" s="31">
        <f t="shared" si="4"/>
        <v>0</v>
      </c>
      <c r="M32" s="31">
        <f t="shared" si="4"/>
        <v>0</v>
      </c>
      <c r="N32" s="31">
        <f t="shared" si="4"/>
        <v>0</v>
      </c>
      <c r="O32" s="31">
        <f t="shared" si="4"/>
        <v>0</v>
      </c>
      <c r="P32" s="31">
        <f t="shared" ref="P32" si="5">P29-P31</f>
        <v>0</v>
      </c>
      <c r="Q32" s="31">
        <f t="shared" ref="Q32" si="6">Q29-Q31</f>
        <v>0</v>
      </c>
      <c r="R32" s="31">
        <f t="shared" ref="R32" si="7">R29-R31</f>
        <v>0</v>
      </c>
      <c r="S32" s="31">
        <f t="shared" ref="S32" si="8">S29-S31</f>
        <v>0</v>
      </c>
      <c r="T32" s="31">
        <f t="shared" ref="T32" si="9">T29-T31</f>
        <v>0</v>
      </c>
      <c r="U32" s="31">
        <f t="shared" ref="U32" si="10">U29-U31</f>
        <v>0</v>
      </c>
      <c r="V32" s="31">
        <f t="shared" ref="V32" si="11">V29-V31</f>
        <v>0</v>
      </c>
      <c r="W32" s="31">
        <f t="shared" ref="W32" si="12">W29-W31</f>
        <v>0</v>
      </c>
      <c r="X32" s="31">
        <f t="shared" ref="X32" si="13">X29-X31</f>
        <v>0</v>
      </c>
      <c r="Y32" s="31">
        <f t="shared" ref="Y32" si="14">Y29-Y31</f>
        <v>0</v>
      </c>
      <c r="Z32" s="31">
        <f t="shared" ref="Z32" si="15">Z29-Z31</f>
        <v>0</v>
      </c>
      <c r="AA32" s="31">
        <f t="shared" ref="AA32" si="16">AA29-AA31</f>
        <v>0</v>
      </c>
      <c r="AB32" s="31">
        <f t="shared" ref="AB32" si="17">AB29-AB31</f>
        <v>0</v>
      </c>
    </row>
    <row r="33" spans="1:28">
      <c r="D33" s="33"/>
      <c r="E33" s="33"/>
      <c r="F33" s="33"/>
      <c r="G33" s="34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>
      <c r="B34" s="28" t="s">
        <v>140</v>
      </c>
      <c r="C34" s="26"/>
      <c r="D34" s="63"/>
      <c r="E34" s="63"/>
      <c r="F34" s="63"/>
      <c r="G34" s="64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</row>
    <row r="35" spans="1:28">
      <c r="A35" s="13"/>
      <c r="D35" s="59"/>
      <c r="E35" s="59"/>
      <c r="F35" s="59"/>
      <c r="G35" s="62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:28" s="2" customFormat="1">
      <c r="B36" s="2" t="s">
        <v>141</v>
      </c>
      <c r="D36" s="60"/>
      <c r="E36" s="60"/>
      <c r="F36" s="383">
        <f>'Balance Sheet'!I28</f>
        <v>8368</v>
      </c>
      <c r="G36" s="378"/>
      <c r="H36" s="138">
        <f>F36</f>
        <v>8368</v>
      </c>
      <c r="I36" s="31" t="e">
        <f t="shared" ref="I36:AB36" si="18">H40</f>
        <v>#REF!</v>
      </c>
      <c r="J36" s="31" t="e">
        <f t="shared" si="18"/>
        <v>#REF!</v>
      </c>
      <c r="K36" s="31" t="e">
        <f t="shared" si="18"/>
        <v>#REF!</v>
      </c>
      <c r="L36" s="31" t="e">
        <f t="shared" si="18"/>
        <v>#REF!</v>
      </c>
      <c r="M36" s="31" t="e">
        <f t="shared" si="18"/>
        <v>#REF!</v>
      </c>
      <c r="N36" s="31" t="e">
        <f t="shared" si="18"/>
        <v>#REF!</v>
      </c>
      <c r="O36" s="31" t="e">
        <f t="shared" si="18"/>
        <v>#REF!</v>
      </c>
      <c r="P36" s="31" t="e">
        <f t="shared" si="18"/>
        <v>#REF!</v>
      </c>
      <c r="Q36" s="31" t="e">
        <f t="shared" si="18"/>
        <v>#REF!</v>
      </c>
      <c r="R36" s="31" t="e">
        <f t="shared" si="18"/>
        <v>#REF!</v>
      </c>
      <c r="S36" s="31" t="e">
        <f t="shared" si="18"/>
        <v>#REF!</v>
      </c>
      <c r="T36" s="31" t="e">
        <f t="shared" si="18"/>
        <v>#REF!</v>
      </c>
      <c r="U36" s="31" t="e">
        <f t="shared" si="18"/>
        <v>#REF!</v>
      </c>
      <c r="V36" s="31" t="e">
        <f t="shared" si="18"/>
        <v>#REF!</v>
      </c>
      <c r="W36" s="31" t="e">
        <f t="shared" si="18"/>
        <v>#REF!</v>
      </c>
      <c r="X36" s="31" t="e">
        <f t="shared" si="18"/>
        <v>#REF!</v>
      </c>
      <c r="Y36" s="31" t="e">
        <f t="shared" si="18"/>
        <v>#REF!</v>
      </c>
      <c r="Z36" s="31" t="e">
        <f t="shared" si="18"/>
        <v>#REF!</v>
      </c>
      <c r="AA36" s="31" t="e">
        <f t="shared" si="18"/>
        <v>#REF!</v>
      </c>
      <c r="AB36" s="31" t="e">
        <f t="shared" si="18"/>
        <v>#REF!</v>
      </c>
    </row>
    <row r="37" spans="1:28">
      <c r="B37" t="s">
        <v>142</v>
      </c>
      <c r="D37" s="59"/>
      <c r="E37" s="59"/>
      <c r="F37" s="385"/>
      <c r="G37" s="384"/>
      <c r="H37" s="386">
        <v>0.1</v>
      </c>
      <c r="I37" s="386">
        <f>H37</f>
        <v>0.1</v>
      </c>
      <c r="J37" s="386">
        <f t="shared" ref="J37:Q37" si="19">I37</f>
        <v>0.1</v>
      </c>
      <c r="K37" s="386">
        <f t="shared" si="19"/>
        <v>0.1</v>
      </c>
      <c r="L37" s="386">
        <f t="shared" si="19"/>
        <v>0.1</v>
      </c>
      <c r="M37" s="386">
        <f t="shared" si="19"/>
        <v>0.1</v>
      </c>
      <c r="N37" s="386">
        <f t="shared" si="19"/>
        <v>0.1</v>
      </c>
      <c r="O37" s="386">
        <f t="shared" si="19"/>
        <v>0.1</v>
      </c>
      <c r="P37" s="386">
        <f t="shared" si="19"/>
        <v>0.1</v>
      </c>
      <c r="Q37" s="386">
        <f t="shared" si="19"/>
        <v>0.1</v>
      </c>
      <c r="R37" s="386">
        <v>0</v>
      </c>
      <c r="S37" s="386">
        <v>0</v>
      </c>
      <c r="T37" s="386">
        <v>0</v>
      </c>
      <c r="U37" s="386">
        <v>0</v>
      </c>
      <c r="V37" s="386">
        <v>0</v>
      </c>
      <c r="W37" s="386">
        <v>0</v>
      </c>
      <c r="X37" s="386">
        <v>0</v>
      </c>
      <c r="Y37" s="386">
        <v>0</v>
      </c>
      <c r="Z37" s="386">
        <v>0</v>
      </c>
      <c r="AA37" s="386">
        <v>0</v>
      </c>
      <c r="AB37" s="386">
        <v>0</v>
      </c>
    </row>
    <row r="38" spans="1:28">
      <c r="B38" t="s">
        <v>143</v>
      </c>
      <c r="D38" s="59"/>
      <c r="E38" s="59"/>
      <c r="F38" s="385"/>
      <c r="G38" s="384"/>
      <c r="H38" s="52">
        <f>$H$36*H37</f>
        <v>836.80000000000007</v>
      </c>
      <c r="I38" s="52">
        <f t="shared" ref="I38:AB38" si="20">$H$36*I37</f>
        <v>836.80000000000007</v>
      </c>
      <c r="J38" s="52">
        <f t="shared" si="20"/>
        <v>836.80000000000007</v>
      </c>
      <c r="K38" s="52">
        <f t="shared" si="20"/>
        <v>836.80000000000007</v>
      </c>
      <c r="L38" s="52">
        <f t="shared" si="20"/>
        <v>836.80000000000007</v>
      </c>
      <c r="M38" s="52">
        <f t="shared" si="20"/>
        <v>836.80000000000007</v>
      </c>
      <c r="N38" s="52">
        <f t="shared" si="20"/>
        <v>836.80000000000007</v>
      </c>
      <c r="O38" s="52">
        <f t="shared" si="20"/>
        <v>836.80000000000007</v>
      </c>
      <c r="P38" s="52">
        <f t="shared" si="20"/>
        <v>836.80000000000007</v>
      </c>
      <c r="Q38" s="52">
        <f t="shared" si="20"/>
        <v>836.80000000000007</v>
      </c>
      <c r="R38" s="52">
        <f t="shared" si="20"/>
        <v>0</v>
      </c>
      <c r="S38" s="52">
        <f t="shared" si="20"/>
        <v>0</v>
      </c>
      <c r="T38" s="52">
        <f t="shared" si="20"/>
        <v>0</v>
      </c>
      <c r="U38" s="52">
        <f t="shared" si="20"/>
        <v>0</v>
      </c>
      <c r="V38" s="52">
        <f t="shared" si="20"/>
        <v>0</v>
      </c>
      <c r="W38" s="52">
        <f t="shared" si="20"/>
        <v>0</v>
      </c>
      <c r="X38" s="52">
        <f t="shared" si="20"/>
        <v>0</v>
      </c>
      <c r="Y38" s="52">
        <f t="shared" si="20"/>
        <v>0</v>
      </c>
      <c r="Z38" s="52">
        <f t="shared" si="20"/>
        <v>0</v>
      </c>
      <c r="AA38" s="52">
        <f t="shared" si="20"/>
        <v>0</v>
      </c>
      <c r="AB38" s="52">
        <f t="shared" si="20"/>
        <v>0</v>
      </c>
    </row>
    <row r="39" spans="1:28">
      <c r="B39" t="s">
        <v>371</v>
      </c>
      <c r="D39" s="59"/>
      <c r="E39" s="59"/>
      <c r="F39" s="11"/>
      <c r="G39" s="384"/>
      <c r="H39" s="52" t="e">
        <f>$F39*('Revenues, COGS &amp; SG&amp;A'!#REF!+'Revenues, COGS &amp; SG&amp;A'!#REF!)</f>
        <v>#REF!</v>
      </c>
      <c r="I39" s="52" t="e">
        <f>$F39*('Revenues, COGS &amp; SG&amp;A'!#REF!+'Revenues, COGS &amp; SG&amp;A'!#REF!)</f>
        <v>#REF!</v>
      </c>
      <c r="J39" s="52" t="e">
        <f>$F39*('Revenues, COGS &amp; SG&amp;A'!#REF!+'Revenues, COGS &amp; SG&amp;A'!#REF!)</f>
        <v>#REF!</v>
      </c>
      <c r="K39" s="52" t="e">
        <f>$F39*('Revenues, COGS &amp; SG&amp;A'!#REF!+'Revenues, COGS &amp; SG&amp;A'!#REF!)</f>
        <v>#REF!</v>
      </c>
      <c r="L39" s="52" t="e">
        <f>$F39*('Revenues, COGS &amp; SG&amp;A'!#REF!+'Revenues, COGS &amp; SG&amp;A'!#REF!)</f>
        <v>#REF!</v>
      </c>
      <c r="M39" s="52" t="e">
        <f>$F39*('Revenues, COGS &amp; SG&amp;A'!#REF!+'Revenues, COGS &amp; SG&amp;A'!#REF!)</f>
        <v>#REF!</v>
      </c>
      <c r="N39" s="52" t="e">
        <f>$F39*('Revenues, COGS &amp; SG&amp;A'!#REF!+'Revenues, COGS &amp; SG&amp;A'!#REF!)</f>
        <v>#REF!</v>
      </c>
      <c r="O39" s="52" t="e">
        <f>$F39*('Revenues, COGS &amp; SG&amp;A'!#REF!+'Revenues, COGS &amp; SG&amp;A'!#REF!)</f>
        <v>#REF!</v>
      </c>
      <c r="P39" s="52" t="e">
        <f>$F39*('Revenues, COGS &amp; SG&amp;A'!#REF!+'Revenues, COGS &amp; SG&amp;A'!#REF!)</f>
        <v>#REF!</v>
      </c>
      <c r="Q39" s="52" t="e">
        <f>$F39*('Revenues, COGS &amp; SG&amp;A'!#REF!+'Revenues, COGS &amp; SG&amp;A'!#REF!)</f>
        <v>#REF!</v>
      </c>
      <c r="R39" s="52" t="e">
        <f>$F39*('Revenues, COGS &amp; SG&amp;A'!#REF!+'Revenues, COGS &amp; SG&amp;A'!#REF!)</f>
        <v>#REF!</v>
      </c>
      <c r="S39" s="52" t="e">
        <f>$F39*('Revenues, COGS &amp; SG&amp;A'!#REF!+'Revenues, COGS &amp; SG&amp;A'!#REF!)</f>
        <v>#REF!</v>
      </c>
      <c r="T39" s="52" t="e">
        <f>$F39*('Revenues, COGS &amp; SG&amp;A'!#REF!+'Revenues, COGS &amp; SG&amp;A'!#REF!)</f>
        <v>#REF!</v>
      </c>
      <c r="U39" s="52" t="e">
        <f>$F39*('Revenues, COGS &amp; SG&amp;A'!#REF!+'Revenues, COGS &amp; SG&amp;A'!#REF!)</f>
        <v>#REF!</v>
      </c>
      <c r="V39" s="52" t="e">
        <f>$F39*('Revenues, COGS &amp; SG&amp;A'!#REF!+'Revenues, COGS &amp; SG&amp;A'!#REF!)</f>
        <v>#REF!</v>
      </c>
      <c r="W39" s="52" t="e">
        <f>$F39*('Revenues, COGS &amp; SG&amp;A'!#REF!+'Revenues, COGS &amp; SG&amp;A'!#REF!)</f>
        <v>#REF!</v>
      </c>
      <c r="X39" s="52" t="e">
        <f>$F39*('Revenues, COGS &amp; SG&amp;A'!#REF!+'Revenues, COGS &amp; SG&amp;A'!#REF!)</f>
        <v>#REF!</v>
      </c>
      <c r="Y39" s="52" t="e">
        <f>$F39*('Revenues, COGS &amp; SG&amp;A'!#REF!+'Revenues, COGS &amp; SG&amp;A'!#REF!)</f>
        <v>#REF!</v>
      </c>
      <c r="Z39" s="52" t="e">
        <f>$F39*('Revenues, COGS &amp; SG&amp;A'!#REF!+'Revenues, COGS &amp; SG&amp;A'!#REF!)</f>
        <v>#REF!</v>
      </c>
      <c r="AA39" s="52" t="e">
        <f>$F39*('Revenues, COGS &amp; SG&amp;A'!#REF!+'Revenues, COGS &amp; SG&amp;A'!#REF!)</f>
        <v>#REF!</v>
      </c>
      <c r="AB39" s="52" t="e">
        <f>$F39*('Revenues, COGS &amp; SG&amp;A'!#REF!+'Revenues, COGS &amp; SG&amp;A'!#REF!)</f>
        <v>#REF!</v>
      </c>
    </row>
    <row r="40" spans="1:28" s="2" customFormat="1">
      <c r="B40" s="2" t="s">
        <v>144</v>
      </c>
      <c r="D40" s="60"/>
      <c r="E40" s="60"/>
      <c r="F40" s="60"/>
      <c r="G40" s="378"/>
      <c r="H40" s="31" t="e">
        <f>H36-H38+H39</f>
        <v>#REF!</v>
      </c>
      <c r="I40" s="31" t="e">
        <f t="shared" ref="I40:AB40" si="21">I36-I38+I39</f>
        <v>#REF!</v>
      </c>
      <c r="J40" s="31" t="e">
        <f t="shared" si="21"/>
        <v>#REF!</v>
      </c>
      <c r="K40" s="31" t="e">
        <f t="shared" si="21"/>
        <v>#REF!</v>
      </c>
      <c r="L40" s="31" t="e">
        <f t="shared" si="21"/>
        <v>#REF!</v>
      </c>
      <c r="M40" s="31" t="e">
        <f t="shared" si="21"/>
        <v>#REF!</v>
      </c>
      <c r="N40" s="31" t="e">
        <f t="shared" si="21"/>
        <v>#REF!</v>
      </c>
      <c r="O40" s="31" t="e">
        <f t="shared" si="21"/>
        <v>#REF!</v>
      </c>
      <c r="P40" s="31" t="e">
        <f t="shared" si="21"/>
        <v>#REF!</v>
      </c>
      <c r="Q40" s="31" t="e">
        <f t="shared" si="21"/>
        <v>#REF!</v>
      </c>
      <c r="R40" s="31" t="e">
        <f t="shared" si="21"/>
        <v>#REF!</v>
      </c>
      <c r="S40" s="31" t="e">
        <f t="shared" si="21"/>
        <v>#REF!</v>
      </c>
      <c r="T40" s="31" t="e">
        <f t="shared" si="21"/>
        <v>#REF!</v>
      </c>
      <c r="U40" s="31" t="e">
        <f t="shared" si="21"/>
        <v>#REF!</v>
      </c>
      <c r="V40" s="31" t="e">
        <f t="shared" si="21"/>
        <v>#REF!</v>
      </c>
      <c r="W40" s="31" t="e">
        <f t="shared" si="21"/>
        <v>#REF!</v>
      </c>
      <c r="X40" s="31" t="e">
        <f t="shared" si="21"/>
        <v>#REF!</v>
      </c>
      <c r="Y40" s="31" t="e">
        <f t="shared" si="21"/>
        <v>#REF!</v>
      </c>
      <c r="Z40" s="31" t="e">
        <f t="shared" si="21"/>
        <v>#REF!</v>
      </c>
      <c r="AA40" s="31" t="e">
        <f t="shared" si="21"/>
        <v>#REF!</v>
      </c>
      <c r="AB40" s="31" t="e">
        <f t="shared" si="21"/>
        <v>#REF!</v>
      </c>
    </row>
    <row r="41" spans="1:28">
      <c r="D41" s="33"/>
      <c r="E41" s="33"/>
      <c r="F41" s="33"/>
      <c r="G41" s="34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>
      <c r="B42" s="28" t="s">
        <v>99</v>
      </c>
      <c r="C42" s="26"/>
      <c r="D42" s="63"/>
      <c r="E42" s="63"/>
      <c r="F42" s="63"/>
      <c r="G42" s="64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</row>
    <row r="43" spans="1:28">
      <c r="D43" s="59"/>
      <c r="E43" s="59"/>
      <c r="F43" s="59"/>
      <c r="G43" s="62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:28">
      <c r="B44" s="2" t="s">
        <v>29</v>
      </c>
      <c r="C44" s="2"/>
      <c r="D44" s="43" t="e">
        <f>'Income Statement'!F70</f>
        <v>#REF!</v>
      </c>
      <c r="E44" s="43" t="e">
        <f>'Income Statement'!G70</f>
        <v>#REF!</v>
      </c>
      <c r="F44" s="43">
        <f>'Income Statement'!H70</f>
        <v>36321</v>
      </c>
      <c r="G44" s="43">
        <f>'Income Statement'!I70</f>
        <v>62818</v>
      </c>
      <c r="H44" s="43">
        <f ca="1">'Income Statement'!J70</f>
        <v>30258.935830757961</v>
      </c>
      <c r="I44" s="43">
        <f ca="1">'Income Statement'!K70</f>
        <v>35437.149573748145</v>
      </c>
      <c r="J44" s="43">
        <f ca="1">'Income Statement'!L70</f>
        <v>60640.733315307822</v>
      </c>
      <c r="K44" s="43">
        <f ca="1">'Income Statement'!M70</f>
        <v>52184.169003597061</v>
      </c>
      <c r="L44" s="43">
        <f ca="1">'Income Statement'!N70</f>
        <v>8834.5206232412893</v>
      </c>
      <c r="M44" s="43">
        <f ca="1">'Income Statement'!O70</f>
        <v>-37.247145809837093</v>
      </c>
      <c r="N44" s="43">
        <f ca="1">'Income Statement'!P70</f>
        <v>-6896.7039672715982</v>
      </c>
      <c r="O44" s="43">
        <f ca="1">'Income Statement'!Q70</f>
        <v>86978.120608480414</v>
      </c>
      <c r="P44" s="43">
        <f ca="1">'Income Statement'!R70</f>
        <v>52496.236831307884</v>
      </c>
      <c r="Q44" s="43">
        <f ca="1">'Income Statement'!S70</f>
        <v>90652.26824585945</v>
      </c>
      <c r="R44" s="43">
        <f ca="1">'Income Statement'!T70</f>
        <v>91559.416561675956</v>
      </c>
      <c r="S44" s="43" t="e">
        <f ca="1">'Income Statement'!U70</f>
        <v>#VALUE!</v>
      </c>
      <c r="T44" s="43" t="e">
        <f ca="1">'Income Statement'!V70</f>
        <v>#VALUE!</v>
      </c>
      <c r="U44" s="43" t="e">
        <f ca="1">'Income Statement'!W70</f>
        <v>#VALUE!</v>
      </c>
      <c r="V44" s="43" t="e">
        <f ca="1">'Income Statement'!X70</f>
        <v>#VALUE!</v>
      </c>
      <c r="W44" s="43" t="e">
        <f ca="1">'Income Statement'!Y70</f>
        <v>#VALUE!</v>
      </c>
      <c r="X44" s="43" t="e">
        <f ca="1">'Income Statement'!Z70</f>
        <v>#VALUE!</v>
      </c>
      <c r="Y44" s="43" t="e">
        <f ca="1">'Income Statement'!AA70</f>
        <v>#VALUE!</v>
      </c>
      <c r="Z44" s="43" t="e">
        <f ca="1">'Income Statement'!AB70</f>
        <v>#VALUE!</v>
      </c>
      <c r="AA44" s="43" t="e">
        <f ca="1">'Income Statement'!AC70</f>
        <v>#VALUE!</v>
      </c>
      <c r="AB44" s="43" t="e">
        <f ca="1">'Income Statement'!AD70</f>
        <v>#DIV/0!</v>
      </c>
    </row>
    <row r="45" spans="1:28">
      <c r="B45" s="25" t="s">
        <v>85</v>
      </c>
      <c r="D45" s="59"/>
      <c r="E45" s="59"/>
      <c r="F45" s="59"/>
      <c r="G45" s="6">
        <f>'Income Statement'!I72/'Income Statement'!I70</f>
        <v>-0.21282116590786079</v>
      </c>
      <c r="H45" s="61">
        <v>0.34</v>
      </c>
      <c r="I45" s="61">
        <v>0.34</v>
      </c>
      <c r="J45" s="61">
        <v>0.34</v>
      </c>
      <c r="K45" s="61">
        <v>0.34</v>
      </c>
      <c r="L45" s="61">
        <v>0.34</v>
      </c>
      <c r="M45" s="61">
        <v>0.34</v>
      </c>
      <c r="N45" s="61">
        <v>0.34</v>
      </c>
      <c r="O45" s="61">
        <v>0.34</v>
      </c>
      <c r="P45" s="61">
        <v>0.34</v>
      </c>
      <c r="Q45" s="61">
        <v>0.34</v>
      </c>
      <c r="R45" s="61">
        <v>0.34</v>
      </c>
      <c r="S45" s="61">
        <v>0.34</v>
      </c>
      <c r="T45" s="61">
        <v>0.34</v>
      </c>
      <c r="U45" s="61">
        <v>0.34</v>
      </c>
      <c r="V45" s="61">
        <v>0.34</v>
      </c>
      <c r="W45" s="61">
        <v>0.34</v>
      </c>
      <c r="X45" s="61">
        <v>0.34</v>
      </c>
      <c r="Y45" s="61">
        <v>0.34</v>
      </c>
      <c r="Z45" s="61">
        <v>0.34</v>
      </c>
      <c r="AA45" s="61">
        <v>0.34</v>
      </c>
      <c r="AB45" s="61">
        <v>0.34</v>
      </c>
    </row>
    <row r="46" spans="1:28">
      <c r="B46" s="2" t="s">
        <v>253</v>
      </c>
      <c r="D46" s="59"/>
      <c r="E46" s="59"/>
      <c r="F46" s="59"/>
      <c r="G46" s="86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</row>
    <row r="47" spans="1:28">
      <c r="B47" s="2" t="s">
        <v>254</v>
      </c>
      <c r="D47" s="59"/>
      <c r="E47" s="8"/>
      <c r="F47" s="59"/>
      <c r="G47" s="99"/>
      <c r="H47" s="82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</row>
    <row r="48" spans="1:28">
      <c r="B48" s="25" t="s">
        <v>87</v>
      </c>
      <c r="D48" s="59"/>
      <c r="E48" s="59"/>
      <c r="F48" s="59"/>
      <c r="G48" s="100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 spans="2:28">
      <c r="D49" s="59"/>
      <c r="E49" s="59"/>
      <c r="F49" s="59"/>
      <c r="G49" s="62"/>
      <c r="I49" s="42"/>
      <c r="J49" s="42"/>
      <c r="K49" s="42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2:28">
      <c r="B50" s="28" t="s">
        <v>88</v>
      </c>
      <c r="C50" s="26"/>
      <c r="D50" s="63"/>
      <c r="E50" s="63"/>
      <c r="F50" s="63"/>
      <c r="G50" s="64"/>
      <c r="H50" s="437">
        <f ca="1">'Balance Sheet'!J13</f>
        <v>149443.50967980342</v>
      </c>
      <c r="I50" s="437">
        <f ca="1">'Balance Sheet'!K13</f>
        <v>165864.85863469099</v>
      </c>
      <c r="J50" s="437">
        <f ca="1">'Balance Sheet'!L13</f>
        <v>120594.36809195251</v>
      </c>
      <c r="K50" s="437">
        <f ca="1">'Balance Sheet'!M13</f>
        <v>70000</v>
      </c>
      <c r="L50" s="437">
        <f ca="1">'Balance Sheet'!N13</f>
        <v>70000</v>
      </c>
      <c r="M50" s="437">
        <f ca="1">'Balance Sheet'!O13</f>
        <v>70000</v>
      </c>
      <c r="N50" s="437">
        <f ca="1">'Balance Sheet'!P13</f>
        <v>70000</v>
      </c>
      <c r="O50" s="437">
        <f ca="1">'Balance Sheet'!Q13</f>
        <v>70000</v>
      </c>
      <c r="P50" s="437">
        <f ca="1">'Balance Sheet'!R13</f>
        <v>70000</v>
      </c>
      <c r="Q50" s="437">
        <f ca="1">'Balance Sheet'!S13</f>
        <v>70000</v>
      </c>
      <c r="R50" s="437">
        <f ca="1">'Balance Sheet'!T13</f>
        <v>70000</v>
      </c>
      <c r="S50" s="437" t="e">
        <f ca="1">'Balance Sheet'!U13</f>
        <v>#VALUE!</v>
      </c>
      <c r="T50" s="437" t="e">
        <f ca="1">'Balance Sheet'!V13</f>
        <v>#VALUE!</v>
      </c>
      <c r="U50" s="437" t="e">
        <f ca="1">'Balance Sheet'!W13</f>
        <v>#VALUE!</v>
      </c>
      <c r="V50" s="437" t="e">
        <f ca="1">'Balance Sheet'!X13</f>
        <v>#VALUE!</v>
      </c>
      <c r="W50" s="437" t="e">
        <f ca="1">'Balance Sheet'!Y13</f>
        <v>#VALUE!</v>
      </c>
      <c r="X50" s="437" t="e">
        <f ca="1">'Balance Sheet'!Z13</f>
        <v>#VALUE!</v>
      </c>
      <c r="Y50" s="437" t="e">
        <f ca="1">'Balance Sheet'!AA13</f>
        <v>#VALUE!</v>
      </c>
      <c r="Z50" s="437" t="e">
        <f ca="1">'Balance Sheet'!AB13</f>
        <v>#VALUE!</v>
      </c>
      <c r="AA50" s="437" t="e">
        <f ca="1">'Balance Sheet'!AC13</f>
        <v>#VALUE!</v>
      </c>
      <c r="AB50" s="437" t="e">
        <f ca="1">'Balance Sheet'!AD13</f>
        <v>#DIV/0!</v>
      </c>
    </row>
    <row r="51" spans="2:28">
      <c r="D51" s="59"/>
      <c r="E51" s="59"/>
      <c r="F51" s="59"/>
      <c r="G51" s="62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2:28">
      <c r="B52" t="s">
        <v>228</v>
      </c>
      <c r="D52" s="59"/>
      <c r="E52" s="47"/>
      <c r="F52" s="47"/>
      <c r="G52" s="84"/>
      <c r="H52" s="136">
        <f ca="1">'Income Statement'!J81</f>
        <v>19970.897648300255</v>
      </c>
      <c r="I52" s="136">
        <f ca="1">'Income Statement'!K81</f>
        <v>23388.518718673775</v>
      </c>
      <c r="J52" s="136">
        <f ca="1">'Income Statement'!L81</f>
        <v>40022.88398810316</v>
      </c>
      <c r="K52" s="136">
        <f ca="1">'Income Statement'!M81</f>
        <v>34441.551542374058</v>
      </c>
      <c r="L52" s="136">
        <f ca="1">'Income Statement'!N81</f>
        <v>5830.7836113392514</v>
      </c>
      <c r="M52" s="136">
        <f ca="1">'Income Statement'!O81</f>
        <v>-24.583116234492479</v>
      </c>
      <c r="N52" s="136">
        <f ca="1">'Income Statement'!P81</f>
        <v>-4551.8246183992542</v>
      </c>
      <c r="O52" s="136">
        <f ca="1">'Income Statement'!Q81</f>
        <v>57405.559601597066</v>
      </c>
      <c r="P52" s="136">
        <f ca="1">'Income Statement'!R81</f>
        <v>34647.516308663202</v>
      </c>
      <c r="Q52" s="136">
        <f ca="1">'Income Statement'!S81</f>
        <v>59830.497042267234</v>
      </c>
      <c r="R52" s="136">
        <f ca="1">'Income Statement'!T81</f>
        <v>60429.214930706134</v>
      </c>
      <c r="S52" s="136" t="e">
        <f ca="1">'Income Statement'!U81</f>
        <v>#VALUE!</v>
      </c>
      <c r="T52" s="136" t="e">
        <f ca="1">'Income Statement'!V81</f>
        <v>#VALUE!</v>
      </c>
      <c r="U52" s="136" t="e">
        <f ca="1">'Income Statement'!W81</f>
        <v>#VALUE!</v>
      </c>
      <c r="V52" s="136" t="e">
        <f ca="1">'Income Statement'!X81</f>
        <v>#VALUE!</v>
      </c>
      <c r="W52" s="136" t="e">
        <f ca="1">'Income Statement'!Y81</f>
        <v>#VALUE!</v>
      </c>
      <c r="X52" s="136" t="e">
        <f ca="1">'Income Statement'!Z81</f>
        <v>#VALUE!</v>
      </c>
      <c r="Y52" s="136" t="e">
        <f ca="1">'Income Statement'!AA81</f>
        <v>#VALUE!</v>
      </c>
      <c r="Z52" s="136" t="e">
        <f ca="1">'Income Statement'!AB81</f>
        <v>#VALUE!</v>
      </c>
      <c r="AA52" s="136" t="e">
        <f ca="1">'Income Statement'!AC81</f>
        <v>#VALUE!</v>
      </c>
      <c r="AB52" s="136" t="e">
        <f ca="1">'Income Statement'!AD81</f>
        <v>#DIV/0!</v>
      </c>
    </row>
    <row r="53" spans="2:28">
      <c r="B53" t="s">
        <v>68</v>
      </c>
      <c r="D53" s="59"/>
      <c r="E53" s="47"/>
      <c r="F53" s="47"/>
      <c r="G53" s="84"/>
      <c r="H53" s="136"/>
      <c r="I53" s="136">
        <v>0</v>
      </c>
      <c r="J53" s="136">
        <v>0</v>
      </c>
      <c r="K53" s="136">
        <v>0</v>
      </c>
      <c r="L53" s="136">
        <v>0</v>
      </c>
      <c r="M53" s="136">
        <v>0</v>
      </c>
      <c r="N53" s="136">
        <v>0</v>
      </c>
      <c r="O53" s="136">
        <v>0</v>
      </c>
      <c r="P53" s="136">
        <v>0</v>
      </c>
      <c r="Q53" s="136">
        <v>0</v>
      </c>
      <c r="R53" s="136">
        <v>0</v>
      </c>
      <c r="S53" s="136">
        <v>0</v>
      </c>
      <c r="T53" s="136">
        <v>0</v>
      </c>
      <c r="U53" s="136">
        <v>0</v>
      </c>
      <c r="V53" s="136">
        <v>0</v>
      </c>
      <c r="W53" s="136">
        <v>0</v>
      </c>
      <c r="X53" s="136">
        <v>0</v>
      </c>
      <c r="Y53" s="136">
        <v>0</v>
      </c>
      <c r="Z53" s="136">
        <v>0</v>
      </c>
      <c r="AA53" s="136">
        <v>0</v>
      </c>
      <c r="AB53" s="136">
        <v>0</v>
      </c>
    </row>
    <row r="54" spans="2:28">
      <c r="B54" s="25" t="s">
        <v>239</v>
      </c>
      <c r="D54" s="59"/>
      <c r="E54" s="59"/>
      <c r="F54" s="59"/>
      <c r="G54" s="100"/>
      <c r="H54" s="61">
        <v>0</v>
      </c>
      <c r="I54" s="61">
        <f>H54</f>
        <v>0</v>
      </c>
      <c r="J54" s="61">
        <f t="shared" ref="J54:AB54" si="22">I54</f>
        <v>0</v>
      </c>
      <c r="K54" s="61">
        <f t="shared" si="22"/>
        <v>0</v>
      </c>
      <c r="L54" s="61">
        <f t="shared" si="22"/>
        <v>0</v>
      </c>
      <c r="M54" s="61">
        <f t="shared" si="22"/>
        <v>0</v>
      </c>
      <c r="N54" s="61">
        <v>0</v>
      </c>
      <c r="O54" s="61">
        <f t="shared" si="22"/>
        <v>0</v>
      </c>
      <c r="P54" s="61">
        <f t="shared" si="22"/>
        <v>0</v>
      </c>
      <c r="Q54" s="61">
        <f t="shared" si="22"/>
        <v>0</v>
      </c>
      <c r="R54" s="61">
        <f t="shared" si="22"/>
        <v>0</v>
      </c>
      <c r="S54" s="61">
        <f t="shared" si="22"/>
        <v>0</v>
      </c>
      <c r="T54" s="61">
        <f t="shared" si="22"/>
        <v>0</v>
      </c>
      <c r="U54" s="61">
        <f t="shared" si="22"/>
        <v>0</v>
      </c>
      <c r="V54" s="61">
        <f t="shared" si="22"/>
        <v>0</v>
      </c>
      <c r="W54" s="61">
        <f t="shared" si="22"/>
        <v>0</v>
      </c>
      <c r="X54" s="61">
        <f t="shared" si="22"/>
        <v>0</v>
      </c>
      <c r="Y54" s="61">
        <f t="shared" si="22"/>
        <v>0</v>
      </c>
      <c r="Z54" s="61">
        <f t="shared" si="22"/>
        <v>0</v>
      </c>
      <c r="AA54" s="61">
        <f t="shared" si="22"/>
        <v>0</v>
      </c>
      <c r="AB54" s="61">
        <f t="shared" si="22"/>
        <v>0</v>
      </c>
    </row>
    <row r="55" spans="2:28">
      <c r="B55" s="2" t="s">
        <v>43</v>
      </c>
      <c r="C55" s="2"/>
      <c r="D55" s="60"/>
      <c r="E55" s="60"/>
      <c r="F55" s="60"/>
      <c r="G55" s="130"/>
      <c r="H55" s="136">
        <f t="shared" ref="H55:M55" ca="1" si="23">IF((H52+H53)*H54&gt;0,(H52+H53)*H54,0)</f>
        <v>0</v>
      </c>
      <c r="I55" s="136">
        <f ca="1">IF((I52+I53)*I54&gt;0,(I52+I53)*I54,0)</f>
        <v>0</v>
      </c>
      <c r="J55" s="136">
        <f t="shared" ca="1" si="23"/>
        <v>0</v>
      </c>
      <c r="K55" s="136">
        <f t="shared" ca="1" si="23"/>
        <v>0</v>
      </c>
      <c r="L55" s="136">
        <f t="shared" ca="1" si="23"/>
        <v>0</v>
      </c>
      <c r="M55" s="136">
        <f t="shared" ca="1" si="23"/>
        <v>0</v>
      </c>
      <c r="N55" s="136">
        <f t="shared" ref="N55:AB55" ca="1" si="24">(N52+N53)*N54</f>
        <v>0</v>
      </c>
      <c r="O55" s="136">
        <f t="shared" ca="1" si="24"/>
        <v>0</v>
      </c>
      <c r="P55" s="136">
        <f t="shared" ca="1" si="24"/>
        <v>0</v>
      </c>
      <c r="Q55" s="136">
        <f t="shared" ca="1" si="24"/>
        <v>0</v>
      </c>
      <c r="R55" s="136">
        <f t="shared" ca="1" si="24"/>
        <v>0</v>
      </c>
      <c r="S55" s="136" t="e">
        <f t="shared" ca="1" si="24"/>
        <v>#VALUE!</v>
      </c>
      <c r="T55" s="136" t="e">
        <f t="shared" ca="1" si="24"/>
        <v>#VALUE!</v>
      </c>
      <c r="U55" s="136" t="e">
        <f t="shared" ca="1" si="24"/>
        <v>#VALUE!</v>
      </c>
      <c r="V55" s="136" t="e">
        <f t="shared" ca="1" si="24"/>
        <v>#VALUE!</v>
      </c>
      <c r="W55" s="136" t="e">
        <f t="shared" ca="1" si="24"/>
        <v>#VALUE!</v>
      </c>
      <c r="X55" s="136" t="e">
        <f t="shared" ca="1" si="24"/>
        <v>#VALUE!</v>
      </c>
      <c r="Y55" s="136" t="e">
        <f t="shared" ca="1" si="24"/>
        <v>#VALUE!</v>
      </c>
      <c r="Z55" s="136" t="e">
        <f t="shared" ca="1" si="24"/>
        <v>#VALUE!</v>
      </c>
      <c r="AA55" s="136" t="e">
        <f t="shared" ca="1" si="24"/>
        <v>#VALUE!</v>
      </c>
      <c r="AB55" s="136" t="e">
        <f t="shared" ca="1" si="24"/>
        <v>#DIV/0!</v>
      </c>
    </row>
    <row r="56" spans="2:28">
      <c r="D56" s="33"/>
      <c r="E56" s="33"/>
      <c r="F56" s="33"/>
      <c r="G56" s="34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2:28"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2:28">
      <c r="D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2:28"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2:28"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2:28">
      <c r="D61" s="37"/>
    </row>
    <row r="62" spans="2:28"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</row>
    <row r="63" spans="2:28">
      <c r="D63" s="37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5" spans="2:9">
      <c r="D65" s="46"/>
      <c r="H65" s="29"/>
    </row>
    <row r="66" spans="2:9">
      <c r="D66" s="29"/>
    </row>
    <row r="68" spans="2:9">
      <c r="I68" s="29"/>
    </row>
    <row r="70" spans="2:9">
      <c r="B70" s="15"/>
    </row>
    <row r="71" spans="2:9">
      <c r="B71" s="15"/>
    </row>
  </sheetData>
  <phoneticPr fontId="7" type="noConversion"/>
  <pageMargins left="0.75" right="0.75" top="1" bottom="1" header="0.5" footer="0.5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pageSetUpPr fitToPage="1"/>
  </sheetPr>
  <dimension ref="A1:IV1337"/>
  <sheetViews>
    <sheetView showGridLines="0" zoomScale="85" zoomScaleNormal="95" workbookViewId="0">
      <pane xSplit="11" ySplit="7" topLeftCell="L23" activePane="bottomRight" state="frozen"/>
      <selection activeCell="B1" sqref="B1"/>
      <selection pane="topRight" activeCell="B1" sqref="B1"/>
      <selection pane="bottomLeft" activeCell="B1" sqref="B1"/>
      <selection pane="bottomRight" activeCell="T54" sqref="T54"/>
    </sheetView>
  </sheetViews>
  <sheetFormatPr defaultColWidth="11.44140625" defaultRowHeight="10.199999999999999"/>
  <cols>
    <col min="1" max="1" width="25" style="230" customWidth="1"/>
    <col min="2" max="4" width="7.6640625" style="229" hidden="1" customWidth="1"/>
    <col min="5" max="5" width="7.88671875" style="229" hidden="1" customWidth="1"/>
    <col min="6" max="8" width="7.6640625" style="229" hidden="1" customWidth="1"/>
    <col min="9" max="9" width="8.44140625" style="229" hidden="1" customWidth="1"/>
    <col min="10" max="10" width="7.6640625" style="229" hidden="1" customWidth="1"/>
    <col min="11" max="11" width="28.44140625" style="229" customWidth="1"/>
    <col min="12" max="12" width="8.6640625" style="229" customWidth="1"/>
    <col min="13" max="14" width="6.5546875" style="229" bestFit="1" customWidth="1"/>
    <col min="15" max="15" width="7.6640625" style="229" bestFit="1" customWidth="1"/>
    <col min="16" max="16" width="8.6640625" style="229" customWidth="1"/>
    <col min="17" max="22" width="7.6640625" style="229" customWidth="1"/>
    <col min="23" max="38" width="6.88671875" style="230" customWidth="1"/>
    <col min="39" max="16384" width="11.44140625" style="230"/>
  </cols>
  <sheetData>
    <row r="1" spans="1:38">
      <c r="A1" s="228"/>
    </row>
    <row r="2" spans="1:38">
      <c r="A2" s="228"/>
    </row>
    <row r="3" spans="1:38">
      <c r="A3" s="231" t="s">
        <v>265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S3" s="409"/>
      <c r="T3" s="233"/>
      <c r="U3" s="233"/>
      <c r="V3" s="233"/>
      <c r="W3" s="234"/>
      <c r="X3" s="234"/>
      <c r="Y3" s="234"/>
      <c r="Z3" s="234"/>
      <c r="AA3" s="234"/>
      <c r="AB3" s="235"/>
      <c r="AC3" s="235"/>
      <c r="AD3" s="235"/>
      <c r="AE3" s="235"/>
      <c r="AF3" s="235"/>
      <c r="AG3" s="235"/>
      <c r="AH3" s="235"/>
      <c r="AI3" s="235"/>
      <c r="AJ3" s="235"/>
      <c r="AK3" s="235"/>
      <c r="AL3" s="235"/>
    </row>
    <row r="4" spans="1:38">
      <c r="A4" s="236"/>
      <c r="B4" s="232"/>
      <c r="C4" s="232"/>
      <c r="D4" s="232"/>
      <c r="E4" s="232"/>
      <c r="F4" s="232"/>
      <c r="G4" s="232"/>
      <c r="H4" s="237"/>
      <c r="I4" s="237"/>
      <c r="J4" s="237"/>
      <c r="K4" s="237"/>
      <c r="L4" s="237"/>
      <c r="M4" s="237"/>
      <c r="N4" s="237"/>
      <c r="O4" s="232"/>
      <c r="P4" s="233"/>
      <c r="Q4" s="237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5"/>
      <c r="AF4" s="235"/>
      <c r="AG4" s="235"/>
      <c r="AH4" s="235"/>
      <c r="AI4" s="235"/>
      <c r="AJ4" s="235"/>
      <c r="AK4" s="235"/>
      <c r="AL4" s="235"/>
    </row>
    <row r="5" spans="1:38">
      <c r="A5" s="239" t="s">
        <v>266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40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41"/>
      <c r="AD5" s="241"/>
      <c r="AE5" s="235"/>
      <c r="AF5" s="235"/>
      <c r="AG5" s="235"/>
      <c r="AH5" s="235"/>
      <c r="AI5" s="235"/>
      <c r="AJ5" s="235"/>
      <c r="AK5" s="235"/>
      <c r="AL5" s="235"/>
    </row>
    <row r="6" spans="1:38">
      <c r="A6" s="242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4" t="s">
        <v>267</v>
      </c>
      <c r="R6" s="244"/>
      <c r="S6" s="244"/>
      <c r="T6" s="244"/>
      <c r="U6" s="244"/>
      <c r="V6" s="244"/>
      <c r="W6" s="619"/>
      <c r="X6" s="619"/>
      <c r="Y6" s="619"/>
      <c r="Z6" s="619"/>
      <c r="AA6" s="619"/>
      <c r="AB6" s="619"/>
      <c r="AC6" s="619"/>
      <c r="AD6" s="619"/>
      <c r="AE6" s="619"/>
      <c r="AF6" s="619"/>
      <c r="AG6" s="619"/>
      <c r="AH6" s="619"/>
      <c r="AI6" s="619"/>
      <c r="AJ6" s="619"/>
      <c r="AK6" s="619"/>
      <c r="AL6" s="619"/>
    </row>
    <row r="7" spans="1:38" s="247" customFormat="1">
      <c r="A7" s="242"/>
      <c r="B7" s="245">
        <v>1994</v>
      </c>
      <c r="C7" s="245">
        <v>1995</v>
      </c>
      <c r="D7" s="245">
        <v>1996</v>
      </c>
      <c r="E7" s="245">
        <v>1997</v>
      </c>
      <c r="F7" s="245">
        <v>1998</v>
      </c>
      <c r="G7" s="245">
        <v>1999</v>
      </c>
      <c r="H7" s="245">
        <v>2000</v>
      </c>
      <c r="I7" s="245">
        <v>2001</v>
      </c>
      <c r="J7" s="245">
        <v>2002</v>
      </c>
      <c r="K7" s="245">
        <v>2003</v>
      </c>
      <c r="L7" s="245">
        <v>2004</v>
      </c>
      <c r="M7" s="245">
        <v>2005</v>
      </c>
      <c r="N7" s="245">
        <v>2006</v>
      </c>
      <c r="O7" s="245">
        <v>2007</v>
      </c>
      <c r="P7" s="245">
        <v>2008</v>
      </c>
      <c r="Q7" s="246">
        <v>2009</v>
      </c>
      <c r="R7" s="246">
        <v>2010</v>
      </c>
      <c r="S7" s="246">
        <v>2011</v>
      </c>
      <c r="T7" s="246">
        <v>2012</v>
      </c>
      <c r="U7" s="246">
        <v>2013</v>
      </c>
      <c r="V7" s="246">
        <v>2014</v>
      </c>
      <c r="W7" s="246">
        <v>2015</v>
      </c>
      <c r="X7" s="246">
        <v>2016</v>
      </c>
      <c r="Y7" s="246">
        <v>2017</v>
      </c>
      <c r="Z7" s="246">
        <v>2018</v>
      </c>
      <c r="AA7" s="246">
        <v>2019</v>
      </c>
      <c r="AB7" s="246">
        <v>2020</v>
      </c>
      <c r="AC7" s="246">
        <v>2021</v>
      </c>
      <c r="AD7" s="246">
        <v>2022</v>
      </c>
      <c r="AE7" s="246">
        <v>2023</v>
      </c>
      <c r="AF7" s="246">
        <v>2024</v>
      </c>
      <c r="AG7" s="246">
        <v>2025</v>
      </c>
      <c r="AH7" s="246">
        <v>2026</v>
      </c>
      <c r="AI7" s="246">
        <v>2027</v>
      </c>
      <c r="AJ7" s="246">
        <v>2028</v>
      </c>
      <c r="AK7" s="246">
        <v>2029</v>
      </c>
      <c r="AL7" s="246">
        <v>2030</v>
      </c>
    </row>
    <row r="8" spans="1:38">
      <c r="A8" s="248" t="s">
        <v>268</v>
      </c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50"/>
      <c r="P8" s="251"/>
      <c r="Q8" s="252"/>
      <c r="R8" s="253"/>
      <c r="S8" s="253"/>
      <c r="T8" s="253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1"/>
      <c r="AG8" s="251"/>
      <c r="AH8" s="251"/>
      <c r="AI8" s="251"/>
      <c r="AJ8" s="251"/>
      <c r="AK8" s="251"/>
      <c r="AL8" s="251"/>
    </row>
    <row r="9" spans="1:38">
      <c r="A9" s="235" t="s">
        <v>269</v>
      </c>
      <c r="B9" s="254">
        <v>5.85</v>
      </c>
      <c r="C9" s="254">
        <v>4.22</v>
      </c>
      <c r="D9" s="254">
        <v>2.2000000000000002</v>
      </c>
      <c r="E9" s="254">
        <v>3.4</v>
      </c>
      <c r="F9" s="254">
        <v>3.5345675380304975E-2</v>
      </c>
      <c r="G9" s="254">
        <v>0.25407830888953242</v>
      </c>
      <c r="H9" s="254">
        <v>4.3061868549980602</v>
      </c>
      <c r="I9" s="254">
        <v>1.3131188097825941</v>
      </c>
      <c r="J9" s="254">
        <v>2.6580940854104256</v>
      </c>
      <c r="K9" s="553">
        <v>1.1467490643223925</v>
      </c>
      <c r="L9" s="553">
        <v>5.713916915861688</v>
      </c>
      <c r="M9" s="553">
        <v>3.1563523881234801</v>
      </c>
      <c r="N9" s="553">
        <v>3.9554152692838898</v>
      </c>
      <c r="O9" s="553">
        <v>6.0954549767530324</v>
      </c>
      <c r="P9" s="554">
        <v>5.1692990144346993</v>
      </c>
      <c r="Q9" s="554">
        <v>-0.32824803986596862</v>
      </c>
      <c r="R9" s="554">
        <v>7.5336154528701229</v>
      </c>
      <c r="S9" s="554">
        <v>2.7325092432441078</v>
      </c>
      <c r="T9" s="555">
        <v>1.6550773401593055</v>
      </c>
      <c r="U9" s="555">
        <v>4.3476366274783906</v>
      </c>
      <c r="V9" s="555">
        <v>3</v>
      </c>
      <c r="W9" s="555">
        <v>3.5</v>
      </c>
      <c r="X9" s="555">
        <v>3.5</v>
      </c>
      <c r="Y9" s="555">
        <v>3.5</v>
      </c>
      <c r="Z9" s="555">
        <v>3.5</v>
      </c>
      <c r="AA9" s="555">
        <v>3.5</v>
      </c>
      <c r="AB9" s="555">
        <v>3.5</v>
      </c>
      <c r="AC9" s="555">
        <v>3.5</v>
      </c>
      <c r="AD9" s="555">
        <v>3.5</v>
      </c>
      <c r="AE9" s="555">
        <v>3.5</v>
      </c>
      <c r="AF9" s="555">
        <v>3.5</v>
      </c>
      <c r="AG9" s="555">
        <v>3.5</v>
      </c>
      <c r="AH9" s="555">
        <v>3.5</v>
      </c>
      <c r="AI9" s="555">
        <v>3.5</v>
      </c>
      <c r="AJ9" s="555">
        <v>3.5</v>
      </c>
      <c r="AK9" s="555">
        <v>3.5</v>
      </c>
      <c r="AL9" s="555">
        <v>3.5</v>
      </c>
    </row>
    <row r="10" spans="1:38">
      <c r="A10" s="235" t="s">
        <v>270</v>
      </c>
      <c r="B10" s="254">
        <v>5.45</v>
      </c>
      <c r="C10" s="254">
        <v>4.08</v>
      </c>
      <c r="D10" s="254">
        <v>2.9574999999999907</v>
      </c>
      <c r="E10" s="254">
        <v>0.81101425345411204</v>
      </c>
      <c r="F10" s="254">
        <v>3.4082424067249484</v>
      </c>
      <c r="G10" s="254">
        <v>6.526600204975308</v>
      </c>
      <c r="H10" s="254">
        <v>2.7222635238553394</v>
      </c>
      <c r="I10" s="254">
        <v>6.0620883632361418</v>
      </c>
      <c r="J10" s="254">
        <v>6.5426624308369767</v>
      </c>
      <c r="K10" s="553">
        <v>5.8054797100084841</v>
      </c>
      <c r="L10" s="553">
        <v>2.3154410194347435</v>
      </c>
      <c r="M10" s="553">
        <v>0.29570874428152649</v>
      </c>
      <c r="N10" s="553">
        <v>4.8023725697636195</v>
      </c>
      <c r="O10" s="553">
        <v>4.8404713046931676</v>
      </c>
      <c r="P10" s="554">
        <v>6.3154073208845745</v>
      </c>
      <c r="Q10" s="554">
        <v>-3.1134008373667541</v>
      </c>
      <c r="R10" s="554">
        <v>6.3303553641754746</v>
      </c>
      <c r="S10" s="554">
        <v>3.9026921081455113</v>
      </c>
      <c r="T10" s="555">
        <v>-3.4232134931222458E-2</v>
      </c>
      <c r="U10" s="555">
        <v>3.0000000000000249</v>
      </c>
      <c r="V10" s="555">
        <v>4</v>
      </c>
      <c r="W10" s="555">
        <v>3.5</v>
      </c>
      <c r="X10" s="555">
        <v>3.5</v>
      </c>
      <c r="Y10" s="555">
        <v>3.5</v>
      </c>
      <c r="Z10" s="555">
        <v>3.5</v>
      </c>
      <c r="AA10" s="555">
        <v>3.5</v>
      </c>
      <c r="AB10" s="555">
        <v>3.5</v>
      </c>
      <c r="AC10" s="555">
        <v>3.5</v>
      </c>
      <c r="AD10" s="555">
        <v>3.5</v>
      </c>
      <c r="AE10" s="555">
        <v>3.5</v>
      </c>
      <c r="AF10" s="555">
        <v>3.5</v>
      </c>
      <c r="AG10" s="555">
        <v>3.5</v>
      </c>
      <c r="AH10" s="555">
        <v>3.5</v>
      </c>
      <c r="AI10" s="555">
        <v>3.5</v>
      </c>
      <c r="AJ10" s="555">
        <v>3.5</v>
      </c>
      <c r="AK10" s="555">
        <v>3.5</v>
      </c>
      <c r="AL10" s="555">
        <v>3.5</v>
      </c>
    </row>
    <row r="11" spans="1:38">
      <c r="A11" s="256" t="s">
        <v>271</v>
      </c>
      <c r="B11" s="254">
        <v>6.73</v>
      </c>
      <c r="C11" s="254">
        <v>1.91</v>
      </c>
      <c r="D11" s="254">
        <v>1.0675266881672085</v>
      </c>
      <c r="E11" s="254">
        <v>4.2373719883243455</v>
      </c>
      <c r="F11" s="254">
        <v>-2.591423621823008</v>
      </c>
      <c r="G11" s="254">
        <v>-1.9026969084220524</v>
      </c>
      <c r="H11" s="254">
        <v>4.8229275319127796</v>
      </c>
      <c r="I11" s="254">
        <v>-0.61520325002382459</v>
      </c>
      <c r="J11" s="254">
        <v>1.9932792968926054</v>
      </c>
      <c r="K11" s="553">
        <v>1.2751050910789559</v>
      </c>
      <c r="L11" s="553">
        <v>7.8909744961490418</v>
      </c>
      <c r="M11" s="553">
        <v>2.0817303582115017</v>
      </c>
      <c r="N11" s="553">
        <v>2.2088689753360313</v>
      </c>
      <c r="O11" s="553">
        <v>5.2686564106766127</v>
      </c>
      <c r="P11" s="554">
        <v>4.0709101169510831</v>
      </c>
      <c r="Q11" s="554">
        <v>-5.603859314522893</v>
      </c>
      <c r="R11" s="554">
        <v>10.433008477933598</v>
      </c>
      <c r="S11" s="554">
        <v>1.5784470233717984</v>
      </c>
      <c r="T11" s="555">
        <v>0.14600960793798023</v>
      </c>
      <c r="U11" s="555">
        <v>3.596983392650599</v>
      </c>
      <c r="V11" s="555">
        <v>1.7</v>
      </c>
      <c r="W11" s="555">
        <v>3.5</v>
      </c>
      <c r="X11" s="555">
        <v>3.5</v>
      </c>
      <c r="Y11" s="555">
        <v>3.5</v>
      </c>
      <c r="Z11" s="555">
        <v>3.5</v>
      </c>
      <c r="AA11" s="555">
        <v>3.5</v>
      </c>
      <c r="AB11" s="555">
        <v>3.5</v>
      </c>
      <c r="AC11" s="555">
        <v>3.5</v>
      </c>
      <c r="AD11" s="555">
        <v>3.5</v>
      </c>
      <c r="AE11" s="555">
        <v>3.5</v>
      </c>
      <c r="AF11" s="555">
        <v>3.5</v>
      </c>
      <c r="AG11" s="555">
        <v>3.5</v>
      </c>
      <c r="AH11" s="555">
        <v>3.5</v>
      </c>
      <c r="AI11" s="555">
        <v>3.5</v>
      </c>
      <c r="AJ11" s="555">
        <v>3.5</v>
      </c>
      <c r="AK11" s="555">
        <v>3.5</v>
      </c>
      <c r="AL11" s="555">
        <v>3.5</v>
      </c>
    </row>
    <row r="12" spans="1:38">
      <c r="A12" s="256" t="s">
        <v>272</v>
      </c>
      <c r="B12" s="254">
        <v>4.7300000000000004</v>
      </c>
      <c r="C12" s="254">
        <v>4.4800000000000004</v>
      </c>
      <c r="D12" s="254">
        <v>2.1924999999999999</v>
      </c>
      <c r="E12" s="254">
        <v>2.5858061990850612</v>
      </c>
      <c r="F12" s="254">
        <v>1.1065006915629505</v>
      </c>
      <c r="G12" s="254">
        <v>1.2052455304495391</v>
      </c>
      <c r="H12" s="254">
        <v>3.5773380875806948</v>
      </c>
      <c r="I12" s="254">
        <v>1.9012283323985517</v>
      </c>
      <c r="J12" s="254">
        <v>3.2048594091966254</v>
      </c>
      <c r="K12" s="553">
        <v>0.76371804471067151</v>
      </c>
      <c r="L12" s="553">
        <v>4.9997876947900295</v>
      </c>
      <c r="M12" s="553">
        <v>3.673898538124007</v>
      </c>
      <c r="N12" s="553">
        <v>4.2380153684128175</v>
      </c>
      <c r="O12" s="553">
        <v>6.1406627125937945</v>
      </c>
      <c r="P12" s="554">
        <v>4.9322216150469842</v>
      </c>
      <c r="Q12" s="554">
        <v>2.1200463655148098</v>
      </c>
      <c r="R12" s="554">
        <v>5.4927700735330376</v>
      </c>
      <c r="S12" s="554">
        <v>2.7320359281437279</v>
      </c>
      <c r="T12" s="555">
        <v>2.4184008777507371</v>
      </c>
      <c r="U12" s="555">
        <v>4.5262618581550562</v>
      </c>
      <c r="V12" s="555">
        <v>3.5</v>
      </c>
      <c r="W12" s="555">
        <v>3.5</v>
      </c>
      <c r="X12" s="555">
        <v>3.5</v>
      </c>
      <c r="Y12" s="555">
        <v>3.5</v>
      </c>
      <c r="Z12" s="555">
        <v>3.5</v>
      </c>
      <c r="AA12" s="555">
        <v>3.5</v>
      </c>
      <c r="AB12" s="555">
        <v>3.5</v>
      </c>
      <c r="AC12" s="555">
        <v>3.5</v>
      </c>
      <c r="AD12" s="555">
        <v>3.5</v>
      </c>
      <c r="AE12" s="555">
        <v>3.5</v>
      </c>
      <c r="AF12" s="555">
        <v>3.5</v>
      </c>
      <c r="AG12" s="555">
        <v>3.5</v>
      </c>
      <c r="AH12" s="555">
        <v>3.5</v>
      </c>
      <c r="AI12" s="555">
        <v>3.5</v>
      </c>
      <c r="AJ12" s="555">
        <v>3.5</v>
      </c>
      <c r="AK12" s="555">
        <v>3.5</v>
      </c>
      <c r="AL12" s="555">
        <v>3.5</v>
      </c>
    </row>
    <row r="13" spans="1:38">
      <c r="A13" s="256" t="s">
        <v>273</v>
      </c>
      <c r="B13" s="254"/>
      <c r="C13" s="254"/>
      <c r="D13" s="254"/>
      <c r="E13" s="254"/>
      <c r="F13" s="254"/>
      <c r="G13" s="254"/>
      <c r="H13" s="254">
        <v>3.9338797430563659</v>
      </c>
      <c r="I13" s="254">
        <v>0.67264060907830014</v>
      </c>
      <c r="J13" s="254">
        <v>1.820637013118457</v>
      </c>
      <c r="K13" s="553">
        <v>-0.7754164273406019</v>
      </c>
      <c r="L13" s="553">
        <v>3.8205499276410961</v>
      </c>
      <c r="M13" s="553">
        <v>4.4669854817610712</v>
      </c>
      <c r="N13" s="553">
        <v>5.1956316459333891</v>
      </c>
      <c r="O13" s="553">
        <v>6.0727875890330694</v>
      </c>
      <c r="P13" s="554">
        <v>5.6699229170116325</v>
      </c>
      <c r="Q13" s="554">
        <v>4.4412333083793385</v>
      </c>
      <c r="R13" s="554">
        <v>6.9444907484580938</v>
      </c>
      <c r="S13" s="554">
        <v>4.0947066525344411</v>
      </c>
      <c r="T13" s="555">
        <v>2.7715376952210935</v>
      </c>
      <c r="U13" s="555">
        <v>4.6884264417576871</v>
      </c>
      <c r="V13" s="555">
        <v>3.5</v>
      </c>
      <c r="W13" s="555">
        <v>3.5</v>
      </c>
      <c r="X13" s="555">
        <v>3.5</v>
      </c>
      <c r="Y13" s="555">
        <v>3.5</v>
      </c>
      <c r="Z13" s="555">
        <v>3.5</v>
      </c>
      <c r="AA13" s="555">
        <v>3.5</v>
      </c>
      <c r="AB13" s="555">
        <v>3.5</v>
      </c>
      <c r="AC13" s="555">
        <v>3.5</v>
      </c>
      <c r="AD13" s="555">
        <v>3.5</v>
      </c>
      <c r="AE13" s="555">
        <v>3.5</v>
      </c>
      <c r="AF13" s="555">
        <v>3.5</v>
      </c>
      <c r="AG13" s="555">
        <v>3.5</v>
      </c>
      <c r="AH13" s="555">
        <v>3.5</v>
      </c>
      <c r="AI13" s="555">
        <v>3.5</v>
      </c>
      <c r="AJ13" s="555">
        <v>3.5</v>
      </c>
      <c r="AK13" s="555">
        <v>3.5</v>
      </c>
      <c r="AL13" s="555">
        <v>3.5</v>
      </c>
    </row>
    <row r="14" spans="1:38">
      <c r="A14" s="256" t="s">
        <v>274</v>
      </c>
      <c r="B14" s="254"/>
      <c r="C14" s="254"/>
      <c r="D14" s="254"/>
      <c r="E14" s="254"/>
      <c r="F14" s="254"/>
      <c r="G14" s="254"/>
      <c r="H14" s="254">
        <v>-0.15108255698336848</v>
      </c>
      <c r="I14" s="254">
        <v>2.7427737355419453</v>
      </c>
      <c r="J14" s="254">
        <v>4.7457206744612392</v>
      </c>
      <c r="K14" s="553">
        <v>1.1528598505964993</v>
      </c>
      <c r="L14" s="553">
        <v>4.0915303558044229</v>
      </c>
      <c r="M14" s="553">
        <v>2.3063238595451026</v>
      </c>
      <c r="N14" s="553">
        <v>2.5731260479847577</v>
      </c>
      <c r="O14" s="553">
        <v>5.1281533804238109</v>
      </c>
      <c r="P14" s="554">
        <v>3.1694534564512082</v>
      </c>
      <c r="Q14" s="554">
        <v>3.1074392467716194</v>
      </c>
      <c r="R14" s="554">
        <v>4.237349310618626</v>
      </c>
      <c r="S14" s="554">
        <v>1.9269390581717394</v>
      </c>
      <c r="T14" s="555">
        <v>2.9259881439709146</v>
      </c>
      <c r="U14" s="555">
        <v>3.7568388485919701</v>
      </c>
      <c r="V14" s="555">
        <v>3</v>
      </c>
      <c r="W14" s="555">
        <v>3.5</v>
      </c>
      <c r="X14" s="555">
        <v>3.5</v>
      </c>
      <c r="Y14" s="555">
        <v>3.5</v>
      </c>
      <c r="Z14" s="555">
        <v>3.5</v>
      </c>
      <c r="AA14" s="555">
        <v>3.5</v>
      </c>
      <c r="AB14" s="555">
        <v>3.5</v>
      </c>
      <c r="AC14" s="555">
        <v>3.5</v>
      </c>
      <c r="AD14" s="555">
        <v>3.5</v>
      </c>
      <c r="AE14" s="555">
        <v>3.5</v>
      </c>
      <c r="AF14" s="555">
        <v>3.5</v>
      </c>
      <c r="AG14" s="555">
        <v>3.5</v>
      </c>
      <c r="AH14" s="555">
        <v>3.5</v>
      </c>
      <c r="AI14" s="555">
        <v>3.5</v>
      </c>
      <c r="AJ14" s="555">
        <v>3.5</v>
      </c>
      <c r="AK14" s="555">
        <v>3.5</v>
      </c>
      <c r="AL14" s="555">
        <v>3.5</v>
      </c>
    </row>
    <row r="15" spans="1:38">
      <c r="A15" s="256" t="s">
        <v>275</v>
      </c>
      <c r="B15" s="254"/>
      <c r="C15" s="254"/>
      <c r="D15" s="254"/>
      <c r="E15" s="254"/>
      <c r="F15" s="254"/>
      <c r="G15" s="254"/>
      <c r="H15" s="254">
        <v>5.0323856092350496</v>
      </c>
      <c r="I15" s="254">
        <v>0.43603110758967034</v>
      </c>
      <c r="J15" s="254">
        <v>-5.2319499305593098</v>
      </c>
      <c r="K15" s="553">
        <v>-4.5916092921888207</v>
      </c>
      <c r="L15" s="553">
        <v>9.1189907590073744</v>
      </c>
      <c r="M15" s="553">
        <v>3.6253776435045211</v>
      </c>
      <c r="N15" s="553">
        <v>9.7725029269300592</v>
      </c>
      <c r="O15" s="553">
        <v>13.85043289137981</v>
      </c>
      <c r="P15" s="554">
        <v>13.572491320879479</v>
      </c>
      <c r="Q15" s="554">
        <v>-6.7232734918324439</v>
      </c>
      <c r="R15" s="554">
        <v>21.334073136476334</v>
      </c>
      <c r="S15" s="554">
        <v>4.7144061620246758</v>
      </c>
      <c r="T15" s="555">
        <v>-3.3859179508969772</v>
      </c>
      <c r="U15" s="555">
        <v>7.0024391800034724</v>
      </c>
      <c r="V15" s="555">
        <v>4</v>
      </c>
      <c r="W15" s="555">
        <v>3.5</v>
      </c>
      <c r="X15" s="555">
        <v>3.5</v>
      </c>
      <c r="Y15" s="555">
        <v>3.5</v>
      </c>
      <c r="Z15" s="555">
        <v>3.5</v>
      </c>
      <c r="AA15" s="555">
        <v>3.5</v>
      </c>
      <c r="AB15" s="555">
        <v>3.5</v>
      </c>
      <c r="AC15" s="555">
        <v>3.5</v>
      </c>
      <c r="AD15" s="555">
        <v>3.5</v>
      </c>
      <c r="AE15" s="555">
        <v>3.5</v>
      </c>
      <c r="AF15" s="555">
        <v>3.5</v>
      </c>
      <c r="AG15" s="555">
        <v>3.5</v>
      </c>
      <c r="AH15" s="555">
        <v>3.5</v>
      </c>
      <c r="AI15" s="555">
        <v>3.5</v>
      </c>
      <c r="AJ15" s="555">
        <v>3.5</v>
      </c>
      <c r="AK15" s="555">
        <v>3.5</v>
      </c>
      <c r="AL15" s="555">
        <v>3.5</v>
      </c>
    </row>
    <row r="16" spans="1:38">
      <c r="A16" s="256" t="s">
        <v>276</v>
      </c>
      <c r="B16" s="254"/>
      <c r="C16" s="254"/>
      <c r="D16" s="254"/>
      <c r="E16" s="254"/>
      <c r="F16" s="254"/>
      <c r="G16" s="254"/>
      <c r="H16" s="254">
        <v>12.860550835561057</v>
      </c>
      <c r="I16" s="254">
        <v>10.047497259773479</v>
      </c>
      <c r="J16" s="254">
        <v>7.4171442261015414</v>
      </c>
      <c r="K16" s="553">
        <v>10.398165838746664</v>
      </c>
      <c r="L16" s="553">
        <v>15.29323807941519</v>
      </c>
      <c r="M16" s="553">
        <v>9.330643418113695</v>
      </c>
      <c r="N16" s="553">
        <v>5.0415183867141167</v>
      </c>
      <c r="O16" s="553">
        <v>6.1986322855887863</v>
      </c>
      <c r="P16" s="554">
        <v>0.54547960851500932</v>
      </c>
      <c r="Q16" s="554">
        <v>-9.1258960397978797</v>
      </c>
      <c r="R16" s="554">
        <v>11.518691337004455</v>
      </c>
      <c r="S16" s="554">
        <v>4.489496163732265</v>
      </c>
      <c r="T16" s="555">
        <v>3.6005943207024771</v>
      </c>
      <c r="U16" s="555">
        <v>5.0000000000000044</v>
      </c>
      <c r="V16" s="555">
        <v>3</v>
      </c>
      <c r="W16" s="555">
        <v>3.5</v>
      </c>
      <c r="X16" s="555">
        <v>3.5</v>
      </c>
      <c r="Y16" s="555">
        <v>3.5</v>
      </c>
      <c r="Z16" s="555">
        <v>3.5</v>
      </c>
      <c r="AA16" s="555">
        <v>3.5</v>
      </c>
      <c r="AB16" s="555">
        <v>3.5</v>
      </c>
      <c r="AC16" s="555">
        <v>3.5</v>
      </c>
      <c r="AD16" s="555">
        <v>3.5</v>
      </c>
      <c r="AE16" s="555">
        <v>3.5</v>
      </c>
      <c r="AF16" s="555">
        <v>3.5</v>
      </c>
      <c r="AG16" s="555">
        <v>3.5</v>
      </c>
      <c r="AH16" s="555">
        <v>3.5</v>
      </c>
      <c r="AI16" s="555">
        <v>3.5</v>
      </c>
      <c r="AJ16" s="555">
        <v>3.5</v>
      </c>
      <c r="AK16" s="555">
        <v>3.5</v>
      </c>
      <c r="AL16" s="555">
        <v>3.5</v>
      </c>
    </row>
    <row r="17" spans="1:39">
      <c r="A17" s="256" t="s">
        <v>277</v>
      </c>
      <c r="B17" s="254"/>
      <c r="C17" s="254"/>
      <c r="D17" s="254"/>
      <c r="E17" s="254"/>
      <c r="F17" s="254"/>
      <c r="G17" s="254"/>
      <c r="H17" s="254">
        <v>10.798643052596063</v>
      </c>
      <c r="I17" s="254">
        <v>1.5148889466539686</v>
      </c>
      <c r="J17" s="254">
        <v>-11.820333659558003</v>
      </c>
      <c r="K17" s="553">
        <v>-1.6201487591133343</v>
      </c>
      <c r="L17" s="553">
        <v>13.304389051076697</v>
      </c>
      <c r="M17" s="553">
        <v>8.4696866259992305</v>
      </c>
      <c r="N17" s="553">
        <v>18.448888437722076</v>
      </c>
      <c r="O17" s="553">
        <v>19.874190120324968</v>
      </c>
      <c r="P17" s="554">
        <v>15.35667815319502</v>
      </c>
      <c r="Q17" s="554">
        <v>-7.5982002305489971</v>
      </c>
      <c r="R17" s="554">
        <v>35.836452171113564</v>
      </c>
      <c r="S17" s="554">
        <v>9.7489680235428811</v>
      </c>
      <c r="T17" s="555">
        <v>5.7113105422393895</v>
      </c>
      <c r="U17" s="555">
        <v>10.000000000000009</v>
      </c>
      <c r="V17" s="555">
        <v>9</v>
      </c>
      <c r="W17" s="555">
        <v>3.5</v>
      </c>
      <c r="X17" s="555">
        <v>3.5</v>
      </c>
      <c r="Y17" s="555">
        <v>3.5</v>
      </c>
      <c r="Z17" s="555">
        <v>3.5</v>
      </c>
      <c r="AA17" s="555">
        <v>3.5</v>
      </c>
      <c r="AB17" s="555">
        <v>3.5</v>
      </c>
      <c r="AC17" s="555">
        <v>3.5</v>
      </c>
      <c r="AD17" s="555">
        <v>3.5</v>
      </c>
      <c r="AE17" s="555">
        <v>3.5</v>
      </c>
      <c r="AF17" s="555">
        <v>3.5</v>
      </c>
      <c r="AG17" s="555">
        <v>3.5</v>
      </c>
      <c r="AH17" s="555">
        <v>3.5</v>
      </c>
      <c r="AI17" s="555">
        <v>3.5</v>
      </c>
      <c r="AJ17" s="555">
        <v>3.5</v>
      </c>
      <c r="AK17" s="555">
        <v>3.5</v>
      </c>
      <c r="AL17" s="555">
        <v>3.5</v>
      </c>
    </row>
    <row r="18" spans="1:39">
      <c r="A18" s="256" t="s">
        <v>278</v>
      </c>
      <c r="B18" s="254">
        <v>90.798253843816767</v>
      </c>
      <c r="C18" s="254">
        <v>94.629940156025839</v>
      </c>
      <c r="D18" s="254">
        <v>96.71179883945841</v>
      </c>
      <c r="E18" s="254">
        <v>100</v>
      </c>
      <c r="F18" s="254">
        <v>100</v>
      </c>
      <c r="G18" s="254">
        <v>100.25407830888953</v>
      </c>
      <c r="H18" s="254">
        <v>104.5712062506264</v>
      </c>
      <c r="I18" s="254">
        <v>105.94435042951993</v>
      </c>
      <c r="J18" s="254">
        <v>108.76045094211349</v>
      </c>
      <c r="K18" s="553">
        <v>110.00751983215174</v>
      </c>
      <c r="L18" s="553">
        <v>116.29147100055272</v>
      </c>
      <c r="M18" s="553">
        <v>119.96590192375166</v>
      </c>
      <c r="N18" s="554">
        <v>124.71105152637787</v>
      </c>
      <c r="O18" s="554">
        <v>132.31275752320352</v>
      </c>
      <c r="P18" s="554">
        <v>139.15239959382185</v>
      </c>
      <c r="Q18" s="554">
        <v>138.69563456972867</v>
      </c>
      <c r="R18" s="554">
        <v>149.14443032813003</v>
      </c>
      <c r="S18" s="554">
        <v>153.21981567262995</v>
      </c>
      <c r="T18" s="555">
        <v>155.75572212246149</v>
      </c>
      <c r="U18" s="555">
        <v>162.52741494685108</v>
      </c>
      <c r="V18" s="555">
        <v>167.40323739525661</v>
      </c>
      <c r="W18" s="555">
        <v>173.26235070409058</v>
      </c>
      <c r="X18" s="555">
        <v>179.32653297873372</v>
      </c>
      <c r="Y18" s="555">
        <v>185.60296163298938</v>
      </c>
      <c r="Z18" s="555">
        <v>192.09906529014398</v>
      </c>
      <c r="AA18" s="555">
        <v>198.82253257529899</v>
      </c>
      <c r="AB18" s="555">
        <v>205.78132121543445</v>
      </c>
      <c r="AC18" s="555">
        <v>212.98366745797463</v>
      </c>
      <c r="AD18" s="555">
        <v>220.43809581900373</v>
      </c>
      <c r="AE18" s="555">
        <v>228.15342917266884</v>
      </c>
      <c r="AF18" s="555">
        <v>236.13879919371223</v>
      </c>
      <c r="AG18" s="555">
        <v>244.40365716549215</v>
      </c>
      <c r="AH18" s="555">
        <v>252.95778516628437</v>
      </c>
      <c r="AI18" s="555">
        <v>261.81130764710429</v>
      </c>
      <c r="AJ18" s="555">
        <v>270.97470341475292</v>
      </c>
      <c r="AK18" s="555">
        <v>280.45881803426926</v>
      </c>
      <c r="AL18" s="555">
        <v>290.27487666546864</v>
      </c>
    </row>
    <row r="19" spans="1:39">
      <c r="A19" s="235" t="s">
        <v>279</v>
      </c>
      <c r="B19" s="254">
        <v>2240.17</v>
      </c>
      <c r="C19" s="254">
        <v>93.88</v>
      </c>
      <c r="D19" s="254">
        <v>17.079999999999998</v>
      </c>
      <c r="E19" s="254">
        <v>7.64</v>
      </c>
      <c r="F19" s="254">
        <v>4.24</v>
      </c>
      <c r="G19" s="254">
        <v>8.48</v>
      </c>
      <c r="H19" s="254">
        <v>6.1773197519828358</v>
      </c>
      <c r="I19" s="254">
        <v>8.9680912491526925</v>
      </c>
      <c r="J19" s="254">
        <v>10.553522429059186</v>
      </c>
      <c r="K19" s="554">
        <v>13.72661947834386</v>
      </c>
      <c r="L19" s="554">
        <v>8.0361537429416643</v>
      </c>
      <c r="M19" s="554">
        <v>7.2129481222415803</v>
      </c>
      <c r="N19" s="554">
        <v>6.1514000153912729</v>
      </c>
      <c r="O19" s="554">
        <v>5.864659269417305</v>
      </c>
      <c r="P19" s="554">
        <v>8.3349804612475875</v>
      </c>
      <c r="Q19" s="554">
        <v>7.1851088582939093</v>
      </c>
      <c r="R19" s="554">
        <v>8.2286164764983063</v>
      </c>
      <c r="S19" s="554">
        <v>6.9687283485256435</v>
      </c>
      <c r="T19" s="555">
        <v>5.7910391740404688</v>
      </c>
      <c r="U19" s="555">
        <v>4.6840776398835438</v>
      </c>
      <c r="V19" s="555">
        <v>4.3976273026716362</v>
      </c>
      <c r="W19" s="555">
        <v>4.0528140635893051</v>
      </c>
      <c r="X19" s="555">
        <v>4.2889980991377863</v>
      </c>
      <c r="Y19" s="555">
        <v>4.2477078869614937</v>
      </c>
      <c r="Z19" s="555">
        <v>4.3169254438997884</v>
      </c>
      <c r="AA19" s="555">
        <v>4.321476863258944</v>
      </c>
      <c r="AB19" s="555">
        <v>4.2624209806801261</v>
      </c>
      <c r="AC19" s="555">
        <v>4.2218312934001023</v>
      </c>
      <c r="AD19" s="555">
        <v>4.2497975791286224</v>
      </c>
      <c r="AE19" s="555">
        <v>5</v>
      </c>
      <c r="AF19" s="555">
        <v>5</v>
      </c>
      <c r="AG19" s="555">
        <v>5</v>
      </c>
      <c r="AH19" s="555">
        <v>5</v>
      </c>
      <c r="AI19" s="555">
        <v>5</v>
      </c>
      <c r="AJ19" s="555">
        <v>5</v>
      </c>
      <c r="AK19" s="555">
        <v>5</v>
      </c>
      <c r="AL19" s="555">
        <v>5</v>
      </c>
    </row>
    <row r="20" spans="1:39">
      <c r="A20" s="235" t="s">
        <v>280</v>
      </c>
      <c r="B20" s="254">
        <v>2377.0687480498855</v>
      </c>
      <c r="C20" s="254">
        <v>85.039902150314646</v>
      </c>
      <c r="D20" s="254">
        <v>20.533105999999979</v>
      </c>
      <c r="E20" s="254">
        <v>11.793281849056347</v>
      </c>
      <c r="F20" s="254">
        <v>4.9894170840305341</v>
      </c>
      <c r="G20" s="254">
        <v>6.5257911939338609</v>
      </c>
      <c r="H20" s="254">
        <v>10.749513538131982</v>
      </c>
      <c r="I20" s="254">
        <v>10.398971752006393</v>
      </c>
      <c r="J20" s="254">
        <v>13.492139069958897</v>
      </c>
      <c r="K20" s="553">
        <v>15.03077842309726</v>
      </c>
      <c r="L20" s="553">
        <v>14.209249806905973</v>
      </c>
      <c r="M20" s="553">
        <v>10.596966570675548</v>
      </c>
      <c r="N20" s="553">
        <v>10.350128700158677</v>
      </c>
      <c r="O20" s="554">
        <v>12.317591911477649</v>
      </c>
      <c r="P20" s="554">
        <v>13.935139538518882</v>
      </c>
      <c r="Q20" s="554">
        <v>6.8332758394383575</v>
      </c>
      <c r="R20" s="554">
        <v>16.382144251799332</v>
      </c>
      <c r="S20" s="554">
        <v>9.8916587380297898</v>
      </c>
      <c r="T20" s="555">
        <v>7.5419626913290756</v>
      </c>
      <c r="U20" s="555">
        <v>9.2353609424930454</v>
      </c>
      <c r="V20" s="555">
        <v>7.5295561217517957</v>
      </c>
      <c r="W20" s="555">
        <v>7.6946625558149293</v>
      </c>
      <c r="X20" s="555">
        <v>7.9391130326075938</v>
      </c>
      <c r="Y20" s="555">
        <v>7.8963776630051257</v>
      </c>
      <c r="Z20" s="555">
        <v>7.9680178344362815</v>
      </c>
      <c r="AA20" s="555">
        <v>7.9727285534729901</v>
      </c>
      <c r="AB20" s="555">
        <v>7.9116057150039154</v>
      </c>
      <c r="AC20" s="555">
        <v>7.8695953886690972</v>
      </c>
      <c r="AD20" s="555">
        <v>7.8985404943981052</v>
      </c>
      <c r="AE20" s="555">
        <v>8.6749999999999883</v>
      </c>
      <c r="AF20" s="555">
        <v>8.6749999999999883</v>
      </c>
      <c r="AG20" s="555">
        <v>8.6749999999999883</v>
      </c>
      <c r="AH20" s="555">
        <v>8.6749999999999883</v>
      </c>
      <c r="AI20" s="555">
        <v>8.6749999999999883</v>
      </c>
      <c r="AJ20" s="555">
        <v>8.6749999999999883</v>
      </c>
      <c r="AK20" s="555">
        <v>8.6749999999999883</v>
      </c>
      <c r="AL20" s="555">
        <v>8.6749999999999883</v>
      </c>
    </row>
    <row r="21" spans="1:39">
      <c r="A21" s="235" t="s">
        <v>281</v>
      </c>
      <c r="B21" s="254">
        <v>349.204679</v>
      </c>
      <c r="C21" s="254">
        <v>705.64089209187</v>
      </c>
      <c r="D21" s="254">
        <v>843.96563131891003</v>
      </c>
      <c r="E21" s="254">
        <v>939.14661691183994</v>
      </c>
      <c r="F21" s="254">
        <v>979.27574888333993</v>
      </c>
      <c r="G21" s="254">
        <v>1064.9997117990899</v>
      </c>
      <c r="H21" s="254">
        <v>1179.482</v>
      </c>
      <c r="I21" s="254">
        <v>1302.136</v>
      </c>
      <c r="J21" s="254">
        <v>1477.8219999999999</v>
      </c>
      <c r="K21" s="553">
        <v>1699.9490000000001</v>
      </c>
      <c r="L21" s="553">
        <v>1941.499</v>
      </c>
      <c r="M21" s="553">
        <v>2147.239</v>
      </c>
      <c r="N21" s="553">
        <v>2369.4810000000002</v>
      </c>
      <c r="O21" s="553">
        <v>2661.3440000000001</v>
      </c>
      <c r="P21" s="556">
        <v>3032.2060000000001</v>
      </c>
      <c r="Q21" s="556">
        <v>3239.4050000000002</v>
      </c>
      <c r="R21" s="556">
        <v>3770.0889999999999</v>
      </c>
      <c r="S21" s="556">
        <v>4143.0133379999997</v>
      </c>
      <c r="T21" s="557">
        <v>4455.477858248747</v>
      </c>
      <c r="U21" s="557">
        <v>4866.9573201708772</v>
      </c>
      <c r="V21" s="557">
        <v>5233.4176030148501</v>
      </c>
      <c r="W21" s="557">
        <v>5636.1114277034612</v>
      </c>
      <c r="X21" s="557">
        <v>6083.5686845925529</v>
      </c>
      <c r="Y21" s="557">
        <v>6563.9502433162943</v>
      </c>
      <c r="Z21" s="557">
        <v>7086.9669693472606</v>
      </c>
      <c r="AA21" s="557">
        <v>7651.9916084876095</v>
      </c>
      <c r="AB21" s="557">
        <v>8257.3870138963357</v>
      </c>
      <c r="AC21" s="557">
        <v>8907.2099615664829</v>
      </c>
      <c r="AD21" s="557">
        <v>9610.7495473018735</v>
      </c>
      <c r="AE21" s="557">
        <v>10427.663258822533</v>
      </c>
      <c r="AF21" s="557">
        <v>11314.014635822448</v>
      </c>
      <c r="AG21" s="557">
        <v>12275.705879867355</v>
      </c>
      <c r="AH21" s="557">
        <v>13319.140879656079</v>
      </c>
      <c r="AI21" s="557">
        <v>14451.267854426846</v>
      </c>
      <c r="AJ21" s="557">
        <v>15679.625622053127</v>
      </c>
      <c r="AK21" s="557">
        <v>17012.393799927642</v>
      </c>
      <c r="AL21" s="557">
        <v>18458.44727292149</v>
      </c>
    </row>
    <row r="22" spans="1:39">
      <c r="A22" s="235" t="s">
        <v>282</v>
      </c>
      <c r="B22" s="254">
        <v>543.08659</v>
      </c>
      <c r="C22" s="254">
        <v>770.3503199999999</v>
      </c>
      <c r="D22" s="254">
        <v>840.26844999999992</v>
      </c>
      <c r="E22" s="254">
        <v>871.27435000000003</v>
      </c>
      <c r="F22" s="254">
        <v>843.98496</v>
      </c>
      <c r="G22" s="254">
        <v>586.77670000000001</v>
      </c>
      <c r="H22" s="254">
        <v>644.98387000000002</v>
      </c>
      <c r="I22" s="254">
        <v>553.77052000000003</v>
      </c>
      <c r="J22" s="254">
        <v>504.35890000000001</v>
      </c>
      <c r="K22" s="553">
        <v>552.23780530716613</v>
      </c>
      <c r="L22" s="553">
        <v>663.55150217325775</v>
      </c>
      <c r="M22" s="553">
        <v>881.74987231403043</v>
      </c>
      <c r="N22" s="553">
        <v>1088.8558471935794</v>
      </c>
      <c r="O22" s="553">
        <v>1366.2933007864824</v>
      </c>
      <c r="P22" s="556">
        <v>1652.6187285937326</v>
      </c>
      <c r="Q22" s="556">
        <v>1621.6548652520889</v>
      </c>
      <c r="R22" s="556">
        <v>2138.8372321695697</v>
      </c>
      <c r="S22" s="556">
        <v>2473.4839127340224</v>
      </c>
      <c r="T22" s="557">
        <v>2289.7073877300859</v>
      </c>
      <c r="U22" s="557">
        <v>2374.1255220345752</v>
      </c>
      <c r="V22" s="557">
        <v>2438.317211408083</v>
      </c>
      <c r="W22" s="557">
        <v>2508.965683257516</v>
      </c>
      <c r="X22" s="557">
        <v>2581.6059914922243</v>
      </c>
      <c r="Y22" s="557">
        <v>2668.0635527851941</v>
      </c>
      <c r="Z22" s="557">
        <v>2785.3424270545343</v>
      </c>
      <c r="AA22" s="557">
        <v>2921.4842118183569</v>
      </c>
      <c r="AB22" s="557">
        <v>3062.5456515782716</v>
      </c>
      <c r="AC22" s="557">
        <v>3209.1683000093112</v>
      </c>
      <c r="AD22" s="557">
        <v>3363.7130217841068</v>
      </c>
      <c r="AE22" s="557">
        <v>3545.3535249604488</v>
      </c>
      <c r="AF22" s="557">
        <v>3736.8026153083129</v>
      </c>
      <c r="AG22" s="557">
        <v>3938.5899565349605</v>
      </c>
      <c r="AH22" s="557">
        <v>4151.2738141878481</v>
      </c>
      <c r="AI22" s="557">
        <v>4375.4426001539914</v>
      </c>
      <c r="AJ22" s="557">
        <v>4611.7165005623065</v>
      </c>
      <c r="AK22" s="557">
        <v>4860.7491915926712</v>
      </c>
      <c r="AL22" s="557">
        <v>5123.229647938675</v>
      </c>
      <c r="AM22" s="257"/>
    </row>
    <row r="23" spans="1:39">
      <c r="A23" s="235" t="s">
        <v>283</v>
      </c>
      <c r="B23" s="254">
        <v>156.430949</v>
      </c>
      <c r="C23" s="254">
        <v>158.87496300000001</v>
      </c>
      <c r="D23" s="254">
        <v>161.32316900000001</v>
      </c>
      <c r="E23" s="254">
        <v>163.77982700000001</v>
      </c>
      <c r="F23" s="254">
        <v>166.25208799999999</v>
      </c>
      <c r="G23" s="254">
        <v>168.75355200000001</v>
      </c>
      <c r="H23" s="254">
        <v>171.27988199999999</v>
      </c>
      <c r="I23" s="254">
        <v>173.80801</v>
      </c>
      <c r="J23" s="254">
        <v>176.30391900000001</v>
      </c>
      <c r="K23" s="553">
        <v>178.74141200000003</v>
      </c>
      <c r="L23" s="553">
        <v>181.10560100000001</v>
      </c>
      <c r="M23" s="553">
        <v>183.38321599999998</v>
      </c>
      <c r="N23" s="553">
        <v>185.564212</v>
      </c>
      <c r="O23" s="553">
        <v>187.64171400000001</v>
      </c>
      <c r="P23" s="553">
        <v>189.61281400000001</v>
      </c>
      <c r="Q23" s="553">
        <v>191.48062999999999</v>
      </c>
      <c r="R23" s="553">
        <v>193.25260399999999</v>
      </c>
      <c r="S23" s="553">
        <v>194.93268499999999</v>
      </c>
      <c r="T23" s="558">
        <v>196.52629300000001</v>
      </c>
      <c r="U23" s="558">
        <v>198.04331999999999</v>
      </c>
      <c r="V23" s="558">
        <v>199.49243300000001</v>
      </c>
      <c r="W23" s="555">
        <v>200.881685</v>
      </c>
      <c r="X23" s="555">
        <v>202.21906100000001</v>
      </c>
      <c r="Y23" s="555">
        <v>203.51042200000001</v>
      </c>
      <c r="Z23" s="555">
        <v>204.75999300000001</v>
      </c>
      <c r="AA23" s="555">
        <v>205.97018199999999</v>
      </c>
      <c r="AB23" s="555">
        <v>207.14324300000001</v>
      </c>
      <c r="AC23" s="555">
        <v>208.28024099999999</v>
      </c>
      <c r="AD23" s="555">
        <v>209.38033100000001</v>
      </c>
      <c r="AE23" s="555">
        <v>210.441362</v>
      </c>
      <c r="AF23" s="555">
        <v>211.459352</v>
      </c>
      <c r="AG23" s="555">
        <v>212.430049</v>
      </c>
      <c r="AH23" s="555">
        <v>213.34847500000001</v>
      </c>
      <c r="AI23" s="555">
        <v>214.20941400000001</v>
      </c>
      <c r="AJ23" s="555">
        <v>215.008982</v>
      </c>
      <c r="AK23" s="555">
        <v>215.743582</v>
      </c>
      <c r="AL23" s="555">
        <v>216.41003000000001</v>
      </c>
    </row>
    <row r="24" spans="1:39">
      <c r="A24" s="235" t="s">
        <v>284</v>
      </c>
      <c r="B24" s="254">
        <v>3471.7336529103327</v>
      </c>
      <c r="C24" s="254">
        <v>4440.2795549352859</v>
      </c>
      <c r="D24" s="254">
        <v>5208.6036693216702</v>
      </c>
      <c r="E24" s="254">
        <v>5319.7903915236157</v>
      </c>
      <c r="F24" s="254">
        <v>5076.5375049003896</v>
      </c>
      <c r="G24" s="254">
        <v>3477.1220697031608</v>
      </c>
      <c r="H24" s="254">
        <v>3765.6720828427478</v>
      </c>
      <c r="I24" s="254">
        <v>3186.1047140462633</v>
      </c>
      <c r="J24" s="254">
        <v>2860.7356141640844</v>
      </c>
      <c r="K24" s="553">
        <v>3089.5907060819568</v>
      </c>
      <c r="L24" s="553">
        <v>3663.8927703470517</v>
      </c>
      <c r="M24" s="553">
        <v>4808.2364981211285</v>
      </c>
      <c r="N24" s="553">
        <v>5867.8116618390795</v>
      </c>
      <c r="O24" s="553">
        <v>7281.3942681555473</v>
      </c>
      <c r="P24" s="553">
        <v>8715.7544563086994</v>
      </c>
      <c r="Q24" s="553">
        <v>8469.0282523725182</v>
      </c>
      <c r="R24" s="553">
        <v>11067.5726375701</v>
      </c>
      <c r="S24" s="553">
        <v>12688.913163710962</v>
      </c>
      <c r="T24" s="557">
        <v>11650.89593243427</v>
      </c>
      <c r="U24" s="557">
        <v>11987.910130140088</v>
      </c>
      <c r="V24" s="557">
        <v>12222.605011830614</v>
      </c>
      <c r="W24" s="557">
        <v>12489.768209866996</v>
      </c>
      <c r="X24" s="557">
        <v>12766.383043842856</v>
      </c>
      <c r="Y24" s="557">
        <v>13110.205986331226</v>
      </c>
      <c r="Z24" s="557">
        <v>13602.962113084925</v>
      </c>
      <c r="AA24" s="557">
        <v>14184.015295079736</v>
      </c>
      <c r="AB24" s="557">
        <v>14784.675605268338</v>
      </c>
      <c r="AC24" s="557">
        <v>15407.934447364651</v>
      </c>
      <c r="AD24" s="557">
        <v>16065.085988349627</v>
      </c>
      <c r="AE24" s="557">
        <v>16847.227613744722</v>
      </c>
      <c r="AF24" s="557">
        <v>17671.493740831633</v>
      </c>
      <c r="AG24" s="557">
        <v>18540.644203000495</v>
      </c>
      <c r="AH24" s="557">
        <v>19457.714962283408</v>
      </c>
      <c r="AI24" s="557">
        <v>20426.0051808647</v>
      </c>
      <c r="AJ24" s="557">
        <v>21448.948121443158</v>
      </c>
      <c r="AK24" s="557">
        <v>22530.214556244231</v>
      </c>
      <c r="AL24" s="557">
        <v>23673.716268782344</v>
      </c>
    </row>
    <row r="25" spans="1:39">
      <c r="A25" s="235"/>
      <c r="B25" s="254"/>
      <c r="C25" s="254"/>
      <c r="D25" s="254"/>
      <c r="E25" s="254"/>
      <c r="F25" s="254"/>
      <c r="G25" s="254"/>
      <c r="H25" s="254"/>
      <c r="I25" s="254"/>
      <c r="J25" s="254"/>
      <c r="K25" s="552"/>
      <c r="L25" s="254"/>
      <c r="M25" s="254"/>
      <c r="N25" s="254"/>
      <c r="O25" s="254"/>
      <c r="P25" s="258"/>
      <c r="Q25" s="258"/>
      <c r="R25" s="258"/>
      <c r="S25" s="258"/>
      <c r="T25" s="258"/>
      <c r="U25" s="258"/>
      <c r="V25" s="258"/>
      <c r="W25" s="258"/>
      <c r="X25" s="258"/>
      <c r="Y25" s="258"/>
      <c r="Z25" s="258"/>
      <c r="AA25" s="258"/>
      <c r="AB25" s="258"/>
      <c r="AC25" s="258"/>
      <c r="AD25" s="258"/>
      <c r="AE25" s="258"/>
      <c r="AF25" s="258"/>
      <c r="AG25" s="258"/>
      <c r="AH25" s="258"/>
      <c r="AI25" s="258"/>
      <c r="AJ25" s="258"/>
      <c r="AK25" s="258"/>
      <c r="AL25" s="258"/>
    </row>
    <row r="26" spans="1:39">
      <c r="A26" s="248" t="s">
        <v>285</v>
      </c>
      <c r="B26" s="254"/>
      <c r="C26" s="254"/>
      <c r="D26" s="254"/>
      <c r="E26" s="254"/>
      <c r="F26" s="254"/>
      <c r="G26" s="254"/>
      <c r="H26" s="254"/>
      <c r="I26" s="259"/>
      <c r="J26" s="259"/>
      <c r="K26" s="259"/>
      <c r="L26" s="259"/>
      <c r="M26" s="259"/>
      <c r="N26" s="259"/>
      <c r="O26" s="254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  <c r="AA26" s="260"/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1"/>
    </row>
    <row r="27" spans="1:39">
      <c r="A27" s="235" t="s">
        <v>286</v>
      </c>
      <c r="B27" s="262">
        <v>7.6036962702793476</v>
      </c>
      <c r="C27" s="262">
        <v>1.8311993627231793</v>
      </c>
      <c r="D27" s="262">
        <v>1.7305362372761479</v>
      </c>
      <c r="E27" s="262">
        <v>3.8879563378565019</v>
      </c>
      <c r="F27" s="262">
        <v>-2.0264842078658307</v>
      </c>
      <c r="G27" s="262">
        <v>-0.65322744108055053</v>
      </c>
      <c r="H27" s="262">
        <v>6.640143189679959</v>
      </c>
      <c r="I27" s="262">
        <v>1.5775421996886863</v>
      </c>
      <c r="J27" s="262">
        <v>2.7328065203804597</v>
      </c>
      <c r="K27" s="560">
        <v>5.0835451477149185E-2</v>
      </c>
      <c r="L27" s="560">
        <v>8.3044579196374979</v>
      </c>
      <c r="M27" s="560">
        <v>3.0932275083444649</v>
      </c>
      <c r="N27" s="560">
        <v>2.8236154213416187</v>
      </c>
      <c r="O27" s="560">
        <v>6.0167013704990557</v>
      </c>
      <c r="P27" s="561">
        <v>3.1021173507794764</v>
      </c>
      <c r="Q27" s="561">
        <v>-7.3828978023217973</v>
      </c>
      <c r="R27" s="561">
        <v>10.45393303520239</v>
      </c>
      <c r="S27" s="561">
        <v>0.35422573132046775</v>
      </c>
      <c r="T27" s="562">
        <v>-2.3948483531128328</v>
      </c>
      <c r="U27" s="562">
        <v>3.9008013558488042</v>
      </c>
      <c r="V27" s="562">
        <v>2</v>
      </c>
      <c r="W27" s="562">
        <v>2</v>
      </c>
      <c r="X27" s="562">
        <v>2</v>
      </c>
      <c r="Y27" s="562">
        <v>2</v>
      </c>
      <c r="Z27" s="562">
        <v>2</v>
      </c>
      <c r="AA27" s="562">
        <v>2</v>
      </c>
      <c r="AB27" s="562">
        <v>2</v>
      </c>
      <c r="AC27" s="562">
        <v>3.5</v>
      </c>
      <c r="AD27" s="562">
        <v>3.5</v>
      </c>
      <c r="AE27" s="562">
        <v>3.5</v>
      </c>
      <c r="AF27" s="562">
        <v>3.5</v>
      </c>
      <c r="AG27" s="562">
        <v>3.5</v>
      </c>
      <c r="AH27" s="562">
        <v>3.5</v>
      </c>
      <c r="AI27" s="562">
        <v>3.5</v>
      </c>
      <c r="AJ27" s="562">
        <v>3.5</v>
      </c>
      <c r="AK27" s="562">
        <v>3.5</v>
      </c>
      <c r="AL27" s="562">
        <v>3.5</v>
      </c>
      <c r="AM27" s="261"/>
    </row>
    <row r="28" spans="1:39">
      <c r="A28" s="235" t="s">
        <v>287</v>
      </c>
      <c r="B28" s="262"/>
      <c r="C28" s="262"/>
      <c r="D28" s="262"/>
      <c r="E28" s="262"/>
      <c r="F28" s="262"/>
      <c r="G28" s="262"/>
      <c r="H28" s="262"/>
      <c r="I28" s="262">
        <v>-1.572307306050702</v>
      </c>
      <c r="J28" s="262">
        <v>-0.69747791984186014</v>
      </c>
      <c r="K28" s="560">
        <v>-3.6740329274264072</v>
      </c>
      <c r="L28" s="560">
        <v>9.2466666666666697</v>
      </c>
      <c r="M28" s="560">
        <v>4.8231830109232821</v>
      </c>
      <c r="N28" s="560">
        <v>6.1767295643251785</v>
      </c>
      <c r="O28" s="560">
        <v>9.6801387184987995</v>
      </c>
      <c r="P28" s="561">
        <v>9.1257318894464099</v>
      </c>
      <c r="Q28" s="561">
        <v>5.8819824204769944</v>
      </c>
      <c r="R28" s="561">
        <v>10.884931343864768</v>
      </c>
      <c r="S28" s="561">
        <v>6.7</v>
      </c>
      <c r="T28" s="562">
        <v>8.7375338674388736</v>
      </c>
      <c r="U28" s="562">
        <v>6.5</v>
      </c>
      <c r="V28" s="562">
        <v>5</v>
      </c>
      <c r="W28" s="562">
        <v>5</v>
      </c>
      <c r="X28" s="562">
        <v>5</v>
      </c>
      <c r="Y28" s="562">
        <v>5</v>
      </c>
      <c r="Z28" s="562">
        <v>5</v>
      </c>
      <c r="AA28" s="562">
        <v>5</v>
      </c>
      <c r="AB28" s="562">
        <v>5</v>
      </c>
      <c r="AC28" s="562">
        <v>3.5</v>
      </c>
      <c r="AD28" s="562">
        <v>3.5</v>
      </c>
      <c r="AE28" s="562">
        <v>3.5</v>
      </c>
      <c r="AF28" s="562">
        <v>3.5</v>
      </c>
      <c r="AG28" s="562">
        <v>3.5</v>
      </c>
      <c r="AH28" s="562">
        <v>3.5</v>
      </c>
      <c r="AI28" s="562">
        <v>3.5</v>
      </c>
      <c r="AJ28" s="562">
        <v>3.5</v>
      </c>
      <c r="AK28" s="562">
        <v>3.5</v>
      </c>
      <c r="AL28" s="562">
        <v>3.5</v>
      </c>
      <c r="AM28" s="261"/>
    </row>
    <row r="29" spans="1:39">
      <c r="A29" s="235" t="s">
        <v>288</v>
      </c>
      <c r="B29" s="264"/>
      <c r="C29" s="264">
        <v>238902</v>
      </c>
      <c r="D29" s="264">
        <v>252637</v>
      </c>
      <c r="E29" s="264">
        <v>259766</v>
      </c>
      <c r="F29" s="264">
        <v>276905</v>
      </c>
      <c r="G29" s="264">
        <v>288465</v>
      </c>
      <c r="H29" s="264">
        <v>326826</v>
      </c>
      <c r="I29" s="264">
        <v>336374</v>
      </c>
      <c r="J29" s="264">
        <v>384394</v>
      </c>
      <c r="K29" s="563">
        <v>418.25799999999998</v>
      </c>
      <c r="L29" s="563">
        <v>498.72199999999998</v>
      </c>
      <c r="M29" s="563">
        <v>607.02300000000002</v>
      </c>
      <c r="N29" s="563">
        <v>732.58900000000006</v>
      </c>
      <c r="O29" s="563">
        <v>935.97199999999998</v>
      </c>
      <c r="P29" s="563">
        <v>1227.2940000000001</v>
      </c>
      <c r="Q29" s="563">
        <v>1414.3040000000001</v>
      </c>
      <c r="R29" s="563">
        <v>1705.9217015259583</v>
      </c>
      <c r="S29" s="563">
        <v>2030.0567372567002</v>
      </c>
      <c r="T29" s="564">
        <v>2362.6109126875858</v>
      </c>
      <c r="U29" s="564">
        <v>2772.815041846025</v>
      </c>
      <c r="V29" s="564">
        <v>3161.0091477044689</v>
      </c>
      <c r="W29" s="564">
        <v>3571.9403369060497</v>
      </c>
      <c r="X29" s="564">
        <v>3929.1343705966551</v>
      </c>
      <c r="Y29" s="564">
        <v>4322.0478076563213</v>
      </c>
      <c r="Z29" s="564">
        <v>4754.252588421954</v>
      </c>
      <c r="AA29" s="564">
        <v>5229.6778472641499</v>
      </c>
      <c r="AB29" s="564">
        <v>5752.6456319905656</v>
      </c>
      <c r="AC29" s="564">
        <v>6327.9101951896228</v>
      </c>
      <c r="AD29" s="564">
        <v>6960.7012147085852</v>
      </c>
      <c r="AE29" s="564">
        <v>7656.771336179444</v>
      </c>
      <c r="AF29" s="564">
        <v>8422.4484697973894</v>
      </c>
      <c r="AG29" s="564">
        <v>9264.6933167771294</v>
      </c>
      <c r="AH29" s="564">
        <v>10191.162648454843</v>
      </c>
      <c r="AI29" s="564">
        <v>11210.278913300328</v>
      </c>
      <c r="AJ29" s="564">
        <v>12331.306804630362</v>
      </c>
      <c r="AK29" s="564">
        <v>13564.437485093398</v>
      </c>
      <c r="AL29" s="564">
        <v>14920.881233602739</v>
      </c>
      <c r="AM29" s="261"/>
    </row>
    <row r="30" spans="1:39">
      <c r="B30" s="372"/>
      <c r="C30" s="372"/>
      <c r="D30" s="372"/>
      <c r="E30" s="372"/>
      <c r="F30" s="372"/>
      <c r="G30" s="372"/>
      <c r="H30" s="372"/>
      <c r="I30" s="372"/>
      <c r="J30" s="372"/>
      <c r="K30" s="552"/>
      <c r="L30" s="372"/>
      <c r="M30" s="372"/>
      <c r="N30" s="372"/>
      <c r="O30" s="372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263"/>
      <c r="AM30" s="261"/>
    </row>
    <row r="31" spans="1:39">
      <c r="B31" s="372"/>
      <c r="C31" s="372"/>
      <c r="D31" s="372"/>
      <c r="E31" s="372"/>
      <c r="F31" s="372"/>
      <c r="G31" s="372"/>
      <c r="H31" s="372"/>
      <c r="I31" s="372"/>
      <c r="J31" s="372"/>
      <c r="K31" s="552"/>
      <c r="L31" s="372"/>
      <c r="M31" s="372"/>
      <c r="N31" s="372"/>
      <c r="O31" s="372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1"/>
    </row>
    <row r="32" spans="1:39">
      <c r="B32" s="373"/>
      <c r="C32" s="373"/>
      <c r="D32" s="373"/>
      <c r="E32" s="373"/>
      <c r="F32" s="373"/>
      <c r="G32" s="373"/>
      <c r="H32" s="373"/>
      <c r="I32" s="373"/>
      <c r="J32" s="373"/>
      <c r="K32" s="373"/>
      <c r="L32" s="373"/>
      <c r="M32" s="374"/>
      <c r="N32" s="374"/>
      <c r="O32" s="375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  <c r="AA32" s="269"/>
      <c r="AB32" s="269"/>
      <c r="AC32" s="269"/>
      <c r="AD32" s="269"/>
      <c r="AE32" s="269"/>
      <c r="AF32" s="269"/>
      <c r="AG32" s="269"/>
      <c r="AH32" s="269"/>
      <c r="AI32" s="269"/>
      <c r="AJ32" s="269"/>
      <c r="AK32" s="269"/>
      <c r="AL32" s="269"/>
    </row>
    <row r="33" spans="1:38">
      <c r="A33" s="248" t="s">
        <v>289</v>
      </c>
      <c r="B33" s="270"/>
      <c r="C33" s="270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68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</row>
    <row r="34" spans="1:38">
      <c r="A34" s="235" t="s">
        <v>290</v>
      </c>
      <c r="B34" s="254" t="s">
        <v>260</v>
      </c>
      <c r="C34" s="254" t="s">
        <v>260</v>
      </c>
      <c r="D34" s="254">
        <v>-2.2812491095614007</v>
      </c>
      <c r="E34" s="254">
        <v>1.8978499271445459</v>
      </c>
      <c r="F34" s="254">
        <v>0.91099418912097274</v>
      </c>
      <c r="G34" s="254">
        <v>2.4485845848511545</v>
      </c>
      <c r="H34" s="254">
        <v>2.6381002323797142</v>
      </c>
      <c r="I34" s="254">
        <v>2.5702933183748389</v>
      </c>
      <c r="J34" s="254">
        <v>4.639489517347406</v>
      </c>
      <c r="K34" s="567">
        <v>8.4040927286771261</v>
      </c>
      <c r="L34" s="567">
        <v>1.8766822173166942</v>
      </c>
      <c r="M34" s="567">
        <v>0.77914115737893752</v>
      </c>
      <c r="N34" s="567">
        <v>2.0580842158097079</v>
      </c>
      <c r="O34" s="567">
        <v>1.786553165761573</v>
      </c>
      <c r="P34" s="568">
        <v>1.7731077501645043</v>
      </c>
      <c r="Q34" s="568">
        <v>0.93298822898824074</v>
      </c>
      <c r="R34" s="568">
        <v>1.9974319093622794</v>
      </c>
      <c r="S34" s="568">
        <v>2.0594189261726514</v>
      </c>
      <c r="T34" s="569">
        <v>1.70273544073547</v>
      </c>
      <c r="U34" s="569">
        <v>2.5</v>
      </c>
      <c r="V34" s="569">
        <v>1.2</v>
      </c>
      <c r="W34" s="569">
        <v>1.1000000000000001</v>
      </c>
      <c r="X34" s="569">
        <v>1.1000000000000001</v>
      </c>
      <c r="Y34" s="569">
        <v>1.1000000000000001</v>
      </c>
      <c r="Z34" s="569">
        <v>1.1000000000000001</v>
      </c>
      <c r="AA34" s="569">
        <v>1.1000000000000001</v>
      </c>
      <c r="AB34" s="569">
        <v>1.1000000000000001</v>
      </c>
      <c r="AC34" s="569">
        <v>1.1000000000000001</v>
      </c>
      <c r="AD34" s="569">
        <v>1.1000000000000001</v>
      </c>
      <c r="AE34" s="569">
        <v>1.1000000000000001</v>
      </c>
      <c r="AF34" s="569">
        <v>1.1000000000000001</v>
      </c>
      <c r="AG34" s="569">
        <v>1.1000000000000001</v>
      </c>
      <c r="AH34" s="569">
        <v>1.1000000000000001</v>
      </c>
      <c r="AI34" s="569">
        <v>1.1000000000000001</v>
      </c>
      <c r="AJ34" s="569">
        <v>1.1000000000000001</v>
      </c>
      <c r="AK34" s="569">
        <v>1.1000000000000001</v>
      </c>
      <c r="AL34" s="569">
        <v>1.1000000000000001</v>
      </c>
    </row>
    <row r="35" spans="1:38">
      <c r="A35" s="235" t="s">
        <v>291</v>
      </c>
      <c r="B35" s="254" t="s">
        <v>260</v>
      </c>
      <c r="C35" s="254" t="s">
        <v>260</v>
      </c>
      <c r="D35" s="254" t="s">
        <v>260</v>
      </c>
      <c r="E35" s="254" t="s">
        <v>260</v>
      </c>
      <c r="F35" s="254" t="s">
        <v>260</v>
      </c>
      <c r="G35" s="254" t="s">
        <v>260</v>
      </c>
      <c r="H35" s="254" t="s">
        <v>260</v>
      </c>
      <c r="I35" s="254" t="s">
        <v>260</v>
      </c>
      <c r="J35" s="254" t="s">
        <v>260</v>
      </c>
      <c r="K35" s="567">
        <v>-12.467273029791359</v>
      </c>
      <c r="L35" s="567">
        <v>0.15754303959971683</v>
      </c>
      <c r="M35" s="567">
        <v>2.3768472987354183</v>
      </c>
      <c r="N35" s="567">
        <v>4.4125115649857438</v>
      </c>
      <c r="O35" s="567">
        <v>3.5455053042992901</v>
      </c>
      <c r="P35" s="568">
        <v>3.9155263479831781</v>
      </c>
      <c r="Q35" s="568">
        <v>2.3835608140041931</v>
      </c>
      <c r="R35" s="568">
        <v>4.4353224930464341</v>
      </c>
      <c r="S35" s="568">
        <v>3.1039654704781539</v>
      </c>
      <c r="T35" s="569">
        <v>4.4883712878956539</v>
      </c>
      <c r="U35" s="569">
        <v>3</v>
      </c>
      <c r="V35" s="569">
        <v>1.5</v>
      </c>
      <c r="W35" s="569">
        <v>1.2</v>
      </c>
      <c r="X35" s="569">
        <v>1</v>
      </c>
      <c r="Y35" s="569">
        <v>1</v>
      </c>
      <c r="Z35" s="569">
        <v>1</v>
      </c>
      <c r="AA35" s="569">
        <v>1</v>
      </c>
      <c r="AB35" s="569">
        <v>1</v>
      </c>
      <c r="AC35" s="569">
        <v>1</v>
      </c>
      <c r="AD35" s="569">
        <v>1</v>
      </c>
      <c r="AE35" s="569">
        <v>1</v>
      </c>
      <c r="AF35" s="569">
        <v>1</v>
      </c>
      <c r="AG35" s="569">
        <v>1</v>
      </c>
      <c r="AH35" s="569">
        <v>1</v>
      </c>
      <c r="AI35" s="569">
        <v>1</v>
      </c>
      <c r="AJ35" s="569">
        <v>1</v>
      </c>
      <c r="AK35" s="569">
        <v>1</v>
      </c>
      <c r="AL35" s="569">
        <v>1</v>
      </c>
    </row>
    <row r="36" spans="1:38">
      <c r="A36" s="235" t="s">
        <v>292</v>
      </c>
      <c r="B36" s="254" t="s">
        <v>260</v>
      </c>
      <c r="C36" s="254" t="s">
        <v>260</v>
      </c>
      <c r="D36" s="254" t="s">
        <v>260</v>
      </c>
      <c r="E36" s="254" t="s">
        <v>260</v>
      </c>
      <c r="F36" s="254" t="s">
        <v>260</v>
      </c>
      <c r="G36" s="254" t="s">
        <v>260</v>
      </c>
      <c r="H36" s="254" t="s">
        <v>260</v>
      </c>
      <c r="I36" s="254">
        <v>11.266666666666666</v>
      </c>
      <c r="J36" s="254">
        <v>11.683333333333335</v>
      </c>
      <c r="K36" s="567">
        <v>12.338566553106944</v>
      </c>
      <c r="L36" s="567">
        <v>11.491944654810956</v>
      </c>
      <c r="M36" s="567">
        <v>9.8607315766838912</v>
      </c>
      <c r="N36" s="567">
        <v>9.9965719400067101</v>
      </c>
      <c r="O36" s="567">
        <v>9.3223671151813896</v>
      </c>
      <c r="P36" s="568">
        <v>7.9069247671684151</v>
      </c>
      <c r="Q36" s="568">
        <v>8.09052505327573</v>
      </c>
      <c r="R36" s="568">
        <v>6.7433154768351811</v>
      </c>
      <c r="S36" s="568">
        <v>5.9750000000000005</v>
      </c>
      <c r="T36" s="569">
        <v>5.7395728449164878</v>
      </c>
      <c r="U36" s="569">
        <v>6.3944786220735423</v>
      </c>
      <c r="V36" s="569">
        <v>6.5</v>
      </c>
      <c r="W36" s="569">
        <v>6.5</v>
      </c>
      <c r="X36" s="569">
        <v>6.5</v>
      </c>
      <c r="Y36" s="569">
        <v>6.5</v>
      </c>
      <c r="Z36" s="569">
        <v>6.5</v>
      </c>
      <c r="AA36" s="569">
        <v>6.5</v>
      </c>
      <c r="AB36" s="569">
        <v>6.5</v>
      </c>
      <c r="AC36" s="569">
        <v>6.5</v>
      </c>
      <c r="AD36" s="569">
        <v>6.5</v>
      </c>
      <c r="AE36" s="569">
        <v>6.5</v>
      </c>
      <c r="AF36" s="569">
        <v>6.5</v>
      </c>
      <c r="AG36" s="569">
        <v>6.5</v>
      </c>
      <c r="AH36" s="569">
        <v>6.5</v>
      </c>
      <c r="AI36" s="569">
        <v>6.5</v>
      </c>
      <c r="AJ36" s="569">
        <v>6.5</v>
      </c>
      <c r="AK36" s="569">
        <v>6.5</v>
      </c>
      <c r="AL36" s="569">
        <v>6.5</v>
      </c>
    </row>
    <row r="37" spans="1:38">
      <c r="A37" s="235" t="s">
        <v>293</v>
      </c>
      <c r="B37" s="254" t="s">
        <v>260</v>
      </c>
      <c r="C37" s="254" t="s">
        <v>260</v>
      </c>
      <c r="D37" s="254" t="s">
        <v>260</v>
      </c>
      <c r="E37" s="254" t="s">
        <v>260</v>
      </c>
      <c r="F37" s="254" t="s">
        <v>260</v>
      </c>
      <c r="G37" s="254" t="s">
        <v>260</v>
      </c>
      <c r="H37" s="254" t="s">
        <v>260</v>
      </c>
      <c r="I37" s="254" t="s">
        <v>260</v>
      </c>
      <c r="J37" s="254" t="s">
        <v>260</v>
      </c>
      <c r="K37" s="567" t="s">
        <v>260</v>
      </c>
      <c r="L37" s="567">
        <v>3.0815889304735222</v>
      </c>
      <c r="M37" s="567">
        <v>5.0643310062127966</v>
      </c>
      <c r="N37" s="567">
        <v>6.4223306215004383</v>
      </c>
      <c r="O37" s="567">
        <v>6.1836476204366164</v>
      </c>
      <c r="P37" s="568">
        <v>7.4055185527480027</v>
      </c>
      <c r="Q37" s="568">
        <v>3.1333778681884139</v>
      </c>
      <c r="R37" s="568">
        <v>8.0860366928853686</v>
      </c>
      <c r="S37" s="568">
        <v>4.8589347903574609</v>
      </c>
      <c r="T37" s="569">
        <v>6.3575776009491491</v>
      </c>
      <c r="U37" s="569">
        <v>5.5749999999999966</v>
      </c>
      <c r="V37" s="569">
        <v>2.7179999999999982</v>
      </c>
      <c r="W37" s="569">
        <v>2.313199999999993</v>
      </c>
      <c r="X37" s="569">
        <v>2.1109999999999962</v>
      </c>
      <c r="Y37" s="569">
        <v>2.1109999999999962</v>
      </c>
      <c r="Z37" s="569">
        <v>2.1109999999999962</v>
      </c>
      <c r="AA37" s="569">
        <v>2.1109999999999962</v>
      </c>
      <c r="AB37" s="569">
        <v>2.1109999999999962</v>
      </c>
      <c r="AC37" s="569">
        <v>2.1109999999999962</v>
      </c>
      <c r="AD37" s="569">
        <v>2.1109999999999962</v>
      </c>
      <c r="AE37" s="569">
        <v>2.1109999999999962</v>
      </c>
      <c r="AF37" s="569">
        <v>2.1109999999999962</v>
      </c>
      <c r="AG37" s="569">
        <v>2.1109999999999962</v>
      </c>
      <c r="AH37" s="569">
        <v>2.1109999999999962</v>
      </c>
      <c r="AI37" s="569">
        <v>2.1109999999999962</v>
      </c>
      <c r="AJ37" s="569">
        <v>2.1109999999999962</v>
      </c>
      <c r="AK37" s="569">
        <v>2.1109999999999962</v>
      </c>
      <c r="AL37" s="569">
        <v>2.1109999999999962</v>
      </c>
    </row>
    <row r="38" spans="1:38">
      <c r="A38" s="235"/>
      <c r="B38" s="266"/>
      <c r="C38" s="266"/>
      <c r="D38" s="266"/>
      <c r="E38" s="266"/>
      <c r="F38" s="266"/>
      <c r="G38" s="266"/>
      <c r="H38" s="266"/>
      <c r="I38" s="266"/>
      <c r="J38" s="266"/>
      <c r="K38" s="266"/>
      <c r="L38" s="254"/>
      <c r="M38" s="254"/>
      <c r="N38" s="254"/>
      <c r="O38" s="254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</row>
    <row r="39" spans="1:38">
      <c r="A39" s="248" t="s">
        <v>294</v>
      </c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54"/>
      <c r="P39" s="274"/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  <c r="AB39" s="275"/>
      <c r="AC39" s="275"/>
      <c r="AD39" s="275"/>
      <c r="AE39" s="275"/>
      <c r="AF39" s="275"/>
      <c r="AG39" s="275"/>
      <c r="AH39" s="275"/>
      <c r="AI39" s="275"/>
      <c r="AJ39" s="275"/>
      <c r="AK39" s="275"/>
      <c r="AL39" s="275"/>
    </row>
    <row r="40" spans="1:38">
      <c r="A40" s="230" t="s">
        <v>295</v>
      </c>
      <c r="B40" s="276"/>
      <c r="C40" s="276"/>
      <c r="D40" s="276"/>
      <c r="E40" s="276"/>
      <c r="F40" s="276"/>
      <c r="G40" s="276"/>
      <c r="H40" s="276"/>
      <c r="I40" s="276"/>
      <c r="J40" s="276"/>
      <c r="K40" s="276"/>
      <c r="L40" s="276"/>
      <c r="M40" s="276"/>
      <c r="N40" s="276"/>
      <c r="O40" s="276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72"/>
      <c r="AE40" s="272"/>
      <c r="AF40" s="272"/>
      <c r="AG40" s="272"/>
      <c r="AH40" s="272"/>
      <c r="AI40" s="272"/>
      <c r="AJ40" s="272"/>
      <c r="AK40" s="272"/>
      <c r="AL40" s="272"/>
    </row>
    <row r="41" spans="1:38">
      <c r="A41" s="235" t="s">
        <v>296</v>
      </c>
      <c r="B41" s="254">
        <v>916.4328636176823</v>
      </c>
      <c r="C41" s="254">
        <v>22.408880161162557</v>
      </c>
      <c r="D41" s="254">
        <v>9.5638055632826013</v>
      </c>
      <c r="E41" s="254">
        <v>5.2247318164489354</v>
      </c>
      <c r="F41" s="254">
        <v>1.6556441670207089</v>
      </c>
      <c r="G41" s="254">
        <v>8.9399345060104949</v>
      </c>
      <c r="H41" s="254">
        <v>5.9743393932599531</v>
      </c>
      <c r="I41" s="254">
        <v>7.6732630151519876</v>
      </c>
      <c r="J41" s="254">
        <v>12.530337079575048</v>
      </c>
      <c r="K41" s="553">
        <v>9.3005479911279174</v>
      </c>
      <c r="L41" s="553">
        <v>7.5994612057743272</v>
      </c>
      <c r="M41" s="553">
        <v>5.6892268187350936</v>
      </c>
      <c r="N41" s="553">
        <v>3.1415161315768714</v>
      </c>
      <c r="O41" s="553">
        <v>4.4574853253283919</v>
      </c>
      <c r="P41" s="568">
        <v>5.9023134175255176</v>
      </c>
      <c r="Q41" s="568">
        <v>4.3120283296899764</v>
      </c>
      <c r="R41" s="568">
        <v>5.9090683472662109</v>
      </c>
      <c r="S41" s="568">
        <v>6.5031090406288516</v>
      </c>
      <c r="T41" s="569">
        <v>5.4920247413767109</v>
      </c>
      <c r="U41" s="569">
        <v>6.0795968303411163</v>
      </c>
      <c r="V41" s="569">
        <v>6.5</v>
      </c>
      <c r="W41" s="569">
        <v>7</v>
      </c>
      <c r="X41" s="569">
        <v>7</v>
      </c>
      <c r="Y41" s="569">
        <v>6</v>
      </c>
      <c r="Z41" s="569">
        <v>5</v>
      </c>
      <c r="AA41" s="569">
        <v>5</v>
      </c>
      <c r="AB41" s="569">
        <v>5</v>
      </c>
      <c r="AC41" s="569">
        <v>5</v>
      </c>
      <c r="AD41" s="569">
        <v>5</v>
      </c>
      <c r="AE41" s="569">
        <v>5</v>
      </c>
      <c r="AF41" s="569">
        <v>5</v>
      </c>
      <c r="AG41" s="569">
        <v>5</v>
      </c>
      <c r="AH41" s="569">
        <v>5</v>
      </c>
      <c r="AI41" s="569">
        <v>5</v>
      </c>
      <c r="AJ41" s="569">
        <v>5</v>
      </c>
      <c r="AK41" s="569">
        <v>5</v>
      </c>
      <c r="AL41" s="569">
        <v>5</v>
      </c>
    </row>
    <row r="42" spans="1:38">
      <c r="A42" s="235" t="s">
        <v>1</v>
      </c>
      <c r="B42" s="254">
        <v>869.7444168958109</v>
      </c>
      <c r="C42" s="254">
        <v>15.238139575174991</v>
      </c>
      <c r="D42" s="254">
        <v>9.1875237649839079</v>
      </c>
      <c r="E42" s="254">
        <v>7.7391969128695504</v>
      </c>
      <c r="F42" s="254">
        <v>1.7881160630846216</v>
      </c>
      <c r="G42" s="254">
        <v>20.101910537598645</v>
      </c>
      <c r="H42" s="254">
        <v>9.9562062905069091</v>
      </c>
      <c r="I42" s="254">
        <v>10.372331562315452</v>
      </c>
      <c r="J42" s="254">
        <v>25.30971254694019</v>
      </c>
      <c r="K42" s="553">
        <v>8.708332871852221</v>
      </c>
      <c r="L42" s="553">
        <v>12.412762561342138</v>
      </c>
      <c r="M42" s="553">
        <v>1.208743070346352</v>
      </c>
      <c r="N42" s="553">
        <v>3.8315731658537411</v>
      </c>
      <c r="O42" s="553">
        <v>7.7543827369897844</v>
      </c>
      <c r="P42" s="568">
        <v>9.8075050358176661</v>
      </c>
      <c r="Q42" s="568">
        <v>-1.7192492255360459</v>
      </c>
      <c r="R42" s="568">
        <v>11.322017324473933</v>
      </c>
      <c r="S42" s="568">
        <v>5.0977446141180272</v>
      </c>
      <c r="T42" s="571">
        <v>7.9741057914227031</v>
      </c>
      <c r="U42" s="569">
        <v>6.5410230674113778</v>
      </c>
      <c r="V42" s="569">
        <v>7</v>
      </c>
      <c r="W42" s="569">
        <v>7.5</v>
      </c>
      <c r="X42" s="569">
        <v>7.5</v>
      </c>
      <c r="Y42" s="569">
        <v>6.5</v>
      </c>
      <c r="Z42" s="569">
        <v>5.5</v>
      </c>
      <c r="AA42" s="569">
        <v>5.5</v>
      </c>
      <c r="AB42" s="569">
        <v>5.5</v>
      </c>
      <c r="AC42" s="569">
        <v>5.5</v>
      </c>
      <c r="AD42" s="569">
        <v>5.5</v>
      </c>
      <c r="AE42" s="569">
        <v>5.5</v>
      </c>
      <c r="AF42" s="569">
        <v>5.5</v>
      </c>
      <c r="AG42" s="569">
        <v>5.5</v>
      </c>
      <c r="AH42" s="569">
        <v>5.5</v>
      </c>
      <c r="AI42" s="569">
        <v>5.5</v>
      </c>
      <c r="AJ42" s="569">
        <v>5.5</v>
      </c>
      <c r="AK42" s="569">
        <v>5.5</v>
      </c>
      <c r="AL42" s="569">
        <v>5.5</v>
      </c>
    </row>
    <row r="43" spans="1:38">
      <c r="A43" s="235"/>
      <c r="B43" s="267"/>
      <c r="C43" s="267"/>
      <c r="D43" s="267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54"/>
      <c r="P43" s="272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</row>
    <row r="44" spans="1:38">
      <c r="A44" s="247" t="s">
        <v>297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  <c r="M44" s="276"/>
      <c r="N44" s="276"/>
      <c r="O44" s="276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  <c r="AB44" s="275"/>
      <c r="AC44" s="275"/>
      <c r="AD44" s="275"/>
      <c r="AE44" s="275"/>
      <c r="AF44" s="275"/>
      <c r="AG44" s="275"/>
      <c r="AH44" s="275"/>
      <c r="AI44" s="275"/>
      <c r="AJ44" s="275"/>
      <c r="AK44" s="275"/>
      <c r="AL44" s="275"/>
    </row>
    <row r="45" spans="1:38">
      <c r="A45" s="235" t="s">
        <v>298</v>
      </c>
      <c r="B45" s="259">
        <v>0.84599999999999997</v>
      </c>
      <c r="C45" s="259">
        <v>0.97250000000000003</v>
      </c>
      <c r="D45" s="259">
        <v>1.0394000000000001</v>
      </c>
      <c r="E45" s="259">
        <v>1.1164000000000001</v>
      </c>
      <c r="F45" s="259">
        <v>1.2087000000000001</v>
      </c>
      <c r="G45" s="259">
        <v>1.7889999999999999</v>
      </c>
      <c r="H45" s="259">
        <v>1.9554</v>
      </c>
      <c r="I45" s="259">
        <v>2.3203999999999998</v>
      </c>
      <c r="J45" s="259">
        <v>3.5333000000000001</v>
      </c>
      <c r="K45" s="559">
        <v>2.8892000000000002</v>
      </c>
      <c r="L45" s="559">
        <v>2.6543999999999999</v>
      </c>
      <c r="M45" s="559">
        <v>2.3407</v>
      </c>
      <c r="N45" s="559">
        <v>2.1379999999999999</v>
      </c>
      <c r="O45" s="559">
        <v>1.7713000000000001</v>
      </c>
      <c r="P45" s="572">
        <v>2.3370000000000002</v>
      </c>
      <c r="Q45" s="572">
        <v>1.7412000000000001</v>
      </c>
      <c r="R45" s="572">
        <v>1.6661999999999999</v>
      </c>
      <c r="S45" s="572">
        <v>1.8757999999999999</v>
      </c>
      <c r="T45" s="573">
        <v>2</v>
      </c>
      <c r="U45" s="573">
        <v>2.1</v>
      </c>
      <c r="V45" s="573">
        <v>2.1926470588235292</v>
      </c>
      <c r="W45" s="573">
        <v>2.3001297577854669</v>
      </c>
      <c r="X45" s="573">
        <v>2.4128812165004407</v>
      </c>
      <c r="Y45" s="573">
        <v>2.5075040093043799</v>
      </c>
      <c r="Z45" s="573">
        <v>2.5812541272250971</v>
      </c>
      <c r="AA45" s="573">
        <v>2.6571733662611297</v>
      </c>
      <c r="AB45" s="573">
        <v>2.7353255240923393</v>
      </c>
      <c r="AC45" s="573">
        <v>2.8157762748009376</v>
      </c>
      <c r="AD45" s="573">
        <v>2.8985932240597889</v>
      </c>
      <c r="AE45" s="573">
        <v>2.9838459659439005</v>
      </c>
      <c r="AF45" s="573">
        <v>3.0716061414128388</v>
      </c>
      <c r="AG45" s="573">
        <v>3.1619474985132165</v>
      </c>
      <c r="AH45" s="573">
        <v>3.2549459543518404</v>
      </c>
      <c r="AI45" s="573">
        <v>3.3506796588916008</v>
      </c>
      <c r="AJ45" s="573">
        <v>3.4492290606237068</v>
      </c>
      <c r="AK45" s="573">
        <v>3.5506769741714632</v>
      </c>
      <c r="AL45" s="573">
        <v>3.6551086498823886</v>
      </c>
    </row>
    <row r="46" spans="1:38">
      <c r="A46" s="235" t="s">
        <v>299</v>
      </c>
      <c r="B46" s="259" t="s">
        <v>260</v>
      </c>
      <c r="C46" s="259">
        <v>14.952718676122934</v>
      </c>
      <c r="D46" s="259">
        <v>6.8791773778920318</v>
      </c>
      <c r="E46" s="259">
        <v>7.4081200692707183</v>
      </c>
      <c r="F46" s="259">
        <v>8.2676460050161271</v>
      </c>
      <c r="G46" s="259">
        <v>48.010258955903005</v>
      </c>
      <c r="H46" s="259">
        <v>9.3012856344326433</v>
      </c>
      <c r="I46" s="259">
        <v>18.66625754321365</v>
      </c>
      <c r="J46" s="259">
        <v>52.271160144802643</v>
      </c>
      <c r="K46" s="559">
        <v>-18.229417258653381</v>
      </c>
      <c r="L46" s="559">
        <v>-8.1268171120033372</v>
      </c>
      <c r="M46" s="559">
        <v>-11.818113321277879</v>
      </c>
      <c r="N46" s="559">
        <v>-8.6598026231469287</v>
      </c>
      <c r="O46" s="559">
        <v>-17.151543498596812</v>
      </c>
      <c r="P46" s="574">
        <v>31.936995427087457</v>
      </c>
      <c r="Q46" s="574">
        <v>-25.494223363286274</v>
      </c>
      <c r="R46" s="574">
        <v>-4.2853860294117645</v>
      </c>
      <c r="S46" s="574">
        <v>12.579522266234555</v>
      </c>
      <c r="T46" s="575">
        <v>6.6211749653481311</v>
      </c>
      <c r="U46" s="575">
        <v>5.0000000000000044</v>
      </c>
      <c r="V46" s="575">
        <v>4.4117647058823373</v>
      </c>
      <c r="W46" s="575">
        <v>4.9019607843137303</v>
      </c>
      <c r="X46" s="575">
        <v>4.9019607843137303</v>
      </c>
      <c r="Y46" s="575">
        <v>3.9215686274509887</v>
      </c>
      <c r="Z46" s="575">
        <v>2.941176470588247</v>
      </c>
      <c r="AA46" s="575">
        <v>2.941176470588247</v>
      </c>
      <c r="AB46" s="575">
        <v>2.9411764705882248</v>
      </c>
      <c r="AC46" s="575">
        <v>2.941176470588247</v>
      </c>
      <c r="AD46" s="575">
        <v>2.941176470588247</v>
      </c>
      <c r="AE46" s="575">
        <v>2.941176470588247</v>
      </c>
      <c r="AF46" s="575">
        <v>2.941176470588247</v>
      </c>
      <c r="AG46" s="575">
        <v>2.941176470588247</v>
      </c>
      <c r="AH46" s="575">
        <v>2.9411764705882248</v>
      </c>
      <c r="AI46" s="575">
        <v>2.941176470588247</v>
      </c>
      <c r="AJ46" s="575">
        <v>2.941176470588247</v>
      </c>
      <c r="AK46" s="575">
        <v>2.941176470588247</v>
      </c>
      <c r="AL46" s="575">
        <v>2.9411764705882248</v>
      </c>
    </row>
    <row r="47" spans="1:38">
      <c r="A47" s="235" t="s">
        <v>263</v>
      </c>
      <c r="B47" s="259">
        <v>0.64500000000000002</v>
      </c>
      <c r="C47" s="259">
        <v>0.92409090909090918</v>
      </c>
      <c r="D47" s="259">
        <v>1.0050749999999999</v>
      </c>
      <c r="E47" s="259">
        <v>1.0779916666666667</v>
      </c>
      <c r="F47" s="259">
        <v>1.1605141666666665</v>
      </c>
      <c r="G47" s="259">
        <v>1.851</v>
      </c>
      <c r="H47" s="259">
        <v>1.835</v>
      </c>
      <c r="I47" s="259">
        <v>2.3530000000000002</v>
      </c>
      <c r="J47" s="259">
        <v>2.9214000000000002</v>
      </c>
      <c r="K47" s="559">
        <v>3.071526086956522</v>
      </c>
      <c r="L47" s="559">
        <v>2.9249320158102763</v>
      </c>
      <c r="M47" s="559">
        <v>2.4340872509960145</v>
      </c>
      <c r="N47" s="559">
        <v>2.177</v>
      </c>
      <c r="O47" s="559">
        <v>1.948</v>
      </c>
      <c r="P47" s="572">
        <v>1.8374673228346452</v>
      </c>
      <c r="Q47" s="572">
        <v>1.9935491999999999</v>
      </c>
      <c r="R47" s="572">
        <v>1.7600541666666665</v>
      </c>
      <c r="S47" s="572">
        <v>1.6749708040027607</v>
      </c>
      <c r="T47" s="573">
        <v>1.9458721590909089</v>
      </c>
      <c r="U47" s="573">
        <v>2.0499999999999994</v>
      </c>
      <c r="V47" s="573">
        <v>2.1463235294117653</v>
      </c>
      <c r="W47" s="573">
        <v>2.2463884083044992</v>
      </c>
      <c r="X47" s="573">
        <v>2.3565054871429538</v>
      </c>
      <c r="Y47" s="573">
        <v>2.4601926129024103</v>
      </c>
      <c r="Z47" s="573">
        <v>2.5443790682647385</v>
      </c>
      <c r="AA47" s="573">
        <v>2.6192137467431134</v>
      </c>
      <c r="AB47" s="573">
        <v>2.6962494451767345</v>
      </c>
      <c r="AC47" s="573">
        <v>2.7755508994466385</v>
      </c>
      <c r="AD47" s="573">
        <v>2.8571847494303633</v>
      </c>
      <c r="AE47" s="573">
        <v>2.9412195950018445</v>
      </c>
      <c r="AF47" s="573">
        <v>3.0277260536783697</v>
      </c>
      <c r="AG47" s="573">
        <v>3.1167768199630279</v>
      </c>
      <c r="AH47" s="573">
        <v>3.2084467264325287</v>
      </c>
      <c r="AI47" s="573">
        <v>3.3028128066217208</v>
      </c>
      <c r="AJ47" s="573">
        <v>3.399954359757654</v>
      </c>
      <c r="AK47" s="573">
        <v>3.4999530173975852</v>
      </c>
      <c r="AL47" s="573">
        <v>3.6028928120269259</v>
      </c>
    </row>
    <row r="48" spans="1:38">
      <c r="A48" s="235" t="s">
        <v>300</v>
      </c>
      <c r="B48" s="259"/>
      <c r="C48" s="254"/>
      <c r="D48" s="254"/>
      <c r="E48" s="254"/>
      <c r="F48" s="254"/>
      <c r="G48" s="254"/>
      <c r="H48" s="254"/>
      <c r="I48" s="254"/>
      <c r="J48" s="259">
        <v>4.34525234</v>
      </c>
      <c r="K48" s="559">
        <v>3.6389474000000006</v>
      </c>
      <c r="L48" s="559">
        <v>3.5977737599999995</v>
      </c>
      <c r="M48" s="559">
        <v>2.7734954300000001</v>
      </c>
      <c r="N48" s="559">
        <v>2.8215186000000001</v>
      </c>
      <c r="O48" s="559">
        <v>2.5841495700000001</v>
      </c>
      <c r="P48" s="572">
        <v>3.2650227000000003</v>
      </c>
      <c r="Q48" s="572">
        <v>2.4935725199999998</v>
      </c>
      <c r="R48" s="572">
        <v>2.23004208</v>
      </c>
      <c r="S48" s="572">
        <v>2.4306616399999998</v>
      </c>
      <c r="T48" s="573">
        <v>2.56</v>
      </c>
      <c r="U48" s="573">
        <v>2.8140000000000005</v>
      </c>
      <c r="V48" s="573">
        <v>2.9381470588235294</v>
      </c>
      <c r="W48" s="573">
        <v>3.0821738754325256</v>
      </c>
      <c r="X48" s="573">
        <v>3.233260830110591</v>
      </c>
      <c r="Y48" s="573">
        <v>3.3600553724678695</v>
      </c>
      <c r="Z48" s="573">
        <v>3.4588805304816304</v>
      </c>
      <c r="AA48" s="573">
        <v>3.5606123107899141</v>
      </c>
      <c r="AB48" s="573">
        <v>3.665336202283735</v>
      </c>
      <c r="AC48" s="573">
        <v>3.7731402082332566</v>
      </c>
      <c r="AD48" s="573">
        <v>3.8841149202401173</v>
      </c>
      <c r="AE48" s="573">
        <v>3.998353594364827</v>
      </c>
      <c r="AF48" s="573">
        <v>4.1159522294932041</v>
      </c>
      <c r="AG48" s="573">
        <v>4.2370096480077102</v>
      </c>
      <c r="AH48" s="573">
        <v>4.3616275788314667</v>
      </c>
      <c r="AI48" s="573">
        <v>4.4899107429147449</v>
      </c>
      <c r="AJ48" s="573">
        <v>4.6219669412357671</v>
      </c>
      <c r="AK48" s="573">
        <v>4.757907145389761</v>
      </c>
      <c r="AL48" s="573">
        <v>4.897845590842401</v>
      </c>
    </row>
    <row r="49" spans="1:256">
      <c r="B49" s="276"/>
      <c r="C49" s="276"/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8"/>
      <c r="P49" s="279"/>
      <c r="Q49" s="275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275"/>
      <c r="AC49" s="275"/>
      <c r="AD49" s="275"/>
      <c r="AE49" s="275"/>
      <c r="AF49" s="275"/>
      <c r="AG49" s="275"/>
      <c r="AH49" s="275"/>
      <c r="AI49" s="275"/>
      <c r="AJ49" s="275"/>
      <c r="AK49" s="275"/>
      <c r="AL49" s="275"/>
    </row>
    <row r="50" spans="1:256">
      <c r="A50" s="248" t="s">
        <v>301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75"/>
      <c r="Q50" s="28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275"/>
      <c r="AC50" s="275"/>
      <c r="AD50" s="275"/>
      <c r="AE50" s="275"/>
      <c r="AF50" s="275"/>
      <c r="AG50" s="275"/>
      <c r="AH50" s="275"/>
      <c r="AI50" s="275"/>
      <c r="AJ50" s="275"/>
      <c r="AK50" s="275"/>
      <c r="AL50" s="275"/>
      <c r="AM50" s="261"/>
    </row>
    <row r="51" spans="1:256">
      <c r="A51" s="235" t="s">
        <v>302</v>
      </c>
      <c r="B51" s="254" t="s">
        <v>260</v>
      </c>
      <c r="C51" s="254" t="s">
        <v>260</v>
      </c>
      <c r="D51" s="254">
        <v>23.7</v>
      </c>
      <c r="E51" s="254">
        <v>38</v>
      </c>
      <c r="F51" s="254">
        <v>29</v>
      </c>
      <c r="G51" s="254">
        <v>19</v>
      </c>
      <c r="H51" s="254">
        <v>15.75</v>
      </c>
      <c r="I51" s="254">
        <v>19</v>
      </c>
      <c r="J51" s="254">
        <v>25</v>
      </c>
      <c r="K51" s="559">
        <v>16.5</v>
      </c>
      <c r="L51" s="559">
        <v>17.75</v>
      </c>
      <c r="M51" s="559">
        <v>18</v>
      </c>
      <c r="N51" s="559">
        <v>13.25</v>
      </c>
      <c r="O51" s="559">
        <v>11.25</v>
      </c>
      <c r="P51" s="572">
        <v>13.75</v>
      </c>
      <c r="Q51" s="572">
        <v>8.75</v>
      </c>
      <c r="R51" s="572">
        <v>10.75</v>
      </c>
      <c r="S51" s="572">
        <v>11</v>
      </c>
      <c r="T51" s="575">
        <v>7.25</v>
      </c>
      <c r="U51" s="575">
        <v>7.25</v>
      </c>
      <c r="V51" s="575">
        <v>8.5</v>
      </c>
      <c r="W51" s="575">
        <v>9.75</v>
      </c>
      <c r="X51" s="575">
        <v>9.75</v>
      </c>
      <c r="Y51" s="575">
        <v>9.75</v>
      </c>
      <c r="Z51" s="575">
        <v>9.5</v>
      </c>
      <c r="AA51" s="575">
        <v>9.5</v>
      </c>
      <c r="AB51" s="575">
        <v>9.5</v>
      </c>
      <c r="AC51" s="575">
        <v>9.5</v>
      </c>
      <c r="AD51" s="575">
        <v>9.25</v>
      </c>
      <c r="AE51" s="575">
        <v>9.25</v>
      </c>
      <c r="AF51" s="575">
        <v>9.25</v>
      </c>
      <c r="AG51" s="575">
        <v>9.25</v>
      </c>
      <c r="AH51" s="575">
        <v>9.25</v>
      </c>
      <c r="AI51" s="575">
        <v>9</v>
      </c>
      <c r="AJ51" s="575">
        <v>9</v>
      </c>
      <c r="AK51" s="575">
        <v>9</v>
      </c>
      <c r="AL51" s="575">
        <v>9</v>
      </c>
      <c r="AM51" s="261"/>
    </row>
    <row r="52" spans="1:256">
      <c r="A52" s="235" t="s">
        <v>303</v>
      </c>
      <c r="B52" s="262">
        <v>1153.5459833146454</v>
      </c>
      <c r="C52" s="262">
        <v>53.080002238694355</v>
      </c>
      <c r="D52" s="262">
        <v>27.405672822751413</v>
      </c>
      <c r="E52" s="262">
        <v>24.768888030442504</v>
      </c>
      <c r="F52" s="262">
        <v>28.69740955581721</v>
      </c>
      <c r="G52" s="262">
        <v>25.586327686512654</v>
      </c>
      <c r="H52" s="262">
        <v>17.432546523362102</v>
      </c>
      <c r="I52" s="262">
        <v>17.318034505770253</v>
      </c>
      <c r="J52" s="262">
        <v>19.173054684819736</v>
      </c>
      <c r="K52" s="559">
        <v>23.345452004126123</v>
      </c>
      <c r="L52" s="559">
        <v>16.246292360819936</v>
      </c>
      <c r="M52" s="559">
        <v>19.049811245670377</v>
      </c>
      <c r="N52" s="559">
        <v>15.076798769963551</v>
      </c>
      <c r="O52" s="559">
        <v>11.875935958815509</v>
      </c>
      <c r="P52" s="572">
        <v>12.481406806474515</v>
      </c>
      <c r="Q52" s="572">
        <v>9.9296741387810084</v>
      </c>
      <c r="R52" s="572">
        <v>9.7908178894948747</v>
      </c>
      <c r="S52" s="572">
        <v>11.613607690400851</v>
      </c>
      <c r="T52" s="575">
        <v>8.4910205383003969</v>
      </c>
      <c r="U52" s="575">
        <v>7.18743364542902</v>
      </c>
      <c r="V52" s="575">
        <v>10.034969862858212</v>
      </c>
      <c r="W52" s="575">
        <v>9.6743211047729982</v>
      </c>
      <c r="X52" s="575">
        <v>9.7029050864934074</v>
      </c>
      <c r="Y52" s="575">
        <v>9.6219858592965224</v>
      </c>
      <c r="Z52" s="576">
        <v>9.6624380091712823</v>
      </c>
      <c r="AA52" s="576">
        <v>9.7838840455158014</v>
      </c>
      <c r="AB52" s="576">
        <v>9.7029050864934074</v>
      </c>
      <c r="AC52" s="576">
        <v>9.6666114917960186</v>
      </c>
      <c r="AD52" s="576">
        <v>9.5</v>
      </c>
      <c r="AE52" s="576">
        <v>9.5</v>
      </c>
      <c r="AF52" s="576">
        <v>9.5</v>
      </c>
      <c r="AG52" s="576">
        <v>9.5</v>
      </c>
      <c r="AH52" s="576">
        <v>9.5</v>
      </c>
      <c r="AI52" s="576">
        <v>9.25</v>
      </c>
      <c r="AJ52" s="576">
        <v>9.25</v>
      </c>
      <c r="AK52" s="576">
        <v>9.25</v>
      </c>
      <c r="AL52" s="576">
        <v>9.25</v>
      </c>
      <c r="AM52" s="261"/>
    </row>
    <row r="53" spans="1:256">
      <c r="A53" s="235" t="s">
        <v>304</v>
      </c>
      <c r="B53" s="254">
        <v>1135.9980018371543</v>
      </c>
      <c r="C53" s="254">
        <v>53.092135301467721</v>
      </c>
      <c r="D53" s="254">
        <v>27.094189043411831</v>
      </c>
      <c r="E53" s="254">
        <v>24.574506388608029</v>
      </c>
      <c r="F53" s="254">
        <v>28.506769621154682</v>
      </c>
      <c r="G53" s="254">
        <v>25.12876756805078</v>
      </c>
      <c r="H53" s="254">
        <v>17.320265444563709</v>
      </c>
      <c r="I53" s="254">
        <v>17.287966085244079</v>
      </c>
      <c r="J53" s="254">
        <v>19.107361756284998</v>
      </c>
      <c r="K53" s="559">
        <v>23.2477847533412</v>
      </c>
      <c r="L53" s="559">
        <v>16.173958393715427</v>
      </c>
      <c r="M53" s="559">
        <v>18.999579230339659</v>
      </c>
      <c r="N53" s="559">
        <v>15.027137373090916</v>
      </c>
      <c r="O53" s="559">
        <v>11.815816798855039</v>
      </c>
      <c r="P53" s="572">
        <v>12.379806874017563</v>
      </c>
      <c r="Q53" s="574">
        <v>9.8767697578293845</v>
      </c>
      <c r="R53" s="572">
        <v>9.7570448081791383</v>
      </c>
      <c r="S53" s="572">
        <v>11.588487508441325</v>
      </c>
      <c r="T53" s="575">
        <v>8.4341312214520681</v>
      </c>
      <c r="U53" s="575">
        <v>7.150827366611523</v>
      </c>
      <c r="V53" s="575">
        <v>8.1953352716124694</v>
      </c>
      <c r="W53" s="575">
        <v>9.2096405634421785</v>
      </c>
      <c r="X53" s="575">
        <v>9.615409146783449</v>
      </c>
      <c r="Y53" s="575">
        <v>9.5345490729011431</v>
      </c>
      <c r="Z53" s="575">
        <v>9.5749716515743053</v>
      </c>
      <c r="AA53" s="575">
        <v>9.5749716515743053</v>
      </c>
      <c r="AB53" s="575">
        <v>9.42</v>
      </c>
      <c r="AC53" s="575">
        <v>9.42</v>
      </c>
      <c r="AD53" s="575">
        <v>9.18</v>
      </c>
      <c r="AE53" s="575">
        <v>9.18</v>
      </c>
      <c r="AF53" s="575">
        <v>9.18</v>
      </c>
      <c r="AG53" s="575">
        <v>9.18</v>
      </c>
      <c r="AH53" s="575">
        <v>9.18</v>
      </c>
      <c r="AI53" s="575">
        <v>8.93</v>
      </c>
      <c r="AJ53" s="575">
        <v>8.93</v>
      </c>
      <c r="AK53" s="575">
        <v>8.93</v>
      </c>
      <c r="AL53" s="575">
        <v>8.93</v>
      </c>
      <c r="AM53" s="261"/>
    </row>
    <row r="54" spans="1:256">
      <c r="A54" s="235" t="s">
        <v>305</v>
      </c>
      <c r="B54" s="262">
        <v>53.974912045215895</v>
      </c>
      <c r="C54" s="262">
        <v>40.406052777471558</v>
      </c>
      <c r="D54" s="262">
        <v>23.726113884365873</v>
      </c>
      <c r="E54" s="262">
        <v>38.89796910559766</v>
      </c>
      <c r="F54" s="262">
        <v>30.891798499863874</v>
      </c>
      <c r="G54" s="262">
        <v>18.766952808791327</v>
      </c>
      <c r="H54" s="262">
        <v>16.127673454189729</v>
      </c>
      <c r="I54" s="262">
        <v>19.050998744174752</v>
      </c>
      <c r="J54" s="262">
        <v>22.912946466435002</v>
      </c>
      <c r="K54" s="559">
        <v>16.81036756868588</v>
      </c>
      <c r="L54" s="559">
        <v>17.46319263921292</v>
      </c>
      <c r="M54" s="559">
        <v>18.151593382822661</v>
      </c>
      <c r="N54" s="559">
        <v>13.135497769201931</v>
      </c>
      <c r="O54" s="559">
        <v>11.107498385574299</v>
      </c>
      <c r="P54" s="572">
        <v>13.47</v>
      </c>
      <c r="Q54" s="574">
        <v>8.6127388329833021</v>
      </c>
      <c r="R54" s="572">
        <v>10.64</v>
      </c>
      <c r="S54" s="572">
        <v>10.866816238851062</v>
      </c>
      <c r="T54" s="576">
        <v>7.1169313743167661</v>
      </c>
      <c r="U54" s="576">
        <v>7.1212393675293484</v>
      </c>
      <c r="V54" s="576">
        <v>8.374286349080279</v>
      </c>
      <c r="W54" s="576">
        <v>9.6234177030390242</v>
      </c>
      <c r="X54" s="576">
        <v>9.7100000000000009</v>
      </c>
      <c r="Y54" s="576">
        <v>9.7100000000000009</v>
      </c>
      <c r="Z54" s="576">
        <v>9.4600000000000009</v>
      </c>
      <c r="AA54" s="576">
        <v>9.4600000000000009</v>
      </c>
      <c r="AB54" s="576">
        <v>9.4600000000000009</v>
      </c>
      <c r="AC54" s="576">
        <v>9.4600000000000009</v>
      </c>
      <c r="AD54" s="576">
        <v>9.2100000000000009</v>
      </c>
      <c r="AE54" s="576">
        <v>9.2100000000000009</v>
      </c>
      <c r="AF54" s="576">
        <v>9.2100000000000009</v>
      </c>
      <c r="AG54" s="576">
        <v>9.2100000000000009</v>
      </c>
      <c r="AH54" s="576">
        <v>9.2100000000000009</v>
      </c>
      <c r="AI54" s="576">
        <v>8.9600000000000009</v>
      </c>
      <c r="AJ54" s="576">
        <v>8.9600000000000009</v>
      </c>
      <c r="AK54" s="576">
        <v>8.9600000000000009</v>
      </c>
      <c r="AL54" s="576">
        <v>8.9600000000000009</v>
      </c>
      <c r="AM54" s="261"/>
    </row>
    <row r="55" spans="1:256">
      <c r="A55" s="235" t="s">
        <v>306</v>
      </c>
      <c r="B55" s="254">
        <v>18.703289492163687</v>
      </c>
      <c r="C55" s="254">
        <v>24.263096835606923</v>
      </c>
      <c r="D55" s="254">
        <v>15.499121091974221</v>
      </c>
      <c r="E55" s="254">
        <v>18.838503432494402</v>
      </c>
      <c r="F55" s="254">
        <v>30.84785903928422</v>
      </c>
      <c r="G55" s="254">
        <v>15.176951717619058</v>
      </c>
      <c r="H55" s="254">
        <v>12.375733184448002</v>
      </c>
      <c r="I55" s="254">
        <v>9.4783704428184734</v>
      </c>
      <c r="J55" s="254">
        <v>-52.534115577375871</v>
      </c>
      <c r="K55" s="559">
        <v>14.032731942677689</v>
      </c>
      <c r="L55" s="559">
        <v>9.0844638169342637</v>
      </c>
      <c r="M55" s="559">
        <v>13.895548305367855</v>
      </c>
      <c r="N55" s="559">
        <v>12.223966642030115</v>
      </c>
      <c r="O55" s="559">
        <v>7.1893352033683522</v>
      </c>
      <c r="P55" s="572">
        <v>5.9417243057584557</v>
      </c>
      <c r="Q55" s="574">
        <v>6.059600216065375</v>
      </c>
      <c r="R55" s="570">
        <v>3.1612436604724792</v>
      </c>
      <c r="S55" s="570"/>
      <c r="T55" s="570"/>
      <c r="U55" s="570"/>
      <c r="V55" s="570"/>
      <c r="W55" s="570"/>
      <c r="X55" s="570"/>
      <c r="Y55" s="570"/>
      <c r="Z55" s="570"/>
      <c r="AA55" s="570"/>
      <c r="AB55" s="570"/>
      <c r="AC55" s="570"/>
      <c r="AD55" s="570"/>
      <c r="AE55" s="570"/>
      <c r="AF55" s="570"/>
      <c r="AG55" s="570"/>
      <c r="AH55" s="570"/>
      <c r="AI55" s="570"/>
      <c r="AJ55" s="570"/>
      <c r="AK55" s="570"/>
      <c r="AL55" s="570"/>
      <c r="AM55" s="261"/>
    </row>
    <row r="56" spans="1:256">
      <c r="A56" s="235" t="s">
        <v>307</v>
      </c>
      <c r="B56" s="254">
        <v>21.601538682840005</v>
      </c>
      <c r="C56" s="254">
        <v>25.066200344213453</v>
      </c>
      <c r="D56" s="254">
        <v>16.000159350072884</v>
      </c>
      <c r="E56" s="254">
        <v>18.388998706038318</v>
      </c>
      <c r="F56" s="254">
        <v>26.413806802519922</v>
      </c>
      <c r="G56" s="254">
        <v>14.860329350709399</v>
      </c>
      <c r="H56" s="254">
        <v>10.629835146995248</v>
      </c>
      <c r="I56" s="254">
        <v>8.8592878886300639</v>
      </c>
      <c r="J56" s="254">
        <v>5.7559343295428445</v>
      </c>
      <c r="K56" s="559">
        <v>12.656037614364379</v>
      </c>
      <c r="L56" s="559">
        <v>7.9533525744542422</v>
      </c>
      <c r="M56" s="559">
        <v>11.874000000000001</v>
      </c>
      <c r="N56" s="559">
        <v>11.566545066956092</v>
      </c>
      <c r="O56" s="559">
        <v>7.0417545460990327</v>
      </c>
      <c r="P56" s="572">
        <v>6.1146123474646208</v>
      </c>
      <c r="Q56" s="574">
        <v>5.334702780531253</v>
      </c>
      <c r="R56" s="572">
        <v>3.6332832692813177</v>
      </c>
      <c r="S56" s="572">
        <v>4.7748638641830654</v>
      </c>
      <c r="T56" s="569">
        <v>2.788937350750631</v>
      </c>
      <c r="U56" s="569">
        <v>1.0098365456494784</v>
      </c>
      <c r="V56" s="569">
        <v>1.5918641048004556</v>
      </c>
      <c r="W56" s="569">
        <v>2.0650846387310073</v>
      </c>
      <c r="X56" s="569">
        <v>2.44430761381631</v>
      </c>
      <c r="Y56" s="569">
        <v>3.334480257453909</v>
      </c>
      <c r="Z56" s="569">
        <v>4.3571158586421799</v>
      </c>
      <c r="AA56" s="569">
        <v>4.3571158586421799</v>
      </c>
      <c r="AB56" s="569">
        <v>4.2095238095238185</v>
      </c>
      <c r="AC56" s="569">
        <v>4.2095238095238185</v>
      </c>
      <c r="AD56" s="569">
        <v>3.9809523809523961</v>
      </c>
      <c r="AE56" s="569">
        <v>3.9809523809523961</v>
      </c>
      <c r="AF56" s="569">
        <v>3.9809523809523961</v>
      </c>
      <c r="AG56" s="569">
        <v>3.9809523809523961</v>
      </c>
      <c r="AH56" s="569">
        <v>3.9809523809523961</v>
      </c>
      <c r="AI56" s="569">
        <v>3.7428571428571367</v>
      </c>
      <c r="AJ56" s="569">
        <v>3.7428571428571367</v>
      </c>
      <c r="AK56" s="569">
        <v>3.7428571428571367</v>
      </c>
      <c r="AL56" s="569">
        <v>3.7428571428571367</v>
      </c>
      <c r="AM56" s="261"/>
    </row>
    <row r="57" spans="1:256">
      <c r="A57" s="235" t="s">
        <v>308</v>
      </c>
      <c r="B57" s="254">
        <v>27.45605752427338</v>
      </c>
      <c r="C57" s="254">
        <v>32.84849604986799</v>
      </c>
      <c r="D57" s="254">
        <v>16.399918837769746</v>
      </c>
      <c r="E57" s="254">
        <v>15.625983818455103</v>
      </c>
      <c r="F57" s="254">
        <v>26.249285861141992</v>
      </c>
      <c r="G57" s="254">
        <v>4.1854929767153326</v>
      </c>
      <c r="H57" s="254">
        <v>6.6972655773524847</v>
      </c>
      <c r="I57" s="254">
        <v>6.2657320227253788</v>
      </c>
      <c r="J57" s="254">
        <v>-4.9496169647119999</v>
      </c>
      <c r="K57" s="553">
        <v>13.392431252175975</v>
      </c>
      <c r="L57" s="553">
        <v>3.3655010941102459</v>
      </c>
      <c r="M57" s="553">
        <v>17.579999999999998</v>
      </c>
      <c r="N57" s="553">
        <v>10.80378871647425</v>
      </c>
      <c r="O57" s="553">
        <v>3.7724340312510041</v>
      </c>
      <c r="P57" s="568">
        <v>2.3426874611717219</v>
      </c>
      <c r="Q57" s="568">
        <v>11.79093361314183</v>
      </c>
      <c r="R57" s="572">
        <v>-1.40580682411936</v>
      </c>
      <c r="S57" s="572">
        <v>6.1759107373379196</v>
      </c>
      <c r="T57" s="569">
        <v>0.42605162289375276</v>
      </c>
      <c r="U57" s="569">
        <v>0.57236572509191674</v>
      </c>
      <c r="V57" s="569">
        <v>1.1171357678621208</v>
      </c>
      <c r="W57" s="569">
        <v>1.5903633148299345</v>
      </c>
      <c r="X57" s="569">
        <v>1.9678224621241469</v>
      </c>
      <c r="Y57" s="569">
        <v>2.849341852489351</v>
      </c>
      <c r="Z57" s="569">
        <v>3.8625323711604764</v>
      </c>
      <c r="AA57" s="569">
        <v>3.8625323711604764</v>
      </c>
      <c r="AB57" s="569">
        <v>3.715639810426552</v>
      </c>
      <c r="AC57" s="569">
        <v>3.715639810426552</v>
      </c>
      <c r="AD57" s="569">
        <v>3.4881516587677908</v>
      </c>
      <c r="AE57" s="569">
        <v>3.4881516587677908</v>
      </c>
      <c r="AF57" s="569">
        <v>3.4881516587677908</v>
      </c>
      <c r="AG57" s="569">
        <v>3.4881516587677908</v>
      </c>
      <c r="AH57" s="569">
        <v>3.4881516587677908</v>
      </c>
      <c r="AI57" s="569">
        <v>3.251184834123233</v>
      </c>
      <c r="AJ57" s="569">
        <v>3.251184834123233</v>
      </c>
      <c r="AK57" s="569">
        <v>3.251184834123233</v>
      </c>
      <c r="AL57" s="569">
        <v>3.251184834123233</v>
      </c>
      <c r="AM57" s="261"/>
    </row>
    <row r="58" spans="1:256">
      <c r="A58" s="235" t="s">
        <v>309</v>
      </c>
      <c r="B58" s="254" t="s">
        <v>260</v>
      </c>
      <c r="C58" s="254">
        <v>33.178351120865493</v>
      </c>
      <c r="D58" s="254">
        <v>18.913891518874347</v>
      </c>
      <c r="E58" s="254">
        <v>15.982391562450026</v>
      </c>
      <c r="F58" s="254">
        <v>18.693602717843195</v>
      </c>
      <c r="G58" s="254">
        <v>-15.45939555086473</v>
      </c>
      <c r="H58" s="254">
        <v>7.3365832465605463</v>
      </c>
      <c r="I58" s="254">
        <v>-1.1614855701231219</v>
      </c>
      <c r="J58" s="254">
        <v>-21.779435026948267</v>
      </c>
      <c r="K58" s="568">
        <v>50.723867461228167</v>
      </c>
      <c r="L58" s="568">
        <v>26.450346817029335</v>
      </c>
      <c r="M58" s="568">
        <v>34.947871623451789</v>
      </c>
      <c r="N58" s="568">
        <v>25.932656898593986</v>
      </c>
      <c r="O58" s="568">
        <v>34.964272746543237</v>
      </c>
      <c r="P58" s="568">
        <v>-14.823127121973767</v>
      </c>
      <c r="Q58" s="568">
        <v>47.47416202851327</v>
      </c>
      <c r="R58" s="568">
        <v>14.671146082149944</v>
      </c>
      <c r="S58" s="568">
        <v>-0.88029753355105544</v>
      </c>
      <c r="T58" s="569">
        <v>1.7003716725998874</v>
      </c>
      <c r="U58" s="569">
        <v>2.048407015820497</v>
      </c>
      <c r="V58" s="569">
        <v>3.6237013868964718</v>
      </c>
      <c r="W58" s="569">
        <v>4.1063863315056182</v>
      </c>
      <c r="X58" s="569">
        <v>4.4931937660926291</v>
      </c>
      <c r="Y58" s="569">
        <v>5.4011698626029725</v>
      </c>
      <c r="Z58" s="569">
        <v>6.4442581758150208</v>
      </c>
      <c r="AA58" s="569">
        <v>6.4442581758150208</v>
      </c>
      <c r="AB58" s="569">
        <v>6.2937142857143025</v>
      </c>
      <c r="AC58" s="569">
        <v>6.2937142857142803</v>
      </c>
      <c r="AD58" s="569">
        <v>6.0605714285714374</v>
      </c>
      <c r="AE58" s="569">
        <v>6.0605714285714374</v>
      </c>
      <c r="AF58" s="569">
        <v>6.0605714285714374</v>
      </c>
      <c r="AG58" s="569">
        <v>6.0605714285714374</v>
      </c>
      <c r="AH58" s="569">
        <v>6.0605714285714596</v>
      </c>
      <c r="AI58" s="569">
        <v>5.8177142857142705</v>
      </c>
      <c r="AJ58" s="569">
        <v>5.8177142857142705</v>
      </c>
      <c r="AK58" s="569">
        <v>5.8177142857142705</v>
      </c>
      <c r="AL58" s="569">
        <v>5.8177142857142927</v>
      </c>
      <c r="AM58" s="261"/>
      <c r="AN58" s="281"/>
      <c r="AO58" s="281"/>
      <c r="AP58" s="281"/>
      <c r="AQ58" s="281"/>
      <c r="AR58" s="281"/>
      <c r="AS58" s="281"/>
      <c r="AT58" s="281"/>
      <c r="AU58" s="281"/>
      <c r="AV58" s="281"/>
      <c r="AW58" s="281"/>
      <c r="AX58" s="281"/>
      <c r="AY58" s="281"/>
      <c r="AZ58" s="281"/>
      <c r="BA58" s="281"/>
      <c r="BB58" s="281"/>
      <c r="BC58" s="281"/>
      <c r="BD58" s="281"/>
      <c r="BE58" s="281"/>
      <c r="BF58" s="281"/>
      <c r="BG58" s="281"/>
      <c r="BH58" s="281"/>
      <c r="BI58" s="281"/>
      <c r="BJ58" s="281"/>
      <c r="BK58" s="281"/>
      <c r="BL58" s="281"/>
      <c r="BM58" s="281"/>
      <c r="BN58" s="281"/>
      <c r="BO58" s="281"/>
      <c r="BP58" s="281"/>
      <c r="BQ58" s="281"/>
      <c r="BR58" s="281"/>
      <c r="BS58" s="281"/>
      <c r="BT58" s="281"/>
      <c r="BU58" s="281"/>
      <c r="BV58" s="281"/>
      <c r="BW58" s="281"/>
      <c r="BX58" s="281"/>
      <c r="BY58" s="281"/>
      <c r="BZ58" s="281"/>
      <c r="CA58" s="281"/>
      <c r="CB58" s="281"/>
      <c r="CC58" s="281"/>
      <c r="CD58" s="281"/>
      <c r="CE58" s="281"/>
      <c r="CF58" s="281"/>
      <c r="CG58" s="281"/>
      <c r="CH58" s="281"/>
      <c r="CI58" s="281"/>
      <c r="CJ58" s="281"/>
      <c r="CK58" s="281"/>
      <c r="CL58" s="281"/>
      <c r="CM58" s="281"/>
      <c r="CN58" s="281"/>
      <c r="CO58" s="281"/>
      <c r="CP58" s="281"/>
      <c r="CQ58" s="281"/>
      <c r="CR58" s="281"/>
      <c r="CS58" s="281"/>
      <c r="CT58" s="281"/>
      <c r="CU58" s="281"/>
      <c r="CV58" s="281"/>
      <c r="CW58" s="281"/>
      <c r="CX58" s="281"/>
      <c r="CY58" s="281"/>
      <c r="CZ58" s="281"/>
      <c r="DA58" s="281"/>
      <c r="DB58" s="281"/>
      <c r="DC58" s="281"/>
      <c r="DD58" s="281"/>
      <c r="DE58" s="281"/>
      <c r="DF58" s="281"/>
      <c r="DG58" s="281"/>
      <c r="DH58" s="281"/>
      <c r="DI58" s="281"/>
      <c r="DJ58" s="281"/>
      <c r="DK58" s="281"/>
      <c r="DL58" s="281"/>
      <c r="DM58" s="281"/>
      <c r="DN58" s="281"/>
      <c r="DO58" s="281"/>
      <c r="DP58" s="281"/>
      <c r="DQ58" s="281"/>
      <c r="DR58" s="281"/>
      <c r="DS58" s="281"/>
      <c r="DT58" s="281"/>
      <c r="DU58" s="281"/>
      <c r="DV58" s="281"/>
      <c r="DW58" s="281"/>
      <c r="DX58" s="281"/>
      <c r="DY58" s="281"/>
      <c r="DZ58" s="281"/>
      <c r="EA58" s="281"/>
      <c r="EB58" s="281"/>
      <c r="EC58" s="281"/>
      <c r="ED58" s="281"/>
      <c r="EE58" s="281"/>
      <c r="EF58" s="281"/>
      <c r="EG58" s="281"/>
      <c r="EH58" s="281"/>
      <c r="EI58" s="281"/>
      <c r="EJ58" s="281"/>
      <c r="EK58" s="281"/>
      <c r="EL58" s="281"/>
      <c r="EM58" s="281"/>
      <c r="EN58" s="281"/>
      <c r="EO58" s="281"/>
      <c r="EP58" s="281"/>
      <c r="EQ58" s="281"/>
      <c r="ER58" s="281"/>
      <c r="ES58" s="281"/>
      <c r="ET58" s="281"/>
      <c r="EU58" s="281"/>
      <c r="EV58" s="281"/>
      <c r="EW58" s="281"/>
      <c r="EX58" s="281"/>
      <c r="EY58" s="281"/>
      <c r="EZ58" s="281"/>
      <c r="FA58" s="281"/>
      <c r="FB58" s="281"/>
      <c r="FC58" s="281"/>
      <c r="FD58" s="281"/>
      <c r="FE58" s="281"/>
      <c r="FF58" s="281"/>
      <c r="FG58" s="281"/>
      <c r="FH58" s="281"/>
      <c r="FI58" s="281"/>
      <c r="FJ58" s="281"/>
      <c r="FK58" s="281"/>
      <c r="FL58" s="281"/>
      <c r="FM58" s="281"/>
      <c r="FN58" s="281"/>
      <c r="FO58" s="281"/>
      <c r="FP58" s="281"/>
      <c r="FQ58" s="281"/>
      <c r="FR58" s="281"/>
      <c r="FS58" s="281"/>
      <c r="FT58" s="281"/>
      <c r="FU58" s="281"/>
      <c r="FV58" s="281"/>
      <c r="FW58" s="281"/>
      <c r="FX58" s="281"/>
      <c r="FY58" s="281"/>
      <c r="FZ58" s="281"/>
      <c r="GA58" s="281"/>
      <c r="GB58" s="281"/>
      <c r="GC58" s="281"/>
      <c r="GD58" s="281"/>
      <c r="GE58" s="281"/>
      <c r="GF58" s="281"/>
      <c r="GG58" s="281"/>
      <c r="GH58" s="281"/>
      <c r="GI58" s="281"/>
      <c r="GJ58" s="281"/>
      <c r="GK58" s="281"/>
      <c r="GL58" s="281"/>
      <c r="GM58" s="281"/>
      <c r="GN58" s="281"/>
      <c r="GO58" s="281"/>
      <c r="GP58" s="281"/>
      <c r="GQ58" s="281"/>
      <c r="GR58" s="281"/>
      <c r="GS58" s="281"/>
      <c r="GT58" s="281"/>
      <c r="GU58" s="281"/>
      <c r="GV58" s="281"/>
      <c r="GW58" s="281"/>
      <c r="GX58" s="281"/>
      <c r="GY58" s="281"/>
      <c r="GZ58" s="281"/>
      <c r="HA58" s="281"/>
      <c r="HB58" s="281"/>
      <c r="HC58" s="281"/>
      <c r="HD58" s="281"/>
      <c r="HE58" s="281"/>
      <c r="HF58" s="281"/>
      <c r="HG58" s="281"/>
      <c r="HH58" s="281"/>
      <c r="HI58" s="281"/>
      <c r="HJ58" s="281"/>
      <c r="HK58" s="281"/>
      <c r="HL58" s="281"/>
      <c r="HM58" s="281"/>
      <c r="HN58" s="281"/>
      <c r="HO58" s="281"/>
      <c r="HP58" s="281"/>
      <c r="HQ58" s="281"/>
      <c r="HR58" s="281"/>
      <c r="HS58" s="281"/>
      <c r="HT58" s="281"/>
      <c r="HU58" s="281"/>
      <c r="HV58" s="281"/>
      <c r="HW58" s="281"/>
      <c r="HX58" s="281"/>
      <c r="HY58" s="281"/>
      <c r="HZ58" s="281"/>
      <c r="IA58" s="281"/>
      <c r="IB58" s="281"/>
      <c r="IC58" s="281"/>
      <c r="ID58" s="281"/>
      <c r="IE58" s="281"/>
      <c r="IF58" s="281"/>
      <c r="IG58" s="281"/>
      <c r="IH58" s="281"/>
      <c r="II58" s="281"/>
      <c r="IJ58" s="281"/>
      <c r="IK58" s="281"/>
      <c r="IL58" s="281"/>
      <c r="IM58" s="281"/>
      <c r="IN58" s="281"/>
      <c r="IO58" s="281"/>
      <c r="IP58" s="281"/>
      <c r="IQ58" s="281"/>
      <c r="IR58" s="281"/>
      <c r="IS58" s="281"/>
      <c r="IT58" s="281"/>
      <c r="IU58" s="281"/>
      <c r="IV58" s="281"/>
    </row>
    <row r="59" spans="1:256" s="281" customFormat="1">
      <c r="A59" s="235" t="s">
        <v>310</v>
      </c>
      <c r="B59" s="254" t="s">
        <v>260</v>
      </c>
      <c r="C59" s="254" t="s">
        <v>260</v>
      </c>
      <c r="D59" s="262" t="s">
        <v>260</v>
      </c>
      <c r="E59" s="262" t="s">
        <v>260</v>
      </c>
      <c r="F59" s="262" t="s">
        <v>260</v>
      </c>
      <c r="G59" s="262" t="s">
        <v>260</v>
      </c>
      <c r="H59" s="262">
        <v>2.0699999999999998</v>
      </c>
      <c r="I59" s="262">
        <v>2.27</v>
      </c>
      <c r="J59" s="262">
        <v>2.6889194828714658</v>
      </c>
      <c r="K59" s="560">
        <v>4.6444924471909621</v>
      </c>
      <c r="L59" s="560">
        <v>1.8251506756420621</v>
      </c>
      <c r="M59" s="560">
        <v>2.8359907844019983</v>
      </c>
      <c r="N59" s="560">
        <v>2.0105417594608266</v>
      </c>
      <c r="O59" s="560">
        <v>1.4453109429762856</v>
      </c>
      <c r="P59" s="561">
        <v>1.6348438580850333</v>
      </c>
      <c r="Q59" s="568">
        <v>0.82018693184666702</v>
      </c>
      <c r="R59" s="568">
        <v>0.6887517378302066</v>
      </c>
      <c r="S59" s="568">
        <v>1.2079076040045322</v>
      </c>
      <c r="T59" s="577">
        <v>0.25753130018018044</v>
      </c>
      <c r="U59" s="577">
        <v>0</v>
      </c>
      <c r="V59" s="577">
        <v>0.19910046541213866</v>
      </c>
      <c r="W59" s="577">
        <v>0.6975640525910265</v>
      </c>
      <c r="X59" s="577">
        <v>0.75</v>
      </c>
      <c r="Y59" s="577">
        <v>0.75</v>
      </c>
      <c r="Z59" s="577">
        <v>0.5</v>
      </c>
      <c r="AA59" s="577">
        <v>0.5</v>
      </c>
      <c r="AB59" s="577">
        <v>0.5</v>
      </c>
      <c r="AC59" s="577">
        <v>0.5</v>
      </c>
      <c r="AD59" s="577">
        <v>0.5</v>
      </c>
      <c r="AE59" s="577">
        <v>0.5</v>
      </c>
      <c r="AF59" s="577">
        <v>0.5</v>
      </c>
      <c r="AG59" s="577">
        <v>0.5</v>
      </c>
      <c r="AH59" s="577">
        <v>0.5</v>
      </c>
      <c r="AI59" s="577">
        <v>0.5</v>
      </c>
      <c r="AJ59" s="577">
        <v>0.5</v>
      </c>
      <c r="AK59" s="577">
        <v>0.5</v>
      </c>
      <c r="AL59" s="577">
        <v>0.5</v>
      </c>
      <c r="AM59" s="261"/>
    </row>
    <row r="60" spans="1:256" s="281" customFormat="1">
      <c r="A60" s="235" t="s">
        <v>0</v>
      </c>
      <c r="B60" s="254" t="s">
        <v>260</v>
      </c>
      <c r="C60" s="262">
        <v>23.39</v>
      </c>
      <c r="D60" s="262">
        <v>16.059999999999999</v>
      </c>
      <c r="E60" s="262">
        <v>10.12956201281443</v>
      </c>
      <c r="F60" s="262">
        <v>11.67</v>
      </c>
      <c r="G60" s="262">
        <v>13.217499999999999</v>
      </c>
      <c r="H60" s="262">
        <v>10.75</v>
      </c>
      <c r="I60" s="262">
        <v>9.5</v>
      </c>
      <c r="J60" s="262">
        <v>9.875</v>
      </c>
      <c r="K60" s="560">
        <v>11.5</v>
      </c>
      <c r="L60" s="560">
        <v>9.81</v>
      </c>
      <c r="M60" s="560">
        <v>9.75</v>
      </c>
      <c r="N60" s="560">
        <v>7.875</v>
      </c>
      <c r="O60" s="560">
        <v>6.37</v>
      </c>
      <c r="P60" s="561">
        <v>6.25</v>
      </c>
      <c r="Q60" s="568">
        <v>6.125</v>
      </c>
      <c r="R60" s="568">
        <v>6</v>
      </c>
      <c r="S60" s="568">
        <v>6</v>
      </c>
      <c r="T60" s="577">
        <v>5.75</v>
      </c>
      <c r="U60" s="577">
        <v>5</v>
      </c>
      <c r="V60" s="577">
        <v>5</v>
      </c>
      <c r="W60" s="577">
        <v>5</v>
      </c>
      <c r="X60" s="577">
        <v>5</v>
      </c>
      <c r="Y60" s="577">
        <v>5</v>
      </c>
      <c r="Z60" s="577">
        <v>5</v>
      </c>
      <c r="AA60" s="577">
        <v>5</v>
      </c>
      <c r="AB60" s="577">
        <v>5</v>
      </c>
      <c r="AC60" s="577">
        <v>5</v>
      </c>
      <c r="AD60" s="577">
        <v>5</v>
      </c>
      <c r="AE60" s="577">
        <v>5</v>
      </c>
      <c r="AF60" s="577">
        <v>5</v>
      </c>
      <c r="AG60" s="577">
        <v>5</v>
      </c>
      <c r="AH60" s="577">
        <v>5</v>
      </c>
      <c r="AI60" s="577">
        <v>5</v>
      </c>
      <c r="AJ60" s="577">
        <v>5</v>
      </c>
      <c r="AK60" s="577">
        <v>5</v>
      </c>
      <c r="AL60" s="577">
        <v>5</v>
      </c>
      <c r="AM60" s="261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30"/>
      <c r="BS60" s="230"/>
      <c r="BT60" s="230"/>
      <c r="BU60" s="230"/>
      <c r="BV60" s="230"/>
      <c r="BW60" s="230"/>
      <c r="BX60" s="230"/>
      <c r="BY60" s="230"/>
      <c r="BZ60" s="230"/>
      <c r="CA60" s="230"/>
      <c r="CB60" s="230"/>
      <c r="CC60" s="230"/>
      <c r="CD60" s="230"/>
      <c r="CE60" s="230"/>
      <c r="CF60" s="230"/>
      <c r="CG60" s="230"/>
      <c r="CH60" s="230"/>
      <c r="CI60" s="230"/>
      <c r="CJ60" s="230"/>
      <c r="CK60" s="230"/>
      <c r="CL60" s="230"/>
      <c r="CM60" s="230"/>
      <c r="CN60" s="230"/>
      <c r="CO60" s="230"/>
      <c r="CP60" s="230"/>
      <c r="CQ60" s="230"/>
      <c r="CR60" s="230"/>
      <c r="CS60" s="230"/>
      <c r="CT60" s="230"/>
      <c r="CU60" s="230"/>
      <c r="CV60" s="230"/>
      <c r="CW60" s="230"/>
      <c r="CX60" s="230"/>
      <c r="CY60" s="230"/>
      <c r="CZ60" s="230"/>
      <c r="DA60" s="230"/>
      <c r="DB60" s="230"/>
      <c r="DC60" s="230"/>
      <c r="DD60" s="230"/>
      <c r="DE60" s="230"/>
      <c r="DF60" s="230"/>
      <c r="DG60" s="230"/>
      <c r="DH60" s="230"/>
      <c r="DI60" s="230"/>
      <c r="DJ60" s="230"/>
      <c r="DK60" s="230"/>
      <c r="DL60" s="230"/>
      <c r="DM60" s="230"/>
      <c r="DN60" s="230"/>
      <c r="DO60" s="230"/>
      <c r="DP60" s="230"/>
      <c r="DQ60" s="230"/>
      <c r="DR60" s="230"/>
      <c r="DS60" s="230"/>
      <c r="DT60" s="230"/>
      <c r="DU60" s="230"/>
      <c r="DV60" s="230"/>
      <c r="DW60" s="230"/>
      <c r="DX60" s="230"/>
      <c r="DY60" s="230"/>
      <c r="DZ60" s="230"/>
      <c r="EA60" s="230"/>
      <c r="EB60" s="230"/>
      <c r="EC60" s="230"/>
      <c r="ED60" s="230"/>
      <c r="EE60" s="230"/>
      <c r="EF60" s="230"/>
      <c r="EG60" s="230"/>
      <c r="EH60" s="230"/>
      <c r="EI60" s="230"/>
      <c r="EJ60" s="230"/>
      <c r="EK60" s="230"/>
      <c r="EL60" s="230"/>
      <c r="EM60" s="230"/>
      <c r="EN60" s="230"/>
      <c r="EO60" s="230"/>
      <c r="EP60" s="230"/>
      <c r="EQ60" s="230"/>
      <c r="ER60" s="230"/>
      <c r="ES60" s="230"/>
      <c r="ET60" s="230"/>
      <c r="EU60" s="230"/>
      <c r="EV60" s="230"/>
      <c r="EW60" s="230"/>
      <c r="EX60" s="230"/>
      <c r="EY60" s="230"/>
      <c r="EZ60" s="230"/>
      <c r="FA60" s="230"/>
      <c r="FB60" s="230"/>
      <c r="FC60" s="230"/>
      <c r="FD60" s="230"/>
      <c r="FE60" s="230"/>
      <c r="FF60" s="230"/>
      <c r="FG60" s="230"/>
      <c r="FH60" s="230"/>
      <c r="FI60" s="230"/>
      <c r="FJ60" s="230"/>
      <c r="FK60" s="230"/>
      <c r="FL60" s="230"/>
      <c r="FM60" s="230"/>
      <c r="FN60" s="230"/>
      <c r="FO60" s="230"/>
      <c r="FP60" s="230"/>
      <c r="FQ60" s="230"/>
      <c r="FR60" s="230"/>
      <c r="FS60" s="230"/>
      <c r="FT60" s="230"/>
      <c r="FU60" s="230"/>
      <c r="FV60" s="230"/>
      <c r="FW60" s="230"/>
      <c r="FX60" s="230"/>
      <c r="FY60" s="230"/>
      <c r="FZ60" s="230"/>
      <c r="GA60" s="230"/>
      <c r="GB60" s="230"/>
      <c r="GC60" s="230"/>
      <c r="GD60" s="230"/>
      <c r="GE60" s="230"/>
      <c r="GF60" s="230"/>
      <c r="GG60" s="230"/>
      <c r="GH60" s="230"/>
      <c r="GI60" s="230"/>
      <c r="GJ60" s="230"/>
      <c r="GK60" s="230"/>
      <c r="GL60" s="230"/>
      <c r="GM60" s="230"/>
      <c r="GN60" s="230"/>
      <c r="GO60" s="230"/>
      <c r="GP60" s="230"/>
      <c r="GQ60" s="230"/>
      <c r="GR60" s="230"/>
      <c r="GS60" s="230"/>
      <c r="GT60" s="230"/>
      <c r="GU60" s="230"/>
      <c r="GV60" s="230"/>
      <c r="GW60" s="230"/>
      <c r="GX60" s="230"/>
      <c r="GY60" s="230"/>
      <c r="GZ60" s="230"/>
      <c r="HA60" s="230"/>
      <c r="HB60" s="230"/>
      <c r="HC60" s="230"/>
      <c r="HD60" s="230"/>
      <c r="HE60" s="230"/>
      <c r="HF60" s="230"/>
      <c r="HG60" s="230"/>
      <c r="HH60" s="230"/>
      <c r="HI60" s="230"/>
      <c r="HJ60" s="230"/>
      <c r="HK60" s="230"/>
      <c r="HL60" s="230"/>
      <c r="HM60" s="230"/>
      <c r="HN60" s="230"/>
      <c r="HO60" s="230"/>
      <c r="HP60" s="230"/>
      <c r="HQ60" s="230"/>
      <c r="HR60" s="230"/>
      <c r="HS60" s="230"/>
      <c r="HT60" s="230"/>
      <c r="HU60" s="230"/>
      <c r="HV60" s="230"/>
      <c r="HW60" s="230"/>
      <c r="HX60" s="230"/>
      <c r="HY60" s="230"/>
      <c r="HZ60" s="230"/>
      <c r="IA60" s="230"/>
      <c r="IB60" s="230"/>
      <c r="IC60" s="230"/>
      <c r="ID60" s="230"/>
      <c r="IE60" s="230"/>
      <c r="IF60" s="230"/>
      <c r="IG60" s="230"/>
      <c r="IH60" s="230"/>
      <c r="II60" s="230"/>
      <c r="IJ60" s="230"/>
      <c r="IK60" s="230"/>
      <c r="IL60" s="230"/>
      <c r="IM60" s="230"/>
      <c r="IN60" s="230"/>
      <c r="IO60" s="230"/>
      <c r="IP60" s="230"/>
      <c r="IQ60" s="230"/>
      <c r="IR60" s="230"/>
      <c r="IS60" s="230"/>
      <c r="IT60" s="230"/>
      <c r="IU60" s="230"/>
      <c r="IV60" s="230"/>
    </row>
    <row r="61" spans="1:256">
      <c r="A61" s="235"/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  <c r="AA61" s="272"/>
      <c r="AB61" s="272"/>
      <c r="AC61" s="272"/>
      <c r="AD61" s="272"/>
      <c r="AE61" s="272"/>
      <c r="AF61" s="272"/>
      <c r="AG61" s="272"/>
      <c r="AH61" s="272"/>
      <c r="AI61" s="272"/>
      <c r="AJ61" s="272"/>
      <c r="AK61" s="272"/>
      <c r="AL61" s="272"/>
      <c r="AM61" s="261"/>
    </row>
    <row r="62" spans="1:256">
      <c r="A62" s="248" t="s">
        <v>311</v>
      </c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82"/>
      <c r="N62" s="282"/>
      <c r="O62" s="283"/>
      <c r="P62" s="284"/>
      <c r="Q62" s="272"/>
      <c r="R62" s="272"/>
      <c r="S62" s="272"/>
      <c r="T62" s="272"/>
      <c r="U62" s="272"/>
      <c r="V62" s="272"/>
      <c r="W62" s="272"/>
      <c r="X62" s="272"/>
      <c r="Y62" s="272"/>
      <c r="Z62" s="272"/>
      <c r="AA62" s="272"/>
      <c r="AB62" s="272"/>
      <c r="AC62" s="272"/>
      <c r="AD62" s="272"/>
      <c r="AE62" s="272"/>
      <c r="AF62" s="272"/>
      <c r="AG62" s="272"/>
      <c r="AH62" s="272"/>
      <c r="AI62" s="272"/>
      <c r="AJ62" s="272"/>
      <c r="AK62" s="272"/>
      <c r="AL62" s="272"/>
      <c r="AM62" s="261"/>
    </row>
    <row r="63" spans="1:256">
      <c r="A63" s="235" t="s">
        <v>312</v>
      </c>
      <c r="B63" s="254">
        <v>43.578885</v>
      </c>
      <c r="C63" s="254">
        <v>46.50628300000001</v>
      </c>
      <c r="D63" s="254">
        <v>47.746727</v>
      </c>
      <c r="E63" s="254">
        <v>52.994339999999994</v>
      </c>
      <c r="F63" s="254">
        <v>51.139862000000001</v>
      </c>
      <c r="G63" s="254">
        <v>48.011445000000009</v>
      </c>
      <c r="H63" s="254">
        <v>55.085594536999999</v>
      </c>
      <c r="I63" s="254">
        <v>58.222643000000005</v>
      </c>
      <c r="J63" s="254">
        <v>60.361785000000005</v>
      </c>
      <c r="K63" s="560">
        <v>73.084140087000009</v>
      </c>
      <c r="L63" s="560">
        <v>96.475238342000011</v>
      </c>
      <c r="M63" s="560">
        <v>118.30838711300001</v>
      </c>
      <c r="N63" s="560">
        <v>137.80746953100001</v>
      </c>
      <c r="O63" s="560">
        <v>160.649</v>
      </c>
      <c r="P63" s="561">
        <v>197.94200000000001</v>
      </c>
      <c r="Q63" s="568">
        <v>152.995</v>
      </c>
      <c r="R63" s="568">
        <v>201.91800000000001</v>
      </c>
      <c r="S63" s="568">
        <v>256.03957476799997</v>
      </c>
      <c r="T63" s="569">
        <v>249.87942206769756</v>
      </c>
      <c r="U63" s="569">
        <v>293.45545449573848</v>
      </c>
      <c r="V63" s="578">
        <v>328.07</v>
      </c>
      <c r="W63" s="578">
        <v>339.0403819</v>
      </c>
      <c r="X63" s="578">
        <v>362.77320863300002</v>
      </c>
      <c r="Y63" s="578">
        <v>384.53960115098005</v>
      </c>
      <c r="Z63" s="578">
        <v>407.61197722003885</v>
      </c>
      <c r="AA63" s="578">
        <v>432.06869585324119</v>
      </c>
      <c r="AB63" s="578">
        <v>457.99281760443569</v>
      </c>
      <c r="AC63" s="578">
        <v>480.89245848465748</v>
      </c>
      <c r="AD63" s="578">
        <v>504.93708140889038</v>
      </c>
      <c r="AE63" s="578">
        <v>530.18393547933488</v>
      </c>
      <c r="AF63" s="578">
        <v>556.69313225330166</v>
      </c>
      <c r="AG63" s="578">
        <v>584.52778886596673</v>
      </c>
      <c r="AH63" s="578">
        <v>613.75417830926506</v>
      </c>
      <c r="AI63" s="578">
        <v>644.44188722472836</v>
      </c>
      <c r="AJ63" s="578">
        <v>676.66398158596485</v>
      </c>
      <c r="AK63" s="578">
        <v>710.49718066526316</v>
      </c>
      <c r="AL63" s="578">
        <v>746.02203969852633</v>
      </c>
      <c r="AM63" s="261"/>
    </row>
    <row r="64" spans="1:256">
      <c r="A64" s="235" t="s">
        <v>313</v>
      </c>
      <c r="B64" s="254">
        <v>12.923503122837122</v>
      </c>
      <c r="C64" s="254">
        <v>6.715727123353421</v>
      </c>
      <c r="D64" s="254">
        <v>2.6695237322774901</v>
      </c>
      <c r="E64" s="254">
        <v>10.976605860054045</v>
      </c>
      <c r="F64" s="254">
        <v>-3.4875820940590274</v>
      </c>
      <c r="G64" s="254">
        <v>-6.1184982401251471</v>
      </c>
      <c r="H64" s="254">
        <v>14.738289142071604</v>
      </c>
      <c r="I64" s="254">
        <v>5.692813186414214</v>
      </c>
      <c r="J64" s="254">
        <v>3.6720883499647972</v>
      </c>
      <c r="K64" s="560">
        <v>21.078179619290616</v>
      </c>
      <c r="L64" s="560">
        <v>32.005637348804107</v>
      </c>
      <c r="M64" s="560">
        <v>22.631769888572183</v>
      </c>
      <c r="N64" s="560">
        <v>16.199105731601151</v>
      </c>
      <c r="O64" s="560">
        <v>16.574958198373825</v>
      </c>
      <c r="P64" s="561">
        <v>23.213963361116473</v>
      </c>
      <c r="Q64" s="568">
        <v>-22.707156641844584</v>
      </c>
      <c r="R64" s="568">
        <v>31.98</v>
      </c>
      <c r="S64" s="568">
        <v>26.803739521984159</v>
      </c>
      <c r="T64" s="569">
        <v>-2.4059377172002314</v>
      </c>
      <c r="U64" s="569">
        <v>17.438823920536862</v>
      </c>
      <c r="V64" s="569">
        <v>11.795502511187507</v>
      </c>
      <c r="W64" s="569">
        <v>3.3439149876550687</v>
      </c>
      <c r="X64" s="569">
        <v>7.0000000000000062</v>
      </c>
      <c r="Y64" s="569">
        <v>6.0000000000000053</v>
      </c>
      <c r="Z64" s="569">
        <v>6.0000000000000053</v>
      </c>
      <c r="AA64" s="569">
        <v>6.0000000000000053</v>
      </c>
      <c r="AB64" s="569">
        <v>6.0000000000000053</v>
      </c>
      <c r="AC64" s="569">
        <v>5.0000000000000044</v>
      </c>
      <c r="AD64" s="569">
        <v>5.0000000000000044</v>
      </c>
      <c r="AE64" s="569">
        <v>5.0000000000000044</v>
      </c>
      <c r="AF64" s="569">
        <v>5.0000000000000044</v>
      </c>
      <c r="AG64" s="569">
        <v>5.0000000000000044</v>
      </c>
      <c r="AH64" s="569">
        <v>5.0000000000000044</v>
      </c>
      <c r="AI64" s="569">
        <v>5.0000000000000044</v>
      </c>
      <c r="AJ64" s="569">
        <v>5.0000000000000044</v>
      </c>
      <c r="AK64" s="569">
        <v>5.0000000000000044</v>
      </c>
      <c r="AL64" s="569">
        <v>5.0000000000000044</v>
      </c>
      <c r="AM64" s="261"/>
    </row>
    <row r="65" spans="1:39">
      <c r="A65" s="235" t="s">
        <v>314</v>
      </c>
      <c r="B65" s="254">
        <v>33.078358000000001</v>
      </c>
      <c r="C65" s="254">
        <v>49.971898000000003</v>
      </c>
      <c r="D65" s="254">
        <v>53.345768000000007</v>
      </c>
      <c r="E65" s="254">
        <v>59.747227000000002</v>
      </c>
      <c r="F65" s="254">
        <v>57.714363999999996</v>
      </c>
      <c r="G65" s="254">
        <v>49.210312999999985</v>
      </c>
      <c r="H65" s="254">
        <v>55.783342000000005</v>
      </c>
      <c r="I65" s="254">
        <v>55.572175999999999</v>
      </c>
      <c r="J65" s="254">
        <v>47.240488000000006</v>
      </c>
      <c r="K65" s="560">
        <v>48.290216000000008</v>
      </c>
      <c r="L65" s="560">
        <v>62.834697626000001</v>
      </c>
      <c r="M65" s="560">
        <v>73.605508858000007</v>
      </c>
      <c r="N65" s="560">
        <v>91.349560988000007</v>
      </c>
      <c r="O65" s="560">
        <v>120.621</v>
      </c>
      <c r="P65" s="561">
        <v>173.107</v>
      </c>
      <c r="Q65" s="568">
        <v>128.74100000000001</v>
      </c>
      <c r="R65" s="568">
        <v>181.59299999999999</v>
      </c>
      <c r="S65" s="568">
        <v>226.25252616999998</v>
      </c>
      <c r="T65" s="569">
        <v>227.98295064043606</v>
      </c>
      <c r="U65" s="569">
        <v>273.52812626309958</v>
      </c>
      <c r="V65" s="578">
        <v>301.14999999999998</v>
      </c>
      <c r="W65" s="578">
        <v>341.23466300000007</v>
      </c>
      <c r="X65" s="578">
        <v>365.12108941000008</v>
      </c>
      <c r="Y65" s="578">
        <v>387.02835477460013</v>
      </c>
      <c r="Z65" s="578">
        <v>410.25005606107618</v>
      </c>
      <c r="AA65" s="578">
        <v>434.86505942474076</v>
      </c>
      <c r="AB65" s="578">
        <v>460.95696299022524</v>
      </c>
      <c r="AC65" s="578">
        <v>484.00481113973655</v>
      </c>
      <c r="AD65" s="578">
        <v>508.20505169672339</v>
      </c>
      <c r="AE65" s="578">
        <v>533.61530428155959</v>
      </c>
      <c r="AF65" s="578">
        <v>560.29606949563754</v>
      </c>
      <c r="AG65" s="578">
        <v>588.3108729704195</v>
      </c>
      <c r="AH65" s="578">
        <v>617.72641661894045</v>
      </c>
      <c r="AI65" s="578">
        <v>648.6127374498875</v>
      </c>
      <c r="AJ65" s="578">
        <v>681.04337432238196</v>
      </c>
      <c r="AK65" s="578">
        <v>715.09554303850109</v>
      </c>
      <c r="AL65" s="578">
        <v>750.85032019042615</v>
      </c>
      <c r="AM65" s="261"/>
    </row>
    <row r="66" spans="1:39">
      <c r="A66" s="235" t="s">
        <v>315</v>
      </c>
      <c r="B66" s="254">
        <v>30.97403390075597</v>
      </c>
      <c r="C66" s="254">
        <v>50.727626806626837</v>
      </c>
      <c r="D66" s="254">
        <v>6.8740294479803676</v>
      </c>
      <c r="E66" s="254">
        <v>15.159703974213024</v>
      </c>
      <c r="F66" s="254">
        <v>-5.9211436338550749</v>
      </c>
      <c r="G66" s="254">
        <v>-14.692783225183669</v>
      </c>
      <c r="H66" s="254">
        <v>13.379554478958134</v>
      </c>
      <c r="I66" s="254">
        <v>-0.47459569819295888</v>
      </c>
      <c r="J66" s="254">
        <v>-15.03634924062478</v>
      </c>
      <c r="K66" s="560">
        <v>2.183581836665538</v>
      </c>
      <c r="L66" s="560">
        <v>30.059900097415401</v>
      </c>
      <c r="M66" s="560">
        <v>17.20318725099601</v>
      </c>
      <c r="N66" s="560">
        <v>24.345578231292532</v>
      </c>
      <c r="O66" s="560">
        <v>32.031285860086122</v>
      </c>
      <c r="P66" s="561">
        <v>43.596057071322569</v>
      </c>
      <c r="Q66" s="568">
        <v>-26.261214162338899</v>
      </c>
      <c r="R66" s="568">
        <v>41.05</v>
      </c>
      <c r="S66" s="568">
        <v>24.593198069308841</v>
      </c>
      <c r="T66" s="569">
        <v>0.76481995570554773</v>
      </c>
      <c r="U66" s="569">
        <v>19.977448091938783</v>
      </c>
      <c r="V66" s="569">
        <v>10.098366889820909</v>
      </c>
      <c r="W66" s="578">
        <v>7.0000000000000062</v>
      </c>
      <c r="X66" s="578">
        <v>7.0000000000000062</v>
      </c>
      <c r="Y66" s="578">
        <v>6.0000000000000053</v>
      </c>
      <c r="Z66" s="578">
        <v>6.0000000000000053</v>
      </c>
      <c r="AA66" s="578">
        <v>6.0000000000000053</v>
      </c>
      <c r="AB66" s="578">
        <v>6.0000000000000053</v>
      </c>
      <c r="AC66" s="578">
        <v>5.0000000000000044</v>
      </c>
      <c r="AD66" s="578">
        <v>5.0000000000000044</v>
      </c>
      <c r="AE66" s="578">
        <v>5.0000000000000044</v>
      </c>
      <c r="AF66" s="578">
        <v>5.0000000000000044</v>
      </c>
      <c r="AG66" s="578">
        <v>5.0000000000000044</v>
      </c>
      <c r="AH66" s="578">
        <v>5.0000000000000044</v>
      </c>
      <c r="AI66" s="578">
        <v>5.0000000000000044</v>
      </c>
      <c r="AJ66" s="578">
        <v>5.0000000000000044</v>
      </c>
      <c r="AK66" s="578">
        <v>5.0000000000000044</v>
      </c>
      <c r="AL66" s="578">
        <v>5.0000000000000044</v>
      </c>
      <c r="AM66" s="261"/>
    </row>
    <row r="67" spans="1:39">
      <c r="A67" s="235" t="s">
        <v>316</v>
      </c>
      <c r="B67" s="254">
        <v>10.500526999999998</v>
      </c>
      <c r="C67" s="254">
        <v>-3.4656149999999926</v>
      </c>
      <c r="D67" s="254">
        <v>-5.5990410000000068</v>
      </c>
      <c r="E67" s="254">
        <v>-6.7528870000000083</v>
      </c>
      <c r="F67" s="254">
        <v>-6.5745019999999954</v>
      </c>
      <c r="G67" s="254">
        <v>-1.1988679999999761</v>
      </c>
      <c r="H67" s="254">
        <v>-0.69774746300000601</v>
      </c>
      <c r="I67" s="254">
        <v>2.6504670000000061</v>
      </c>
      <c r="J67" s="254">
        <v>13.121296999999998</v>
      </c>
      <c r="K67" s="560">
        <v>24.793924087000001</v>
      </c>
      <c r="L67" s="560">
        <v>33.640540716000011</v>
      </c>
      <c r="M67" s="560">
        <v>44.702878255000002</v>
      </c>
      <c r="N67" s="560">
        <v>46.457908543000002</v>
      </c>
      <c r="O67" s="560">
        <v>40.027999999999999</v>
      </c>
      <c r="P67" s="561">
        <v>24.734999999999999</v>
      </c>
      <c r="Q67" s="568">
        <v>25.347999999999999</v>
      </c>
      <c r="R67" s="568">
        <v>20.325000000000017</v>
      </c>
      <c r="S67" s="568">
        <v>29.787048597999998</v>
      </c>
      <c r="T67" s="569">
        <v>21.896471427261503</v>
      </c>
      <c r="U67" s="569">
        <v>19.927328232638899</v>
      </c>
      <c r="V67" s="578">
        <v>26.920000000000016</v>
      </c>
      <c r="W67" s="578">
        <v>-2.1942811000000804</v>
      </c>
      <c r="X67" s="578">
        <v>-2.3478807770000421</v>
      </c>
      <c r="Y67" s="578">
        <v>-2.4887536236200831</v>
      </c>
      <c r="Z67" s="578">
        <v>-2.6380788410373497</v>
      </c>
      <c r="AA67" s="578">
        <v>-2.7963635714995907</v>
      </c>
      <c r="AB67" s="578">
        <v>-2.9641453857895685</v>
      </c>
      <c r="AC67" s="578">
        <v>-3.1123526550790994</v>
      </c>
      <c r="AD67" s="578">
        <v>-3.2679702878330135</v>
      </c>
      <c r="AE67" s="578">
        <v>-3.4313688022246351</v>
      </c>
      <c r="AF67" s="578">
        <v>-3.6029372423358725</v>
      </c>
      <c r="AG67" s="578">
        <v>-3.7830841044527479</v>
      </c>
      <c r="AH67" s="578">
        <v>-3.9722383096753622</v>
      </c>
      <c r="AI67" s="578">
        <v>-4.1708502251592003</v>
      </c>
      <c r="AJ67" s="578">
        <v>-4.3793927364171248</v>
      </c>
      <c r="AK67" s="578">
        <v>-4.5983623732378476</v>
      </c>
      <c r="AL67" s="578">
        <v>-4.8282804918998155</v>
      </c>
      <c r="AM67" s="261"/>
    </row>
    <row r="68" spans="1:39">
      <c r="A68" s="235" t="s">
        <v>317</v>
      </c>
      <c r="B68" s="254">
        <v>-12.311526999999998</v>
      </c>
      <c r="C68" s="254">
        <v>-15.031300000000002</v>
      </c>
      <c r="D68" s="254">
        <v>-17.963506999999996</v>
      </c>
      <c r="E68" s="254">
        <v>-22.076584</v>
      </c>
      <c r="F68" s="254">
        <v>-26.841498000000001</v>
      </c>
      <c r="G68" s="254">
        <v>-24.136132000000025</v>
      </c>
      <c r="H68" s="254">
        <v>-23.52678219810748</v>
      </c>
      <c r="I68" s="254">
        <v>-25.864996000307016</v>
      </c>
      <c r="J68" s="254">
        <v>-20.757926350956403</v>
      </c>
      <c r="K68" s="560">
        <v>-20.616638594568283</v>
      </c>
      <c r="L68" s="560">
        <v>-21.961302709452049</v>
      </c>
      <c r="M68" s="560">
        <v>-30.718221776794699</v>
      </c>
      <c r="N68" s="560">
        <v>-32.81530608782991</v>
      </c>
      <c r="O68" s="560">
        <v>-38.476999999999997</v>
      </c>
      <c r="P68" s="561">
        <v>-53.027999999999999</v>
      </c>
      <c r="Q68" s="568">
        <v>-49.682000000000002</v>
      </c>
      <c r="R68" s="568">
        <v>-67.796000000000006</v>
      </c>
      <c r="S68" s="568">
        <v>-82.286656593020012</v>
      </c>
      <c r="T68" s="578">
        <v>-75.60507203003867</v>
      </c>
      <c r="U68" s="578">
        <v>-86.927733110540899</v>
      </c>
      <c r="V68" s="578">
        <v>-96.917813362353684</v>
      </c>
      <c r="W68" s="578">
        <v>-128.42092196686815</v>
      </c>
      <c r="X68" s="578">
        <v>-137.13959013216231</v>
      </c>
      <c r="Y68" s="578">
        <v>-148.4186862296915</v>
      </c>
      <c r="Z68" s="578">
        <v>-158.76487451984926</v>
      </c>
      <c r="AA68" s="578">
        <v>-170.18191963429976</v>
      </c>
      <c r="AB68" s="578">
        <v>-182.46557615660848</v>
      </c>
      <c r="AC68" s="578">
        <v>-195.91687403143487</v>
      </c>
      <c r="AD68" s="578">
        <v>-210.2730754427763</v>
      </c>
      <c r="AE68" s="578">
        <v>-225.86824140095212</v>
      </c>
      <c r="AF68" s="578">
        <v>-242.7023908295601</v>
      </c>
      <c r="AG68" s="578">
        <v>-260.36005836840786</v>
      </c>
      <c r="AH68" s="578">
        <v>-279.29473428530076</v>
      </c>
      <c r="AI68" s="578">
        <v>-299.61749157674171</v>
      </c>
      <c r="AJ68" s="578">
        <v>-321.45228560680556</v>
      </c>
      <c r="AK68" s="578">
        <v>-344.88379387680828</v>
      </c>
      <c r="AL68" s="578">
        <v>-370.01666214978428</v>
      </c>
      <c r="AM68" s="261"/>
    </row>
    <row r="69" spans="1:39">
      <c r="A69" s="235" t="s">
        <v>318</v>
      </c>
      <c r="B69" s="254">
        <v>-1.8109999999999999</v>
      </c>
      <c r="C69" s="254">
        <v>-18.384</v>
      </c>
      <c r="D69" s="254">
        <v>-23.501999999999999</v>
      </c>
      <c r="E69" s="254">
        <v>-30.452000000000002</v>
      </c>
      <c r="F69" s="254">
        <v>-33.415999999999997</v>
      </c>
      <c r="G69" s="254">
        <v>-25.335000000000001</v>
      </c>
      <c r="H69" s="254">
        <v>-24.224529661107486</v>
      </c>
      <c r="I69" s="254">
        <v>-23.21452900030701</v>
      </c>
      <c r="J69" s="254">
        <v>-7.6366293509564027</v>
      </c>
      <c r="K69" s="560">
        <v>4.1772854924317171</v>
      </c>
      <c r="L69" s="560">
        <v>11.679238006547964</v>
      </c>
      <c r="M69" s="560">
        <v>13.984656478205302</v>
      </c>
      <c r="N69" s="560">
        <v>13.642602455170094</v>
      </c>
      <c r="O69" s="560">
        <v>1.5509999999999999</v>
      </c>
      <c r="P69" s="561">
        <v>-28.3</v>
      </c>
      <c r="Q69" s="568">
        <v>-24.334000000000003</v>
      </c>
      <c r="R69" s="568">
        <v>-47.364730697529993</v>
      </c>
      <c r="S69" s="568">
        <v>-52.48012706502</v>
      </c>
      <c r="T69" s="569">
        <v>-54.000223161068014</v>
      </c>
      <c r="U69" s="569">
        <v>-67.000404877901943</v>
      </c>
      <c r="V69" s="569">
        <v>-69.999924768298996</v>
      </c>
      <c r="W69" s="569">
        <v>-127.44657758270644</v>
      </c>
      <c r="X69" s="569">
        <v>-136.20875289682266</v>
      </c>
      <c r="Y69" s="569">
        <v>-147.56636127362825</v>
      </c>
      <c r="Z69" s="569">
        <v>-157.94526458763789</v>
      </c>
      <c r="AA69" s="569">
        <v>-169.39991431458233</v>
      </c>
      <c r="AB69" s="569">
        <v>-181.72646056046796</v>
      </c>
      <c r="AC69" s="569">
        <v>-195.19671463501848</v>
      </c>
      <c r="AD69" s="569">
        <v>-209.57477149378715</v>
      </c>
      <c r="AE69" s="569">
        <v>-225.21463937706142</v>
      </c>
      <c r="AF69" s="569">
        <v>-242.09810848649911</v>
      </c>
      <c r="AG69" s="569">
        <v>-259.79926347855468</v>
      </c>
      <c r="AH69" s="569">
        <v>-278.77105783586944</v>
      </c>
      <c r="AI69" s="569">
        <v>-299.13507002622555</v>
      </c>
      <c r="AJ69" s="569">
        <v>-321.01554205539861</v>
      </c>
      <c r="AK69" s="569">
        <v>-344.49745519214827</v>
      </c>
      <c r="AL69" s="569">
        <v>-369.68577704675977</v>
      </c>
      <c r="AM69" s="261"/>
    </row>
    <row r="70" spans="1:39">
      <c r="A70" s="235" t="s">
        <v>319</v>
      </c>
      <c r="B70" s="254">
        <v>-0.3334643191981595</v>
      </c>
      <c r="C70" s="254">
        <v>-2.3864467307270956</v>
      </c>
      <c r="D70" s="254">
        <v>-2.7969632795485642</v>
      </c>
      <c r="E70" s="254">
        <v>-3.4951103702992201</v>
      </c>
      <c r="F70" s="254">
        <v>-3.9593122615577925</v>
      </c>
      <c r="G70" s="254">
        <v>-4.3176560979834875</v>
      </c>
      <c r="H70" s="254">
        <v>-3.7559078900737779</v>
      </c>
      <c r="I70" s="254">
        <v>-4.1921697119194921</v>
      </c>
      <c r="J70" s="254">
        <v>-1.5141995247059523</v>
      </c>
      <c r="K70" s="560">
        <v>0.75451213213580648</v>
      </c>
      <c r="L70" s="560">
        <v>1.7602190850034352</v>
      </c>
      <c r="M70" s="560">
        <v>1.5860756031989627</v>
      </c>
      <c r="N70" s="560">
        <v>1.2549966664769516</v>
      </c>
      <c r="O70" s="560">
        <v>0.11349546964586063</v>
      </c>
      <c r="P70" s="561">
        <v>-1.7274163398452558</v>
      </c>
      <c r="Q70" s="568">
        <v>-1.5464819649479105</v>
      </c>
      <c r="R70" s="568">
        <v>-2.2145084247240585</v>
      </c>
      <c r="S70" s="568">
        <v>-2.0936778581214446</v>
      </c>
      <c r="T70" s="569">
        <v>-2.3583896986331272</v>
      </c>
      <c r="U70" s="569">
        <v>-2.8221087830471583</v>
      </c>
      <c r="V70" s="569">
        <v>-2.8708292932844182</v>
      </c>
      <c r="W70" s="569">
        <v>-5.0796461040964154</v>
      </c>
      <c r="X70" s="569">
        <v>-5.2761247589951186</v>
      </c>
      <c r="Y70" s="569">
        <v>-5.5308413144650768</v>
      </c>
      <c r="Z70" s="569">
        <v>-5.6705869645860059</v>
      </c>
      <c r="AA70" s="569">
        <v>-5.7984196398975705</v>
      </c>
      <c r="AB70" s="569">
        <v>-5.9338367892349915</v>
      </c>
      <c r="AC70" s="569">
        <v>-6.0824704841579083</v>
      </c>
      <c r="AD70" s="569">
        <v>-6.2304593208914447</v>
      </c>
      <c r="AE70" s="569">
        <v>-6.3523887756602173</v>
      </c>
      <c r="AF70" s="569">
        <v>-6.4787502421110439</v>
      </c>
      <c r="AG70" s="569">
        <v>-6.5962505959142135</v>
      </c>
      <c r="AH70" s="569">
        <v>-6.7153136678942005</v>
      </c>
      <c r="AI70" s="569">
        <v>-6.8366813911739506</v>
      </c>
      <c r="AJ70" s="569">
        <v>-6.9608689522926479</v>
      </c>
      <c r="AK70" s="569">
        <v>-7.0873324587082909</v>
      </c>
      <c r="AL70" s="569">
        <v>-7.2158736275954833</v>
      </c>
      <c r="AM70" s="261"/>
    </row>
    <row r="71" spans="1:39">
      <c r="A71" s="235" t="s">
        <v>320</v>
      </c>
      <c r="B71" s="254" t="s">
        <v>260</v>
      </c>
      <c r="C71" s="254">
        <v>-10.600210034377612</v>
      </c>
      <c r="D71" s="254">
        <v>-14.069827693306447</v>
      </c>
      <c r="E71" s="254">
        <v>-25.434575117998079</v>
      </c>
      <c r="F71" s="254">
        <v>-30.174998999999996</v>
      </c>
      <c r="G71" s="254">
        <v>-45.600309377536959</v>
      </c>
      <c r="H71" s="254">
        <v>-32.087762639755248</v>
      </c>
      <c r="I71" s="254">
        <v>-35.269160769927346</v>
      </c>
      <c r="J71" s="254">
        <v>-31.142803814270021</v>
      </c>
      <c r="K71" s="553">
        <v>-27.180123286254883</v>
      </c>
      <c r="L71" s="553">
        <v>-33.261000000000003</v>
      </c>
      <c r="M71" s="553">
        <v>-32.953000000000003</v>
      </c>
      <c r="N71" s="553">
        <v>-42.627000000000002</v>
      </c>
      <c r="O71" s="553">
        <v>-38.1</v>
      </c>
      <c r="P71" s="568">
        <v>-22.364000000000001</v>
      </c>
      <c r="Q71" s="568">
        <v>-30.134</v>
      </c>
      <c r="R71" s="568">
        <v>-33.844000000000001</v>
      </c>
      <c r="S71" s="568">
        <v>-37.071526521919999</v>
      </c>
      <c r="T71" s="569">
        <v>-41</v>
      </c>
      <c r="U71" s="578">
        <v>-57.9</v>
      </c>
      <c r="V71" s="578">
        <v>-43</v>
      </c>
      <c r="W71" s="578">
        <v>-44.085711043499998</v>
      </c>
      <c r="X71" s="578">
        <v>-30.045222961059999</v>
      </c>
      <c r="Y71" s="578">
        <v>-23.83299338166</v>
      </c>
      <c r="Z71" s="578">
        <v>-19.12665797384</v>
      </c>
      <c r="AA71" s="578">
        <v>-19.614644917170001</v>
      </c>
      <c r="AB71" s="578">
        <v>-20.517446387659998</v>
      </c>
      <c r="AC71" s="578">
        <v>-13.43372045529</v>
      </c>
      <c r="AD71" s="578">
        <v>-19.698388395479995</v>
      </c>
      <c r="AE71" s="578">
        <v>-3.87136516733</v>
      </c>
      <c r="AF71" s="578">
        <v>-4.0443026801300004</v>
      </c>
      <c r="AG71" s="578">
        <v>-4.7912079189300005</v>
      </c>
      <c r="AH71" s="578">
        <v>-4</v>
      </c>
      <c r="AI71" s="578">
        <v>-4</v>
      </c>
      <c r="AJ71" s="578">
        <v>-4</v>
      </c>
      <c r="AK71" s="578">
        <v>-4</v>
      </c>
      <c r="AL71" s="578">
        <v>-4</v>
      </c>
      <c r="AM71" s="261"/>
    </row>
    <row r="72" spans="1:39">
      <c r="A72" s="235" t="s">
        <v>321</v>
      </c>
      <c r="B72" s="254" t="s">
        <v>260</v>
      </c>
      <c r="C72" s="254">
        <v>7.7837899656223879</v>
      </c>
      <c r="D72" s="254">
        <v>9.4321723066935519</v>
      </c>
      <c r="E72" s="254">
        <v>5.0174248820019223</v>
      </c>
      <c r="F72" s="254">
        <v>3.2410010000000007</v>
      </c>
      <c r="G72" s="254">
        <v>-20.265309377536958</v>
      </c>
      <c r="H72" s="254">
        <v>-56.312762639755249</v>
      </c>
      <c r="I72" s="254">
        <v>-58.484160769927342</v>
      </c>
      <c r="J72" s="254">
        <v>-38.779803814270018</v>
      </c>
      <c r="K72" s="553">
        <v>-23.003123286254883</v>
      </c>
      <c r="L72" s="568">
        <v>-21.581761993452041</v>
      </c>
      <c r="M72" s="568">
        <v>-18.968343521794701</v>
      </c>
      <c r="N72" s="568">
        <v>-28.98439754482991</v>
      </c>
      <c r="O72" s="568">
        <v>-36.548999999999999</v>
      </c>
      <c r="P72" s="568">
        <v>-50.664000000000001</v>
      </c>
      <c r="Q72" s="568">
        <v>-54.468000000000004</v>
      </c>
      <c r="R72" s="568">
        <v>-81.361999999999995</v>
      </c>
      <c r="S72" s="568">
        <v>-89.551653586940006</v>
      </c>
      <c r="T72" s="569">
        <v>-95.000223161068021</v>
      </c>
      <c r="U72" s="569">
        <v>-124.90040487790193</v>
      </c>
      <c r="V72" s="569">
        <v>-112.999924768299</v>
      </c>
      <c r="W72" s="569">
        <v>-171.53228862620642</v>
      </c>
      <c r="X72" s="569">
        <v>-166.25397585788266</v>
      </c>
      <c r="Y72" s="569">
        <v>-171.39935465528825</v>
      </c>
      <c r="Z72" s="569">
        <v>-177.07192256147789</v>
      </c>
      <c r="AA72" s="569">
        <v>-189.01455923175234</v>
      </c>
      <c r="AB72" s="569">
        <v>-202.24390694812794</v>
      </c>
      <c r="AC72" s="569">
        <v>-208.63043509030848</v>
      </c>
      <c r="AD72" s="569">
        <v>-229.27315988926716</v>
      </c>
      <c r="AE72" s="569">
        <v>-229.08600454439141</v>
      </c>
      <c r="AF72" s="569">
        <v>-246.1424111666291</v>
      </c>
      <c r="AG72" s="569">
        <v>-264.59047139748469</v>
      </c>
      <c r="AH72" s="569">
        <v>-282.77105783586944</v>
      </c>
      <c r="AI72" s="569">
        <v>-303.13507002622555</v>
      </c>
      <c r="AJ72" s="569">
        <v>-325.01554205539861</v>
      </c>
      <c r="AK72" s="569">
        <v>-348.49745519214827</v>
      </c>
      <c r="AL72" s="569">
        <v>-373.68577704675977</v>
      </c>
      <c r="AM72" s="261"/>
    </row>
    <row r="73" spans="1:39">
      <c r="A73" s="235" t="s">
        <v>322</v>
      </c>
      <c r="B73" s="254">
        <v>2.1499000000000001</v>
      </c>
      <c r="C73" s="254">
        <v>4.4050000000000002</v>
      </c>
      <c r="D73" s="254">
        <v>10.792</v>
      </c>
      <c r="E73" s="254">
        <v>18.992999999999999</v>
      </c>
      <c r="F73" s="254">
        <v>28.856000000000002</v>
      </c>
      <c r="G73" s="254">
        <v>28.577999999999999</v>
      </c>
      <c r="H73" s="254">
        <v>32.779000000000003</v>
      </c>
      <c r="I73" s="254">
        <v>22.457000000000001</v>
      </c>
      <c r="J73" s="254">
        <v>16.59</v>
      </c>
      <c r="K73" s="553">
        <v>10.144</v>
      </c>
      <c r="L73" s="553">
        <v>18.166</v>
      </c>
      <c r="M73" s="553">
        <v>15.193</v>
      </c>
      <c r="N73" s="553">
        <v>18.782</v>
      </c>
      <c r="O73" s="553">
        <v>34.584901025142017</v>
      </c>
      <c r="P73" s="568">
        <v>45.06</v>
      </c>
      <c r="Q73" s="568">
        <v>25.949000000000002</v>
      </c>
      <c r="R73" s="568">
        <v>48.462000000000003</v>
      </c>
      <c r="S73" s="568">
        <v>66.700221668370006</v>
      </c>
      <c r="T73" s="569">
        <v>60</v>
      </c>
      <c r="U73" s="578">
        <v>62</v>
      </c>
      <c r="V73" s="578">
        <v>65</v>
      </c>
      <c r="W73" s="578">
        <v>76.269443333452259</v>
      </c>
      <c r="X73" s="578">
        <v>81.205155463389829</v>
      </c>
      <c r="Y73" s="578">
        <v>86.082158306329831</v>
      </c>
      <c r="Z73" s="578">
        <v>92.674292442485338</v>
      </c>
      <c r="AA73" s="578">
        <v>99.771249335459103</v>
      </c>
      <c r="AB73" s="578">
        <v>107.38446862311392</v>
      </c>
      <c r="AC73" s="578">
        <v>115.5814948222696</v>
      </c>
      <c r="AD73" s="578">
        <v>124.43267528192287</v>
      </c>
      <c r="AE73" s="578">
        <v>131.39194231556078</v>
      </c>
      <c r="AF73" s="578">
        <v>140.92696876688748</v>
      </c>
      <c r="AG73" s="578">
        <v>151.23624705517102</v>
      </c>
      <c r="AH73" s="578">
        <v>162.38088858668357</v>
      </c>
      <c r="AI73" s="578">
        <v>174.43073279257518</v>
      </c>
      <c r="AJ73" s="578">
        <v>187.46580747232321</v>
      </c>
      <c r="AK73" s="578">
        <v>201.57376829090381</v>
      </c>
      <c r="AL73" s="578">
        <v>216.85067678920703</v>
      </c>
      <c r="AM73" s="261"/>
    </row>
    <row r="74" spans="1:39" ht="12" customHeight="1">
      <c r="A74" s="235" t="s">
        <v>323</v>
      </c>
      <c r="B74" s="254">
        <v>38.805999999999997</v>
      </c>
      <c r="C74" s="254">
        <v>51.84</v>
      </c>
      <c r="D74" s="254">
        <v>60.11</v>
      </c>
      <c r="E74" s="254">
        <v>52.173000000000002</v>
      </c>
      <c r="F74" s="254">
        <v>44.555999999999997</v>
      </c>
      <c r="G74" s="254">
        <v>36.341999999999999</v>
      </c>
      <c r="H74" s="254">
        <v>33.011000000000003</v>
      </c>
      <c r="I74" s="254">
        <v>35.866</v>
      </c>
      <c r="J74" s="254">
        <v>37.823</v>
      </c>
      <c r="K74" s="553">
        <v>49.295999999999999</v>
      </c>
      <c r="L74" s="553">
        <v>52.935000000000002</v>
      </c>
      <c r="M74" s="553">
        <v>53.798999999999999</v>
      </c>
      <c r="N74" s="553">
        <v>85.838999999999999</v>
      </c>
      <c r="O74" s="553">
        <v>180.334</v>
      </c>
      <c r="P74" s="568">
        <v>193.78299999999999</v>
      </c>
      <c r="Q74" s="568">
        <v>238.52</v>
      </c>
      <c r="R74" s="568">
        <v>288.57499999999999</v>
      </c>
      <c r="S74" s="568">
        <v>352.01207401523806</v>
      </c>
      <c r="T74" s="578">
        <v>380</v>
      </c>
      <c r="U74" s="578">
        <v>390</v>
      </c>
      <c r="V74" s="578">
        <v>400</v>
      </c>
      <c r="W74" s="578">
        <v>363.35135810798516</v>
      </c>
      <c r="X74" s="578">
        <v>365.38912476973388</v>
      </c>
      <c r="Y74" s="578">
        <v>368.53564466622765</v>
      </c>
      <c r="Z74" s="578">
        <v>375.68312578745434</v>
      </c>
      <c r="AA74" s="578">
        <v>383.81661379219963</v>
      </c>
      <c r="AB74" s="578">
        <v>394.70694332263076</v>
      </c>
      <c r="AC74" s="578">
        <v>405.22971965405816</v>
      </c>
      <c r="AD74" s="578">
        <v>416.60440010385906</v>
      </c>
      <c r="AE74" s="578">
        <v>429.36389458586842</v>
      </c>
      <c r="AF74" s="578">
        <v>441.48837710096734</v>
      </c>
      <c r="AG74" s="578">
        <v>454.85702480815826</v>
      </c>
      <c r="AH74" s="578">
        <v>468.79841329498225</v>
      </c>
      <c r="AI74" s="578">
        <v>483.50384014156253</v>
      </c>
      <c r="AJ74" s="578">
        <v>498.95910707440908</v>
      </c>
      <c r="AK74" s="578">
        <v>515.04073599507274</v>
      </c>
      <c r="AL74" s="578">
        <v>532.00466615671053</v>
      </c>
      <c r="AM74" s="261"/>
    </row>
    <row r="75" spans="1:39">
      <c r="A75" s="235"/>
      <c r="B75" s="254"/>
      <c r="C75" s="254"/>
      <c r="D75" s="254"/>
      <c r="E75" s="254">
        <v>-3.4951103702992203E-2</v>
      </c>
      <c r="F75" s="254"/>
      <c r="G75" s="254"/>
      <c r="H75" s="254"/>
      <c r="I75" s="254"/>
      <c r="J75" s="254"/>
      <c r="K75" s="254"/>
      <c r="L75" s="254"/>
      <c r="M75" s="254"/>
      <c r="N75" s="254"/>
      <c r="O75" s="285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86"/>
      <c r="AB75" s="286"/>
      <c r="AC75" s="286"/>
      <c r="AD75" s="286"/>
      <c r="AE75" s="286"/>
      <c r="AF75" s="286"/>
      <c r="AG75" s="286"/>
      <c r="AH75" s="286"/>
      <c r="AI75" s="286"/>
      <c r="AJ75" s="286"/>
      <c r="AK75" s="286"/>
      <c r="AL75" s="286"/>
      <c r="AM75" s="261"/>
    </row>
    <row r="76" spans="1:39">
      <c r="A76" s="248" t="s">
        <v>324</v>
      </c>
      <c r="B76" s="254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72"/>
      <c r="Q76" s="272"/>
      <c r="R76" s="272"/>
      <c r="S76" s="272"/>
      <c r="T76" s="272"/>
      <c r="U76" s="272"/>
      <c r="V76" s="272"/>
      <c r="W76" s="272"/>
      <c r="X76" s="272"/>
      <c r="Y76" s="272"/>
      <c r="Z76" s="272"/>
      <c r="AA76" s="272"/>
      <c r="AB76" s="272"/>
      <c r="AC76" s="272"/>
      <c r="AD76" s="272"/>
      <c r="AE76" s="272"/>
      <c r="AF76" s="272"/>
      <c r="AG76" s="272"/>
      <c r="AH76" s="272"/>
      <c r="AI76" s="272"/>
      <c r="AJ76" s="272"/>
      <c r="AK76" s="272"/>
      <c r="AL76" s="272"/>
      <c r="AM76" s="261"/>
    </row>
    <row r="77" spans="1:39">
      <c r="A77" s="235" t="s">
        <v>325</v>
      </c>
      <c r="B77" s="254">
        <v>-5.2138702600509106</v>
      </c>
      <c r="C77" s="254">
        <v>-0.26661446335954569</v>
      </c>
      <c r="D77" s="254">
        <v>9.4947057126537185E-2</v>
      </c>
      <c r="E77" s="254">
        <v>0.95430224532382124</v>
      </c>
      <c r="F77" s="254">
        <v>-1.1627806493610322E-2</v>
      </c>
      <c r="G77" s="254">
        <v>-3.1922305990885627</v>
      </c>
      <c r="H77" s="254">
        <v>-3.27</v>
      </c>
      <c r="I77" s="254">
        <v>-3.41</v>
      </c>
      <c r="J77" s="254">
        <v>-3.65</v>
      </c>
      <c r="K77" s="553">
        <v>-3.3430040212994756</v>
      </c>
      <c r="L77" s="553">
        <v>-3.8034476471260854</v>
      </c>
      <c r="M77" s="553">
        <v>-3.9320648516536818</v>
      </c>
      <c r="N77" s="553">
        <v>-3.2419498378975078</v>
      </c>
      <c r="O77" s="553">
        <v>-3.4543357794010299</v>
      </c>
      <c r="P77" s="579">
        <v>-3.5415856249077957</v>
      </c>
      <c r="Q77" s="579">
        <v>-2.0579741412480517</v>
      </c>
      <c r="R77" s="579">
        <v>-2.78058188327664</v>
      </c>
      <c r="S77" s="579">
        <v>-3.1</v>
      </c>
      <c r="T77" s="569">
        <v>-2.8</v>
      </c>
      <c r="U77" s="569">
        <v>-2.5</v>
      </c>
      <c r="V77" s="569">
        <v>-2</v>
      </c>
      <c r="W77" s="569">
        <v>-1.5</v>
      </c>
      <c r="X77" s="569">
        <v>-1</v>
      </c>
      <c r="Y77" s="569">
        <v>-1</v>
      </c>
      <c r="Z77" s="569">
        <v>-1</v>
      </c>
      <c r="AA77" s="569">
        <v>-1</v>
      </c>
      <c r="AB77" s="569">
        <v>-1</v>
      </c>
      <c r="AC77" s="569">
        <v>-1</v>
      </c>
      <c r="AD77" s="569">
        <v>-1</v>
      </c>
      <c r="AE77" s="569">
        <v>-1</v>
      </c>
      <c r="AF77" s="569">
        <v>-1</v>
      </c>
      <c r="AG77" s="569">
        <v>-1</v>
      </c>
      <c r="AH77" s="569">
        <v>-1</v>
      </c>
      <c r="AI77" s="569">
        <v>-1</v>
      </c>
      <c r="AJ77" s="569">
        <v>-1</v>
      </c>
      <c r="AK77" s="569">
        <v>-1</v>
      </c>
      <c r="AL77" s="569">
        <v>-1</v>
      </c>
      <c r="AM77" s="261"/>
    </row>
    <row r="78" spans="1:39">
      <c r="A78" s="235" t="s">
        <v>326</v>
      </c>
      <c r="B78" s="254">
        <v>24.67</v>
      </c>
      <c r="C78" s="254">
        <v>7.15</v>
      </c>
      <c r="D78" s="254">
        <v>5.77</v>
      </c>
      <c r="E78" s="254">
        <v>5.93</v>
      </c>
      <c r="F78" s="254">
        <v>7.46</v>
      </c>
      <c r="G78" s="254">
        <v>5.84</v>
      </c>
      <c r="H78" s="254">
        <v>3.35</v>
      </c>
      <c r="I78" s="254">
        <v>3.22</v>
      </c>
      <c r="J78" s="254">
        <v>3.95</v>
      </c>
      <c r="K78" s="580">
        <v>5.1311392900089547</v>
      </c>
      <c r="L78" s="580">
        <v>2.7879515089869531</v>
      </c>
      <c r="M78" s="580">
        <v>3.3810831779283448</v>
      </c>
      <c r="N78" s="580">
        <v>3.5399759363344598</v>
      </c>
      <c r="O78" s="580">
        <v>2.6863072685715461</v>
      </c>
      <c r="P78" s="580">
        <v>1.9048947996574508</v>
      </c>
      <c r="Q78" s="580">
        <v>3.3372101556367202</v>
      </c>
      <c r="R78" s="580">
        <v>2.5611999999999999</v>
      </c>
      <c r="S78" s="579">
        <v>2.6</v>
      </c>
      <c r="T78" s="569">
        <v>2.1</v>
      </c>
      <c r="U78" s="569">
        <v>1.7</v>
      </c>
      <c r="V78" s="569">
        <v>0.99129737413855157</v>
      </c>
      <c r="W78" s="569">
        <v>1.8615188056563952</v>
      </c>
      <c r="X78" s="569">
        <v>2.5096243385759589</v>
      </c>
      <c r="Y78" s="569">
        <v>2.480110411608917</v>
      </c>
      <c r="Z78" s="569">
        <v>2.4948646528246217</v>
      </c>
      <c r="AA78" s="569">
        <v>2.4948646528246217</v>
      </c>
      <c r="AB78" s="569">
        <v>2.4383000000000004</v>
      </c>
      <c r="AC78" s="569">
        <v>2.4383000000000004</v>
      </c>
      <c r="AD78" s="569">
        <v>2.3506999999999998</v>
      </c>
      <c r="AE78" s="569">
        <v>2.3506999999999998</v>
      </c>
      <c r="AF78" s="569">
        <v>2.3506999999999998</v>
      </c>
      <c r="AG78" s="569">
        <v>2.3506999999999998</v>
      </c>
      <c r="AH78" s="569">
        <v>2.3506999999999998</v>
      </c>
      <c r="AI78" s="569">
        <v>2.2594499999999997</v>
      </c>
      <c r="AJ78" s="569">
        <v>2.2594499999999997</v>
      </c>
      <c r="AK78" s="569">
        <v>2.2594499999999997</v>
      </c>
      <c r="AL78" s="569">
        <v>2.2594499999999997</v>
      </c>
      <c r="AM78" s="261"/>
    </row>
    <row r="79" spans="1:39">
      <c r="A79" s="235" t="s">
        <v>327</v>
      </c>
      <c r="B79" s="254">
        <v>30.02</v>
      </c>
      <c r="C79" s="254">
        <v>30.556482944615311</v>
      </c>
      <c r="D79" s="254">
        <v>33.28</v>
      </c>
      <c r="E79" s="254">
        <v>34.35</v>
      </c>
      <c r="F79" s="254">
        <v>41.71</v>
      </c>
      <c r="G79" s="254">
        <v>48.7</v>
      </c>
      <c r="H79" s="254">
        <v>45.6</v>
      </c>
      <c r="I79" s="254">
        <v>48.5</v>
      </c>
      <c r="J79" s="254">
        <v>51.1</v>
      </c>
      <c r="K79" s="553">
        <v>54.921095404061703</v>
      </c>
      <c r="L79" s="553">
        <v>50.578103275426365</v>
      </c>
      <c r="M79" s="553">
        <v>48.214397979089227</v>
      </c>
      <c r="N79" s="553">
        <v>46.953442824068077</v>
      </c>
      <c r="O79" s="553">
        <v>45.120027139480875</v>
      </c>
      <c r="P79" s="581">
        <v>38.391918352182252</v>
      </c>
      <c r="Q79" s="582">
        <v>42.912937511292711</v>
      </c>
      <c r="R79" s="582">
        <v>40.200000000000003</v>
      </c>
      <c r="S79" s="579">
        <v>36.5</v>
      </c>
      <c r="T79" s="569">
        <v>35</v>
      </c>
      <c r="U79" s="569">
        <v>34</v>
      </c>
      <c r="V79" s="569">
        <v>36.5</v>
      </c>
      <c r="W79" s="569">
        <v>36.5</v>
      </c>
      <c r="X79" s="569">
        <v>36.5</v>
      </c>
      <c r="Y79" s="569">
        <v>36.5</v>
      </c>
      <c r="Z79" s="569">
        <v>36.5</v>
      </c>
      <c r="AA79" s="569">
        <v>36.5</v>
      </c>
      <c r="AB79" s="569">
        <v>36.5</v>
      </c>
      <c r="AC79" s="569">
        <v>36.5</v>
      </c>
      <c r="AD79" s="569">
        <v>36.5</v>
      </c>
      <c r="AE79" s="569">
        <v>36.5</v>
      </c>
      <c r="AF79" s="569">
        <v>36.5</v>
      </c>
      <c r="AG79" s="569">
        <v>36.5</v>
      </c>
      <c r="AH79" s="569">
        <v>36.5</v>
      </c>
      <c r="AI79" s="569">
        <v>36.5</v>
      </c>
      <c r="AJ79" s="569">
        <v>36.5</v>
      </c>
      <c r="AK79" s="569">
        <v>36.5</v>
      </c>
      <c r="AL79" s="569">
        <v>36.5</v>
      </c>
      <c r="AM79" s="261"/>
    </row>
    <row r="80" spans="1:39">
      <c r="A80" s="235"/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87"/>
      <c r="Q80" s="255"/>
      <c r="R80" s="255"/>
      <c r="S80" s="255"/>
      <c r="T80" s="255"/>
      <c r="U80" s="255"/>
      <c r="V80" s="255"/>
      <c r="W80" s="255"/>
      <c r="X80" s="255"/>
      <c r="Y80" s="255"/>
      <c r="Z80" s="255"/>
      <c r="AA80" s="255"/>
      <c r="AB80" s="255"/>
      <c r="AC80" s="255"/>
      <c r="AD80" s="255"/>
      <c r="AE80" s="255"/>
      <c r="AF80" s="255"/>
      <c r="AG80" s="255"/>
      <c r="AH80" s="255"/>
      <c r="AI80" s="255"/>
      <c r="AJ80" s="255"/>
      <c r="AK80" s="255"/>
      <c r="AL80" s="255"/>
      <c r="AM80" s="261"/>
    </row>
    <row r="81" spans="1:39">
      <c r="A81" s="248" t="s">
        <v>328</v>
      </c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  <c r="AA81" s="272"/>
      <c r="AB81" s="272"/>
      <c r="AC81" s="272"/>
      <c r="AD81" s="272"/>
      <c r="AE81" s="272"/>
      <c r="AF81" s="272"/>
      <c r="AG81" s="272"/>
      <c r="AH81" s="272"/>
      <c r="AI81" s="272"/>
      <c r="AJ81" s="272"/>
      <c r="AK81" s="272"/>
      <c r="AL81" s="272"/>
      <c r="AM81" s="261"/>
    </row>
    <row r="82" spans="1:39">
      <c r="A82" s="235" t="s">
        <v>329</v>
      </c>
      <c r="B82" s="254">
        <v>4.0198069749226795</v>
      </c>
      <c r="C82" s="254">
        <v>2.5039882585667694</v>
      </c>
      <c r="D82" s="254">
        <v>3.7003374130009759</v>
      </c>
      <c r="E82" s="254">
        <v>4.4975927193266818</v>
      </c>
      <c r="F82" s="254">
        <v>4.1753317630838227</v>
      </c>
      <c r="G82" s="254">
        <v>4.4491502056932308</v>
      </c>
      <c r="H82" s="254">
        <v>3.660918872686203</v>
      </c>
      <c r="I82" s="254">
        <v>0.75073851482123644</v>
      </c>
      <c r="J82" s="254">
        <v>1.5984712912129329</v>
      </c>
      <c r="K82" s="553">
        <v>2.5097524082477563</v>
      </c>
      <c r="L82" s="553">
        <v>3.5732684723031483</v>
      </c>
      <c r="M82" s="553">
        <v>3.0543143234560421</v>
      </c>
      <c r="N82" s="553">
        <v>2.6734054021976705</v>
      </c>
      <c r="O82" s="553">
        <v>1.9466332723244495</v>
      </c>
      <c r="P82" s="568">
        <v>-1.1102230246251565E-14</v>
      </c>
      <c r="Q82" s="568">
        <v>-3.5</v>
      </c>
      <c r="R82" s="568">
        <v>3</v>
      </c>
      <c r="S82" s="583">
        <v>1.7</v>
      </c>
      <c r="T82" s="569">
        <v>2.1</v>
      </c>
      <c r="U82" s="569">
        <v>1.9</v>
      </c>
      <c r="V82" s="569">
        <v>1.8</v>
      </c>
      <c r="W82" s="569">
        <v>1.8</v>
      </c>
      <c r="X82" s="569">
        <v>3.4</v>
      </c>
      <c r="Y82" s="569">
        <v>3.4</v>
      </c>
      <c r="Z82" s="569">
        <v>3.4</v>
      </c>
      <c r="AA82" s="569">
        <v>3.4</v>
      </c>
      <c r="AB82" s="569">
        <v>3.4</v>
      </c>
      <c r="AC82" s="569">
        <v>3.4</v>
      </c>
      <c r="AD82" s="569">
        <v>3.4</v>
      </c>
      <c r="AE82" s="569">
        <v>3.4</v>
      </c>
      <c r="AF82" s="569">
        <v>3.4</v>
      </c>
      <c r="AG82" s="569">
        <v>3.4</v>
      </c>
      <c r="AH82" s="569">
        <v>3.4</v>
      </c>
      <c r="AI82" s="569">
        <v>3.4</v>
      </c>
      <c r="AJ82" s="569">
        <v>3.4</v>
      </c>
      <c r="AK82" s="569">
        <v>3.4</v>
      </c>
      <c r="AL82" s="569">
        <v>3.4</v>
      </c>
      <c r="AM82" s="261"/>
    </row>
    <row r="83" spans="1:39">
      <c r="A83" s="235" t="s">
        <v>330</v>
      </c>
      <c r="B83" s="254">
        <v>2.5974025974025761</v>
      </c>
      <c r="C83" s="254">
        <v>2.5316455696202667</v>
      </c>
      <c r="D83" s="254">
        <v>3.378817413905133</v>
      </c>
      <c r="E83" s="254">
        <v>1.6970458830924073</v>
      </c>
      <c r="F83" s="254">
        <v>1.606922126081578</v>
      </c>
      <c r="G83" s="254">
        <v>2.6763990267639981</v>
      </c>
      <c r="H83" s="254">
        <v>3.4360189573459543</v>
      </c>
      <c r="I83" s="254">
        <v>1.6036655211913109</v>
      </c>
      <c r="J83" s="254">
        <v>2.4802705749718212</v>
      </c>
      <c r="K83" s="553">
        <v>2.2979985174202966</v>
      </c>
      <c r="L83" s="553">
        <v>2.6675724637680975</v>
      </c>
      <c r="M83" s="553">
        <v>3.3790639198906458</v>
      </c>
      <c r="N83" s="553">
        <v>3.2216769788777411</v>
      </c>
      <c r="O83" s="553">
        <v>2.859859446052071</v>
      </c>
      <c r="P83" s="568">
        <v>3.7982380695930296</v>
      </c>
      <c r="Q83" s="568">
        <v>-0.32</v>
      </c>
      <c r="R83" s="568">
        <v>1.6</v>
      </c>
      <c r="S83" s="583">
        <v>3.1</v>
      </c>
      <c r="T83" s="569">
        <v>2.2000000000000002</v>
      </c>
      <c r="U83" s="569">
        <v>2.1</v>
      </c>
      <c r="V83" s="569">
        <v>2</v>
      </c>
      <c r="W83" s="569">
        <v>2</v>
      </c>
      <c r="X83" s="569">
        <v>2</v>
      </c>
      <c r="Y83" s="569">
        <v>2</v>
      </c>
      <c r="Z83" s="569">
        <v>2</v>
      </c>
      <c r="AA83" s="569">
        <v>2</v>
      </c>
      <c r="AB83" s="569">
        <v>2</v>
      </c>
      <c r="AC83" s="569">
        <v>2</v>
      </c>
      <c r="AD83" s="569">
        <v>2</v>
      </c>
      <c r="AE83" s="569">
        <v>2</v>
      </c>
      <c r="AF83" s="569">
        <v>2</v>
      </c>
      <c r="AG83" s="569">
        <v>2</v>
      </c>
      <c r="AH83" s="569">
        <v>2</v>
      </c>
      <c r="AI83" s="569">
        <v>2</v>
      </c>
      <c r="AJ83" s="569">
        <v>2</v>
      </c>
      <c r="AK83" s="569">
        <v>2</v>
      </c>
      <c r="AL83" s="569">
        <v>2</v>
      </c>
      <c r="AM83" s="261"/>
    </row>
    <row r="84" spans="1:39">
      <c r="A84" s="235" t="s">
        <v>331</v>
      </c>
      <c r="B84" s="254">
        <v>2.5923525599481634</v>
      </c>
      <c r="C84" s="254">
        <v>3.0322173089071258</v>
      </c>
      <c r="D84" s="254">
        <v>2.6364193746168052</v>
      </c>
      <c r="E84" s="254">
        <v>2.270011947431283</v>
      </c>
      <c r="F84" s="254">
        <v>2.4532710280373848</v>
      </c>
      <c r="G84" s="254">
        <v>1.8814139110604255</v>
      </c>
      <c r="H84" s="254">
        <v>2.5741466144376224</v>
      </c>
      <c r="I84" s="254">
        <v>2.7823240589198051</v>
      </c>
      <c r="J84" s="254">
        <v>1.9639065817409707</v>
      </c>
      <c r="K84" s="553">
        <v>1.4615148995755556</v>
      </c>
      <c r="L84" s="553">
        <v>1.7682321990770689</v>
      </c>
      <c r="M84" s="553">
        <v>2.1570538627791791</v>
      </c>
      <c r="N84" s="553">
        <v>2.5138969551149026</v>
      </c>
      <c r="O84" s="553">
        <v>2.3293136937520664</v>
      </c>
      <c r="P84" s="568">
        <v>2.2964596905520995</v>
      </c>
      <c r="Q84" s="568">
        <v>1.7021965847054732</v>
      </c>
      <c r="R84" s="568">
        <v>0.96</v>
      </c>
      <c r="S84" s="583">
        <v>2</v>
      </c>
      <c r="T84" s="569">
        <v>2</v>
      </c>
      <c r="U84" s="569">
        <v>2</v>
      </c>
      <c r="V84" s="569">
        <v>2</v>
      </c>
      <c r="W84" s="569">
        <v>2</v>
      </c>
      <c r="X84" s="569">
        <v>2</v>
      </c>
      <c r="Y84" s="569">
        <v>2</v>
      </c>
      <c r="Z84" s="569">
        <v>2</v>
      </c>
      <c r="AA84" s="569">
        <v>2</v>
      </c>
      <c r="AB84" s="569">
        <v>2</v>
      </c>
      <c r="AC84" s="569">
        <v>2</v>
      </c>
      <c r="AD84" s="569">
        <v>2</v>
      </c>
      <c r="AE84" s="569">
        <v>2</v>
      </c>
      <c r="AF84" s="569">
        <v>2</v>
      </c>
      <c r="AG84" s="569">
        <v>2</v>
      </c>
      <c r="AH84" s="569">
        <v>2</v>
      </c>
      <c r="AI84" s="569">
        <v>2</v>
      </c>
      <c r="AJ84" s="569">
        <v>2</v>
      </c>
      <c r="AK84" s="569">
        <v>2</v>
      </c>
      <c r="AL84" s="569">
        <v>2</v>
      </c>
      <c r="AM84" s="261"/>
    </row>
    <row r="85" spans="1:39">
      <c r="A85" s="235" t="s">
        <v>332</v>
      </c>
      <c r="B85" s="254">
        <v>5.45</v>
      </c>
      <c r="C85" s="254">
        <v>5.6</v>
      </c>
      <c r="D85" s="254">
        <v>5.29</v>
      </c>
      <c r="E85" s="254">
        <v>5.5</v>
      </c>
      <c r="F85" s="254">
        <v>4.68</v>
      </c>
      <c r="G85" s="254">
        <v>5.3</v>
      </c>
      <c r="H85" s="254">
        <v>6.4</v>
      </c>
      <c r="I85" s="254">
        <v>1.82</v>
      </c>
      <c r="J85" s="254">
        <v>1.24</v>
      </c>
      <c r="K85" s="553">
        <v>0.98</v>
      </c>
      <c r="L85" s="553">
        <v>2.16</v>
      </c>
      <c r="M85" s="553">
        <v>4.13</v>
      </c>
      <c r="N85" s="553">
        <v>5.25</v>
      </c>
      <c r="O85" s="553">
        <v>4.09</v>
      </c>
      <c r="P85" s="553">
        <v>0.17090909090909087</v>
      </c>
      <c r="Q85" s="568">
        <v>0.05</v>
      </c>
      <c r="R85" s="570">
        <v>0.18347826086956526</v>
      </c>
      <c r="S85" s="584">
        <v>7.2999999999999995E-2</v>
      </c>
      <c r="T85" s="578">
        <v>0.25</v>
      </c>
      <c r="U85" s="578">
        <v>0.25</v>
      </c>
      <c r="V85" s="578">
        <v>0.25</v>
      </c>
      <c r="W85" s="578">
        <v>0.5</v>
      </c>
      <c r="X85" s="578">
        <v>1</v>
      </c>
      <c r="Y85" s="578">
        <v>1.5</v>
      </c>
      <c r="Z85" s="578">
        <v>2</v>
      </c>
      <c r="AA85" s="578">
        <v>2</v>
      </c>
      <c r="AB85" s="578">
        <v>2</v>
      </c>
      <c r="AC85" s="578">
        <v>2</v>
      </c>
      <c r="AD85" s="578">
        <v>2</v>
      </c>
      <c r="AE85" s="578">
        <v>2</v>
      </c>
      <c r="AF85" s="578">
        <v>2</v>
      </c>
      <c r="AG85" s="578">
        <v>2</v>
      </c>
      <c r="AH85" s="578">
        <v>2</v>
      </c>
      <c r="AI85" s="578">
        <v>2</v>
      </c>
      <c r="AJ85" s="578">
        <v>2</v>
      </c>
      <c r="AK85" s="578">
        <v>2</v>
      </c>
      <c r="AL85" s="578">
        <v>2</v>
      </c>
      <c r="AM85" s="261"/>
    </row>
    <row r="86" spans="1:39">
      <c r="A86" s="235" t="s">
        <v>333</v>
      </c>
      <c r="B86" s="262">
        <v>6.8693181818181817</v>
      </c>
      <c r="C86" s="262">
        <v>5.6091895238095235</v>
      </c>
      <c r="D86" s="262">
        <v>5.5981890909090914</v>
      </c>
      <c r="E86" s="262">
        <v>5.917459130434783</v>
      </c>
      <c r="F86" s="262">
        <v>5.0981543478260871</v>
      </c>
      <c r="G86" s="262">
        <v>5.5300753055790821</v>
      </c>
      <c r="H86" s="262">
        <v>6.6467261398299788</v>
      </c>
      <c r="I86" s="262">
        <v>3.7309329187370603</v>
      </c>
      <c r="J86" s="262">
        <v>1.8837394703086769</v>
      </c>
      <c r="K86" s="560">
        <v>1.2303938185033565</v>
      </c>
      <c r="L86" s="560">
        <v>1.7927581639218271</v>
      </c>
      <c r="M86" s="560">
        <v>3.7599221262778983</v>
      </c>
      <c r="N86" s="560">
        <v>5.2709214091815788</v>
      </c>
      <c r="O86" s="560">
        <v>5.25</v>
      </c>
      <c r="P86" s="560">
        <v>3.0511045537274506</v>
      </c>
      <c r="Q86" s="568">
        <v>1.1196068375000003</v>
      </c>
      <c r="R86" s="568">
        <v>0.51847134073820922</v>
      </c>
      <c r="S86" s="583">
        <v>0.9237920064580093</v>
      </c>
      <c r="T86" s="576">
        <v>1.5</v>
      </c>
      <c r="U86" s="569">
        <v>1.5</v>
      </c>
      <c r="V86" s="569">
        <v>1.5</v>
      </c>
      <c r="W86" s="569">
        <v>1.5</v>
      </c>
      <c r="X86" s="569">
        <v>2</v>
      </c>
      <c r="Y86" s="569">
        <v>2</v>
      </c>
      <c r="Z86" s="569">
        <v>2</v>
      </c>
      <c r="AA86" s="569">
        <v>2</v>
      </c>
      <c r="AB86" s="569">
        <v>4</v>
      </c>
      <c r="AC86" s="569" t="s">
        <v>261</v>
      </c>
      <c r="AD86" s="569" t="s">
        <v>261</v>
      </c>
      <c r="AE86" s="569" t="s">
        <v>261</v>
      </c>
      <c r="AF86" s="569" t="s">
        <v>261</v>
      </c>
      <c r="AG86" s="569" t="s">
        <v>261</v>
      </c>
      <c r="AH86" s="569" t="s">
        <v>261</v>
      </c>
      <c r="AI86" s="569" t="s">
        <v>261</v>
      </c>
      <c r="AJ86" s="569" t="s">
        <v>261</v>
      </c>
      <c r="AK86" s="569" t="s">
        <v>261</v>
      </c>
      <c r="AL86" s="569" t="s">
        <v>261</v>
      </c>
      <c r="AM86" s="261"/>
    </row>
    <row r="87" spans="1:39">
      <c r="A87" s="235" t="s">
        <v>334</v>
      </c>
      <c r="B87" s="262">
        <v>7.5823863636363633</v>
      </c>
      <c r="C87" s="262">
        <v>5.4981400000000002</v>
      </c>
      <c r="D87" s="262">
        <v>5.7674000000000012</v>
      </c>
      <c r="E87" s="262">
        <v>6.0140969565217395</v>
      </c>
      <c r="F87" s="262">
        <v>5.0482539130434789</v>
      </c>
      <c r="G87" s="262">
        <v>5.7152940253544768</v>
      </c>
      <c r="H87" s="262">
        <v>6.8587275805179102</v>
      </c>
      <c r="I87" s="262">
        <v>3.8603219583977242</v>
      </c>
      <c r="J87" s="262">
        <v>2.2052388367447766</v>
      </c>
      <c r="K87" s="560">
        <v>1.3579499045423173</v>
      </c>
      <c r="L87" s="560">
        <v>2.1166930498855012</v>
      </c>
      <c r="M87" s="560">
        <v>4.0244538313789242</v>
      </c>
      <c r="N87" s="560">
        <v>5.3227106730330433</v>
      </c>
      <c r="O87" s="560">
        <v>5.12</v>
      </c>
      <c r="P87" s="560">
        <v>2.9687797955585609</v>
      </c>
      <c r="Q87" s="568">
        <v>1.5484405106266077</v>
      </c>
      <c r="R87" s="568">
        <v>0.9237920064580093</v>
      </c>
      <c r="S87" s="585">
        <v>0.9</v>
      </c>
      <c r="T87" s="576">
        <v>1.7</v>
      </c>
      <c r="U87" s="569">
        <v>1.7</v>
      </c>
      <c r="V87" s="569">
        <v>1.7</v>
      </c>
      <c r="W87" s="569">
        <v>1.7</v>
      </c>
      <c r="X87" s="569">
        <v>2.2000000000000002</v>
      </c>
      <c r="Y87" s="569">
        <v>2.2000000000000002</v>
      </c>
      <c r="Z87" s="569">
        <v>2.2000000000000002</v>
      </c>
      <c r="AA87" s="569">
        <v>2.2000000000000002</v>
      </c>
      <c r="AB87" s="569">
        <v>4</v>
      </c>
      <c r="AC87" s="569" t="s">
        <v>261</v>
      </c>
      <c r="AD87" s="569" t="s">
        <v>261</v>
      </c>
      <c r="AE87" s="569" t="s">
        <v>261</v>
      </c>
      <c r="AF87" s="569" t="s">
        <v>261</v>
      </c>
      <c r="AG87" s="569" t="s">
        <v>261</v>
      </c>
      <c r="AH87" s="569" t="s">
        <v>261</v>
      </c>
      <c r="AI87" s="569" t="s">
        <v>261</v>
      </c>
      <c r="AJ87" s="569" t="s">
        <v>261</v>
      </c>
      <c r="AK87" s="569" t="s">
        <v>261</v>
      </c>
      <c r="AL87" s="569" t="s">
        <v>261</v>
      </c>
      <c r="AM87" s="261"/>
    </row>
    <row r="88" spans="1:39">
      <c r="B88" s="371"/>
      <c r="C88" s="371"/>
      <c r="D88" s="371"/>
      <c r="E88" s="371"/>
      <c r="F88" s="371"/>
      <c r="G88" s="371"/>
      <c r="H88" s="371"/>
      <c r="I88" s="371"/>
      <c r="J88" s="371"/>
      <c r="K88" s="586"/>
      <c r="L88" s="586"/>
      <c r="M88" s="586"/>
      <c r="N88" s="586"/>
      <c r="O88" s="586"/>
      <c r="P88" s="560"/>
      <c r="Q88" s="583"/>
      <c r="R88" s="566"/>
      <c r="S88" s="585"/>
      <c r="T88" s="585"/>
      <c r="U88" s="569"/>
      <c r="V88" s="569"/>
      <c r="W88" s="569"/>
      <c r="X88" s="569"/>
      <c r="Y88" s="569"/>
      <c r="Z88" s="569"/>
      <c r="AA88" s="569"/>
      <c r="AB88" s="569"/>
      <c r="AC88" s="569"/>
      <c r="AD88" s="569"/>
      <c r="AE88" s="569"/>
      <c r="AF88" s="569"/>
      <c r="AG88" s="569"/>
      <c r="AH88" s="569"/>
      <c r="AI88" s="569"/>
      <c r="AJ88" s="569"/>
      <c r="AK88" s="569"/>
      <c r="AL88" s="569"/>
      <c r="AM88" s="261"/>
    </row>
    <row r="89" spans="1:39">
      <c r="A89" s="235" t="s">
        <v>335</v>
      </c>
      <c r="B89" s="254"/>
      <c r="C89" s="254"/>
      <c r="D89" s="254"/>
      <c r="E89" s="254"/>
      <c r="F89" s="254"/>
      <c r="G89" s="254"/>
      <c r="H89" s="254"/>
      <c r="I89" s="254">
        <v>1.8</v>
      </c>
      <c r="J89" s="254">
        <v>1</v>
      </c>
      <c r="K89" s="553">
        <v>0.7</v>
      </c>
      <c r="L89" s="553">
        <v>1.9</v>
      </c>
      <c r="M89" s="553">
        <v>1.8</v>
      </c>
      <c r="N89" s="553">
        <v>3</v>
      </c>
      <c r="O89" s="553">
        <v>2.6</v>
      </c>
      <c r="P89" s="568">
        <v>0.6</v>
      </c>
      <c r="Q89" s="568">
        <v>-3.9946760000000001</v>
      </c>
      <c r="R89" s="568">
        <v>1.7</v>
      </c>
      <c r="S89" s="585">
        <v>1.5</v>
      </c>
      <c r="T89" s="569">
        <v>-0.5</v>
      </c>
      <c r="U89" s="569">
        <v>0.2</v>
      </c>
      <c r="V89" s="569">
        <v>1.7</v>
      </c>
      <c r="W89" s="569">
        <v>1.7</v>
      </c>
      <c r="X89" s="569">
        <v>1.7</v>
      </c>
      <c r="Y89" s="569">
        <v>1.7</v>
      </c>
      <c r="Z89" s="569">
        <v>1.7</v>
      </c>
      <c r="AA89" s="569">
        <v>1.7</v>
      </c>
      <c r="AB89" s="569">
        <v>1.7</v>
      </c>
      <c r="AC89" s="569">
        <v>1.7</v>
      </c>
      <c r="AD89" s="569">
        <v>1.7</v>
      </c>
      <c r="AE89" s="569">
        <v>1.7</v>
      </c>
      <c r="AF89" s="569">
        <v>1.7</v>
      </c>
      <c r="AG89" s="569">
        <v>1.7</v>
      </c>
      <c r="AH89" s="569">
        <v>1.7</v>
      </c>
      <c r="AI89" s="569">
        <v>1.7</v>
      </c>
      <c r="AJ89" s="569">
        <v>1.7</v>
      </c>
      <c r="AK89" s="569">
        <v>1.7</v>
      </c>
      <c r="AL89" s="569">
        <v>1.7</v>
      </c>
      <c r="AM89" s="261"/>
    </row>
    <row r="90" spans="1:39">
      <c r="A90" s="235" t="s">
        <v>336</v>
      </c>
      <c r="B90" s="254"/>
      <c r="C90" s="254"/>
      <c r="D90" s="254"/>
      <c r="E90" s="254"/>
      <c r="F90" s="254"/>
      <c r="G90" s="254"/>
      <c r="H90" s="254"/>
      <c r="I90" s="254">
        <v>2.8</v>
      </c>
      <c r="J90" s="254">
        <v>1.6</v>
      </c>
      <c r="K90" s="553">
        <v>2.0758419234832903</v>
      </c>
      <c r="L90" s="553">
        <v>2.1397444484069883</v>
      </c>
      <c r="M90" s="553">
        <v>2.1911485433503186</v>
      </c>
      <c r="N90" s="553">
        <v>2.1774999999999878</v>
      </c>
      <c r="O90" s="553">
        <v>2.1376199913549332</v>
      </c>
      <c r="P90" s="568">
        <v>3.2754683232987913</v>
      </c>
      <c r="Q90" s="568">
        <v>0.28607657574069023</v>
      </c>
      <c r="R90" s="568">
        <v>1.6</v>
      </c>
      <c r="S90" s="585">
        <v>2.7</v>
      </c>
      <c r="T90" s="569">
        <v>2.5</v>
      </c>
      <c r="U90" s="569">
        <v>1.9</v>
      </c>
      <c r="V90" s="569">
        <v>2</v>
      </c>
      <c r="W90" s="569">
        <v>2</v>
      </c>
      <c r="X90" s="569">
        <v>2</v>
      </c>
      <c r="Y90" s="569">
        <v>2</v>
      </c>
      <c r="Z90" s="569">
        <v>2</v>
      </c>
      <c r="AA90" s="569">
        <v>2</v>
      </c>
      <c r="AB90" s="569">
        <v>2</v>
      </c>
      <c r="AC90" s="569">
        <v>2</v>
      </c>
      <c r="AD90" s="569">
        <v>2</v>
      </c>
      <c r="AE90" s="569">
        <v>2</v>
      </c>
      <c r="AF90" s="569">
        <v>2</v>
      </c>
      <c r="AG90" s="569">
        <v>2</v>
      </c>
      <c r="AH90" s="569">
        <v>2</v>
      </c>
      <c r="AI90" s="569">
        <v>2</v>
      </c>
      <c r="AJ90" s="569">
        <v>2</v>
      </c>
      <c r="AK90" s="569">
        <v>2</v>
      </c>
      <c r="AL90" s="569">
        <v>2</v>
      </c>
      <c r="AM90" s="261"/>
    </row>
    <row r="91" spans="1:39">
      <c r="A91" s="235" t="s">
        <v>337</v>
      </c>
      <c r="B91" s="254"/>
      <c r="C91" s="254"/>
      <c r="D91" s="254"/>
      <c r="E91" s="254"/>
      <c r="F91" s="254"/>
      <c r="G91" s="254">
        <v>3</v>
      </c>
      <c r="H91" s="254">
        <v>4.75</v>
      </c>
      <c r="I91" s="254">
        <v>3.25</v>
      </c>
      <c r="J91" s="254">
        <v>2.75</v>
      </c>
      <c r="K91" s="553">
        <v>2</v>
      </c>
      <c r="L91" s="553">
        <v>2</v>
      </c>
      <c r="M91" s="553">
        <v>2.25</v>
      </c>
      <c r="N91" s="553">
        <v>3.5</v>
      </c>
      <c r="O91" s="553">
        <v>4</v>
      </c>
      <c r="P91" s="553">
        <v>2.5</v>
      </c>
      <c r="Q91" s="553">
        <v>1</v>
      </c>
      <c r="R91" s="570">
        <v>1</v>
      </c>
      <c r="S91" s="570">
        <v>1</v>
      </c>
      <c r="T91" s="569">
        <v>0.85</v>
      </c>
      <c r="U91" s="569">
        <v>0.5</v>
      </c>
      <c r="V91" s="569">
        <v>1.9</v>
      </c>
      <c r="W91" s="569">
        <v>1.9</v>
      </c>
      <c r="X91" s="569">
        <v>1.9</v>
      </c>
      <c r="Y91" s="569">
        <v>1.9</v>
      </c>
      <c r="Z91" s="569">
        <v>1.9</v>
      </c>
      <c r="AA91" s="569">
        <v>1.9</v>
      </c>
      <c r="AB91" s="569">
        <v>1.9</v>
      </c>
      <c r="AC91" s="569">
        <v>1.9</v>
      </c>
      <c r="AD91" s="569">
        <v>1.9</v>
      </c>
      <c r="AE91" s="569">
        <v>1.9</v>
      </c>
      <c r="AF91" s="569">
        <v>1.9</v>
      </c>
      <c r="AG91" s="569">
        <v>1.9</v>
      </c>
      <c r="AH91" s="569">
        <v>1.9</v>
      </c>
      <c r="AI91" s="569">
        <v>1.9</v>
      </c>
      <c r="AJ91" s="569">
        <v>1.9</v>
      </c>
      <c r="AK91" s="569">
        <v>1.9</v>
      </c>
      <c r="AL91" s="569">
        <v>1.9</v>
      </c>
      <c r="AM91" s="261"/>
    </row>
    <row r="92" spans="1:39">
      <c r="A92" s="235" t="s">
        <v>338</v>
      </c>
      <c r="B92" s="254"/>
      <c r="C92" s="254"/>
      <c r="D92" s="254"/>
      <c r="E92" s="254"/>
      <c r="F92" s="254"/>
      <c r="G92" s="254"/>
      <c r="H92" s="254"/>
      <c r="I92" s="259">
        <v>1.0194000000000001</v>
      </c>
      <c r="J92" s="259">
        <v>1.2298</v>
      </c>
      <c r="K92" s="559">
        <v>1.36</v>
      </c>
      <c r="L92" s="559">
        <v>1.36</v>
      </c>
      <c r="M92" s="559">
        <v>1.18</v>
      </c>
      <c r="N92" s="559">
        <v>1.3199000000000001</v>
      </c>
      <c r="O92" s="559">
        <v>1.4590000000000001</v>
      </c>
      <c r="P92" s="559">
        <v>1.3971</v>
      </c>
      <c r="Q92" s="570">
        <v>1.4320999999999999</v>
      </c>
      <c r="R92" s="587">
        <v>1.33</v>
      </c>
      <c r="S92" s="587">
        <v>1.2958000000000001</v>
      </c>
      <c r="T92" s="588">
        <v>1.28</v>
      </c>
      <c r="U92" s="578">
        <v>1.34</v>
      </c>
      <c r="V92" s="578">
        <v>1.34</v>
      </c>
      <c r="W92" s="578">
        <v>1.34</v>
      </c>
      <c r="X92" s="578">
        <v>1.34</v>
      </c>
      <c r="Y92" s="578">
        <v>1.34</v>
      </c>
      <c r="Z92" s="578">
        <v>1.34</v>
      </c>
      <c r="AA92" s="578">
        <v>1.34</v>
      </c>
      <c r="AB92" s="578">
        <v>1.34</v>
      </c>
      <c r="AC92" s="578">
        <v>1.34</v>
      </c>
      <c r="AD92" s="578">
        <v>1.34</v>
      </c>
      <c r="AE92" s="578">
        <v>1.34</v>
      </c>
      <c r="AF92" s="578">
        <v>1.34</v>
      </c>
      <c r="AG92" s="578">
        <v>1.34</v>
      </c>
      <c r="AH92" s="578">
        <v>1.34</v>
      </c>
      <c r="AI92" s="578">
        <v>1.34</v>
      </c>
      <c r="AJ92" s="578">
        <v>1.34</v>
      </c>
      <c r="AK92" s="578">
        <v>1.34</v>
      </c>
      <c r="AL92" s="578">
        <v>1.34</v>
      </c>
      <c r="AM92" s="261"/>
    </row>
    <row r="93" spans="1:39">
      <c r="A93" s="235" t="s">
        <v>339</v>
      </c>
      <c r="B93" s="254"/>
      <c r="C93" s="254"/>
      <c r="D93" s="254"/>
      <c r="E93" s="254"/>
      <c r="F93" s="254"/>
      <c r="G93" s="254"/>
      <c r="H93" s="254"/>
      <c r="I93" s="259"/>
      <c r="J93" s="259"/>
      <c r="K93" s="559">
        <v>3.6269999999999998</v>
      </c>
      <c r="L93" s="559">
        <v>4.8730000000000002</v>
      </c>
      <c r="M93" s="559">
        <v>4.5730000000000004</v>
      </c>
      <c r="N93" s="559">
        <v>5.266</v>
      </c>
      <c r="O93" s="559">
        <v>5.4429999999999996</v>
      </c>
      <c r="P93" s="559">
        <v>2.7850000000000001</v>
      </c>
      <c r="Q93" s="570">
        <v>-0.66300000000000003</v>
      </c>
      <c r="R93" s="570">
        <v>4.9000000000000004</v>
      </c>
      <c r="S93" s="570">
        <v>3.9</v>
      </c>
      <c r="T93" s="576">
        <v>3.1</v>
      </c>
      <c r="U93" s="576">
        <v>3.4</v>
      </c>
      <c r="V93" s="576">
        <v>4.4000000000000004</v>
      </c>
      <c r="W93" s="576">
        <v>4.5</v>
      </c>
      <c r="X93" s="589">
        <v>4.5999999999999996</v>
      </c>
      <c r="Y93" s="589">
        <v>4.7</v>
      </c>
      <c r="Z93" s="589">
        <v>4</v>
      </c>
      <c r="AA93" s="589">
        <v>4</v>
      </c>
      <c r="AB93" s="589">
        <v>4</v>
      </c>
      <c r="AC93" s="589">
        <v>4</v>
      </c>
      <c r="AD93" s="589">
        <v>4</v>
      </c>
      <c r="AE93" s="589">
        <v>3.5</v>
      </c>
      <c r="AF93" s="589">
        <v>3.5</v>
      </c>
      <c r="AG93" s="589">
        <v>3.5</v>
      </c>
      <c r="AH93" s="589">
        <v>3.5</v>
      </c>
      <c r="AI93" s="589">
        <v>3.5</v>
      </c>
      <c r="AJ93" s="589">
        <v>3.5</v>
      </c>
      <c r="AK93" s="589">
        <v>3.5</v>
      </c>
      <c r="AL93" s="589">
        <v>3.5</v>
      </c>
      <c r="AM93" s="261"/>
    </row>
    <row r="94" spans="1:39">
      <c r="A94" s="235" t="s">
        <v>340</v>
      </c>
      <c r="B94" s="254"/>
      <c r="C94" s="254"/>
      <c r="D94" s="254"/>
      <c r="E94" s="254"/>
      <c r="F94" s="254"/>
      <c r="G94" s="254"/>
      <c r="H94" s="254"/>
      <c r="I94" s="259"/>
      <c r="J94" s="259"/>
      <c r="K94" s="559">
        <v>2.1542580680089962</v>
      </c>
      <c r="L94" s="559">
        <v>6.1308755227504896</v>
      </c>
      <c r="M94" s="559">
        <v>4.8951112442743527</v>
      </c>
      <c r="N94" s="559">
        <v>5.6473531142887001</v>
      </c>
      <c r="O94" s="559">
        <v>5.7579891279857964</v>
      </c>
      <c r="P94" s="559">
        <v>4.3854994209219456</v>
      </c>
      <c r="Q94" s="570">
        <v>-2.4</v>
      </c>
      <c r="R94" s="570">
        <v>6.2</v>
      </c>
      <c r="S94" s="570">
        <v>4.5</v>
      </c>
      <c r="T94" s="589">
        <v>3.1</v>
      </c>
      <c r="U94" s="589">
        <v>4.0999999999999996</v>
      </c>
      <c r="V94" s="589">
        <v>5</v>
      </c>
      <c r="W94" s="589">
        <v>5</v>
      </c>
      <c r="X94" s="589">
        <v>5</v>
      </c>
      <c r="Y94" s="589">
        <v>5</v>
      </c>
      <c r="Z94" s="589">
        <v>5</v>
      </c>
      <c r="AA94" s="589">
        <v>5</v>
      </c>
      <c r="AB94" s="589">
        <v>5</v>
      </c>
      <c r="AC94" s="589">
        <v>5</v>
      </c>
      <c r="AD94" s="589">
        <v>5</v>
      </c>
      <c r="AE94" s="589">
        <v>5</v>
      </c>
      <c r="AF94" s="589">
        <v>5</v>
      </c>
      <c r="AG94" s="589">
        <v>5</v>
      </c>
      <c r="AH94" s="589">
        <v>5</v>
      </c>
      <c r="AI94" s="589">
        <v>5</v>
      </c>
      <c r="AJ94" s="589">
        <v>5</v>
      </c>
      <c r="AK94" s="589">
        <v>5</v>
      </c>
      <c r="AL94" s="589">
        <v>5</v>
      </c>
      <c r="AM94" s="261"/>
    </row>
    <row r="95" spans="1:39">
      <c r="A95" s="235"/>
      <c r="B95" s="254"/>
      <c r="C95" s="254"/>
      <c r="D95" s="254"/>
      <c r="E95" s="254"/>
      <c r="F95" s="254"/>
      <c r="G95" s="254"/>
      <c r="H95" s="254"/>
      <c r="I95" s="259"/>
      <c r="J95" s="259"/>
      <c r="K95" s="259"/>
      <c r="L95" s="259"/>
      <c r="M95" s="259"/>
      <c r="N95" s="259"/>
      <c r="O95" s="254"/>
      <c r="P95" s="288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260"/>
      <c r="AG95" s="260"/>
      <c r="AH95" s="260"/>
      <c r="AI95" s="260"/>
      <c r="AJ95" s="260"/>
      <c r="AK95" s="260"/>
      <c r="AL95" s="260"/>
      <c r="AM95" s="261"/>
    </row>
    <row r="96" spans="1:39">
      <c r="A96" s="235"/>
      <c r="B96" s="289"/>
      <c r="C96" s="289"/>
      <c r="D96" s="289"/>
      <c r="E96" s="289"/>
      <c r="F96" s="289"/>
      <c r="G96" s="290"/>
      <c r="H96" s="290"/>
      <c r="I96" s="290"/>
      <c r="J96" s="290"/>
      <c r="K96" s="290"/>
      <c r="L96" s="290"/>
      <c r="M96" s="290"/>
      <c r="N96" s="291"/>
      <c r="O96" s="291"/>
      <c r="P96" s="292"/>
      <c r="Q96" s="292"/>
      <c r="R96" s="292"/>
      <c r="S96" s="293"/>
      <c r="T96" s="293"/>
      <c r="U96" s="294"/>
      <c r="V96" s="294"/>
      <c r="W96" s="294"/>
      <c r="X96" s="294"/>
      <c r="Y96" s="294"/>
      <c r="Z96" s="294"/>
      <c r="AA96" s="294"/>
      <c r="AB96" s="294"/>
      <c r="AC96" s="294"/>
      <c r="AD96" s="294"/>
      <c r="AE96" s="294"/>
      <c r="AF96" s="294"/>
      <c r="AG96" s="294"/>
      <c r="AH96" s="294"/>
      <c r="AI96" s="294"/>
      <c r="AJ96" s="294"/>
      <c r="AK96" s="294"/>
      <c r="AL96" s="294"/>
      <c r="AM96" s="261"/>
    </row>
    <row r="97" spans="1:39">
      <c r="A97" s="248" t="s">
        <v>251</v>
      </c>
      <c r="B97" s="289"/>
      <c r="C97" s="289"/>
      <c r="D97" s="289"/>
      <c r="E97" s="289"/>
      <c r="F97" s="289"/>
      <c r="G97" s="290"/>
      <c r="H97" s="290"/>
      <c r="I97" s="290"/>
      <c r="J97" s="290"/>
      <c r="K97" s="290"/>
      <c r="L97" s="290"/>
      <c r="M97" s="290"/>
      <c r="N97" s="291"/>
      <c r="O97" s="291"/>
      <c r="P97" s="295"/>
      <c r="Q97" s="295"/>
      <c r="R97" s="295"/>
      <c r="S97" s="296"/>
      <c r="T97" s="296"/>
      <c r="U97" s="297"/>
      <c r="V97" s="297"/>
      <c r="W97" s="297"/>
      <c r="X97" s="297"/>
      <c r="Y97" s="297"/>
      <c r="Z97" s="297"/>
      <c r="AA97" s="297"/>
      <c r="AB97" s="297"/>
      <c r="AC97" s="297"/>
      <c r="AD97" s="297"/>
      <c r="AE97" s="297"/>
      <c r="AF97" s="297"/>
      <c r="AG97" s="297"/>
      <c r="AH97" s="297"/>
      <c r="AI97" s="297"/>
      <c r="AJ97" s="297"/>
      <c r="AK97" s="297"/>
      <c r="AL97" s="297"/>
      <c r="AM97" s="261"/>
    </row>
    <row r="98" spans="1:39">
      <c r="A98" s="235" t="s">
        <v>341</v>
      </c>
      <c r="B98" s="262"/>
      <c r="C98" s="262"/>
      <c r="D98" s="262"/>
      <c r="E98" s="262"/>
      <c r="F98" s="262">
        <v>1203</v>
      </c>
      <c r="G98" s="262">
        <v>636</v>
      </c>
      <c r="H98" s="262">
        <v>749</v>
      </c>
      <c r="I98" s="262">
        <v>870</v>
      </c>
      <c r="J98" s="262">
        <v>1439</v>
      </c>
      <c r="K98" s="590">
        <v>463</v>
      </c>
      <c r="L98" s="590">
        <v>382</v>
      </c>
      <c r="M98" s="570">
        <v>311</v>
      </c>
      <c r="N98" s="590">
        <v>192</v>
      </c>
      <c r="O98" s="590">
        <v>222</v>
      </c>
      <c r="P98" s="570">
        <v>416</v>
      </c>
      <c r="Q98" s="590">
        <v>196</v>
      </c>
      <c r="R98" s="590">
        <v>186</v>
      </c>
      <c r="S98" s="590">
        <v>208</v>
      </c>
      <c r="T98" s="591">
        <v>150</v>
      </c>
      <c r="U98" s="591">
        <v>150</v>
      </c>
      <c r="V98" s="591">
        <v>150</v>
      </c>
      <c r="W98" s="591">
        <v>150</v>
      </c>
      <c r="X98" s="591">
        <v>100</v>
      </c>
      <c r="Y98" s="591">
        <v>100</v>
      </c>
      <c r="Z98" s="591">
        <v>100</v>
      </c>
      <c r="AA98" s="591">
        <v>100</v>
      </c>
      <c r="AB98" s="591">
        <v>100</v>
      </c>
      <c r="AC98" s="591">
        <v>100</v>
      </c>
      <c r="AD98" s="591">
        <v>100</v>
      </c>
      <c r="AE98" s="591">
        <v>100</v>
      </c>
      <c r="AF98" s="591">
        <v>100</v>
      </c>
      <c r="AG98" s="591">
        <v>100</v>
      </c>
      <c r="AH98" s="591">
        <v>100</v>
      </c>
      <c r="AI98" s="591">
        <v>100</v>
      </c>
      <c r="AJ98" s="591">
        <v>100</v>
      </c>
      <c r="AK98" s="591">
        <v>100</v>
      </c>
      <c r="AL98" s="591">
        <v>100</v>
      </c>
      <c r="AM98" s="261"/>
    </row>
    <row r="99" spans="1:39">
      <c r="A99" s="235" t="s">
        <v>342</v>
      </c>
      <c r="B99" s="265">
        <v>4353.9289946778999</v>
      </c>
      <c r="C99" s="265">
        <v>4299</v>
      </c>
      <c r="D99" s="265">
        <v>7039.9</v>
      </c>
      <c r="E99" s="265">
        <v>10196</v>
      </c>
      <c r="F99" s="265">
        <v>6784.33</v>
      </c>
      <c r="G99" s="265">
        <v>17091</v>
      </c>
      <c r="H99" s="265">
        <v>15259.3</v>
      </c>
      <c r="I99" s="265">
        <v>13577.6</v>
      </c>
      <c r="J99" s="265">
        <v>11268.47</v>
      </c>
      <c r="K99" s="565">
        <v>22236.39</v>
      </c>
      <c r="L99" s="565">
        <v>26196.25</v>
      </c>
      <c r="M99" s="592">
        <v>33455.94</v>
      </c>
      <c r="N99" s="565">
        <v>44473.71</v>
      </c>
      <c r="O99" s="565">
        <v>60289.41</v>
      </c>
      <c r="P99" s="592">
        <v>37550.31</v>
      </c>
      <c r="Q99" s="565">
        <v>68588</v>
      </c>
      <c r="R99" s="565">
        <v>69304.800000000003</v>
      </c>
      <c r="S99" s="565">
        <v>56534</v>
      </c>
      <c r="T99" s="591">
        <v>71000</v>
      </c>
      <c r="U99" s="591" t="s">
        <v>261</v>
      </c>
      <c r="V99" s="591" t="s">
        <v>261</v>
      </c>
      <c r="W99" s="591" t="s">
        <v>261</v>
      </c>
      <c r="X99" s="591" t="s">
        <v>261</v>
      </c>
      <c r="Y99" s="591" t="s">
        <v>261</v>
      </c>
      <c r="Z99" s="591" t="s">
        <v>261</v>
      </c>
      <c r="AA99" s="591" t="s">
        <v>261</v>
      </c>
      <c r="AB99" s="591" t="s">
        <v>261</v>
      </c>
      <c r="AC99" s="591" t="s">
        <v>261</v>
      </c>
      <c r="AD99" s="591" t="s">
        <v>261</v>
      </c>
      <c r="AE99" s="591" t="s">
        <v>261</v>
      </c>
      <c r="AF99" s="591" t="s">
        <v>261</v>
      </c>
      <c r="AG99" s="591" t="s">
        <v>261</v>
      </c>
      <c r="AH99" s="591" t="s">
        <v>261</v>
      </c>
      <c r="AI99" s="591" t="s">
        <v>261</v>
      </c>
      <c r="AJ99" s="591" t="s">
        <v>261</v>
      </c>
      <c r="AK99" s="591" t="s">
        <v>261</v>
      </c>
      <c r="AL99" s="591" t="s">
        <v>261</v>
      </c>
      <c r="AM99" s="261"/>
    </row>
    <row r="100" spans="1:39">
      <c r="A100" s="235" t="s">
        <v>343</v>
      </c>
      <c r="B100" s="262">
        <v>15.827890625</v>
      </c>
      <c r="C100" s="262">
        <v>17.019291338582676</v>
      </c>
      <c r="D100" s="262">
        <v>20.465214007782105</v>
      </c>
      <c r="E100" s="262">
        <v>19.120472440944901</v>
      </c>
      <c r="F100" s="262">
        <v>12.686249999999999</v>
      </c>
      <c r="G100" s="262">
        <v>17.855921568627451</v>
      </c>
      <c r="H100" s="262">
        <v>28.468031496062974</v>
      </c>
      <c r="I100" s="262">
        <v>24.400905511811004</v>
      </c>
      <c r="J100" s="262">
        <v>25.023229571984409</v>
      </c>
      <c r="K100" s="559">
        <v>28.868188976377965</v>
      </c>
      <c r="L100" s="559">
        <v>38.319299610894966</v>
      </c>
      <c r="M100" s="593">
        <v>54.506875000000001</v>
      </c>
      <c r="N100" s="559">
        <v>65.415019607843178</v>
      </c>
      <c r="O100" s="559">
        <v>72.708638132295718</v>
      </c>
      <c r="P100" s="593">
        <v>97.68957364341091</v>
      </c>
      <c r="Q100" s="559">
        <v>62.04</v>
      </c>
      <c r="R100" s="559">
        <v>79.73</v>
      </c>
      <c r="S100" s="559">
        <v>111.04789883268491</v>
      </c>
      <c r="T100" s="577">
        <v>112</v>
      </c>
      <c r="U100" s="577">
        <v>85</v>
      </c>
      <c r="V100" s="577">
        <v>85</v>
      </c>
      <c r="W100" s="577">
        <v>85</v>
      </c>
      <c r="X100" s="577">
        <v>85</v>
      </c>
      <c r="Y100" s="577">
        <v>85</v>
      </c>
      <c r="Z100" s="577">
        <v>85</v>
      </c>
      <c r="AA100" s="577">
        <v>85</v>
      </c>
      <c r="AB100" s="577">
        <v>85</v>
      </c>
      <c r="AC100" s="577">
        <v>85</v>
      </c>
      <c r="AD100" s="577">
        <v>85</v>
      </c>
      <c r="AE100" s="577">
        <v>85</v>
      </c>
      <c r="AF100" s="577">
        <v>85</v>
      </c>
      <c r="AG100" s="577">
        <v>85</v>
      </c>
      <c r="AH100" s="577">
        <v>85</v>
      </c>
      <c r="AI100" s="577">
        <v>85</v>
      </c>
      <c r="AJ100" s="577">
        <v>85</v>
      </c>
      <c r="AK100" s="577">
        <v>85</v>
      </c>
      <c r="AL100" s="577">
        <v>85</v>
      </c>
      <c r="AM100" s="261"/>
    </row>
    <row r="101" spans="1:39" ht="10.8" thickBot="1">
      <c r="A101" s="298"/>
      <c r="B101" s="299"/>
      <c r="C101" s="299"/>
      <c r="D101" s="299"/>
      <c r="E101" s="299"/>
      <c r="F101" s="299"/>
      <c r="G101" s="299"/>
      <c r="H101" s="299"/>
      <c r="I101" s="300"/>
      <c r="J101" s="300"/>
      <c r="K101" s="300"/>
      <c r="L101" s="300"/>
      <c r="M101" s="300"/>
      <c r="N101" s="300"/>
      <c r="O101" s="299"/>
      <c r="P101" s="301"/>
      <c r="Q101" s="302"/>
      <c r="R101" s="302"/>
      <c r="S101" s="301"/>
      <c r="T101" s="301"/>
      <c r="U101" s="301"/>
      <c r="V101" s="301"/>
      <c r="W101" s="301"/>
      <c r="X101" s="301"/>
      <c r="Y101" s="301"/>
      <c r="Z101" s="301"/>
      <c r="AA101" s="301"/>
      <c r="AB101" s="301"/>
      <c r="AC101" s="301"/>
      <c r="AD101" s="301"/>
      <c r="AE101" s="301"/>
      <c r="AF101" s="301"/>
      <c r="AG101" s="301"/>
      <c r="AH101" s="301"/>
      <c r="AI101" s="301"/>
      <c r="AJ101" s="301"/>
      <c r="AK101" s="301"/>
      <c r="AL101" s="301"/>
      <c r="AM101" s="261"/>
    </row>
    <row r="102" spans="1:39" ht="12.6">
      <c r="A102" s="303" t="s">
        <v>344</v>
      </c>
      <c r="B102" s="304"/>
      <c r="C102" s="304"/>
      <c r="D102" s="304"/>
      <c r="E102" s="304"/>
      <c r="F102" s="304"/>
      <c r="G102" s="304"/>
      <c r="H102" s="304"/>
      <c r="I102" s="304"/>
      <c r="J102" s="304"/>
      <c r="K102" s="304"/>
      <c r="L102" s="304"/>
      <c r="M102" s="304"/>
      <c r="N102" s="304"/>
      <c r="O102" s="232"/>
      <c r="P102" s="232"/>
      <c r="Q102" s="232"/>
      <c r="R102" s="233"/>
      <c r="S102" s="232"/>
      <c r="T102" s="232"/>
      <c r="U102" s="232"/>
      <c r="V102" s="232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61"/>
    </row>
    <row r="103" spans="1:39" ht="10.8">
      <c r="A103" s="303" t="s">
        <v>345</v>
      </c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32"/>
      <c r="P103" s="232"/>
      <c r="Q103" s="232"/>
      <c r="R103" s="232"/>
      <c r="S103" s="232"/>
      <c r="T103" s="232"/>
      <c r="U103" s="232"/>
      <c r="V103" s="232"/>
      <c r="W103" s="235"/>
      <c r="X103" s="235"/>
      <c r="Y103" s="235"/>
      <c r="Z103" s="235"/>
      <c r="AA103" s="235"/>
      <c r="AB103" s="235"/>
      <c r="AC103" s="235"/>
      <c r="AD103" s="235"/>
      <c r="AE103" s="235"/>
      <c r="AF103" s="235"/>
      <c r="AG103" s="235"/>
      <c r="AH103" s="235"/>
      <c r="AI103" s="235"/>
      <c r="AJ103" s="235"/>
      <c r="AK103" s="235"/>
      <c r="AL103" s="235"/>
      <c r="AM103" s="261"/>
    </row>
    <row r="104" spans="1:39" ht="10.8">
      <c r="A104" s="303" t="s">
        <v>346</v>
      </c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32"/>
      <c r="P104" s="232"/>
      <c r="Q104" s="232"/>
      <c r="R104" s="232"/>
      <c r="S104" s="232"/>
      <c r="T104" s="232"/>
      <c r="U104" s="232"/>
      <c r="V104" s="232"/>
      <c r="W104" s="235"/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35"/>
      <c r="AH104" s="235"/>
      <c r="AI104" s="235"/>
      <c r="AJ104" s="235"/>
      <c r="AK104" s="235"/>
      <c r="AL104" s="235"/>
      <c r="AM104" s="261"/>
    </row>
    <row r="105" spans="1:39" ht="10.8">
      <c r="A105" s="303" t="s">
        <v>347</v>
      </c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32"/>
      <c r="P105" s="232"/>
      <c r="Q105" s="232"/>
      <c r="R105" s="232"/>
      <c r="S105" s="232"/>
      <c r="T105" s="232"/>
      <c r="U105" s="232"/>
      <c r="V105" s="232"/>
      <c r="W105" s="235"/>
      <c r="X105" s="235"/>
      <c r="Y105" s="235"/>
      <c r="Z105" s="235"/>
      <c r="AA105" s="235"/>
      <c r="AB105" s="235"/>
      <c r="AC105" s="235"/>
      <c r="AD105" s="235"/>
      <c r="AE105" s="235"/>
      <c r="AF105" s="235"/>
      <c r="AG105" s="235"/>
      <c r="AH105" s="235"/>
      <c r="AI105" s="235"/>
      <c r="AJ105" s="235"/>
      <c r="AK105" s="235"/>
      <c r="AL105" s="235"/>
      <c r="AM105" s="261"/>
    </row>
    <row r="106" spans="1:39">
      <c r="A106" s="305" t="s">
        <v>348</v>
      </c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32"/>
      <c r="P106" s="232"/>
      <c r="Q106" s="232"/>
      <c r="R106" s="232"/>
      <c r="S106" s="232"/>
      <c r="T106" s="232"/>
      <c r="U106" s="232"/>
      <c r="V106" s="232"/>
      <c r="W106" s="235"/>
      <c r="X106" s="235"/>
      <c r="Y106" s="235"/>
      <c r="Z106" s="235"/>
      <c r="AA106" s="235"/>
      <c r="AB106" s="235"/>
      <c r="AC106" s="235"/>
      <c r="AD106" s="235"/>
      <c r="AE106" s="235"/>
      <c r="AF106" s="235"/>
      <c r="AG106" s="235"/>
      <c r="AH106" s="235"/>
      <c r="AI106" s="235"/>
      <c r="AJ106" s="235"/>
      <c r="AK106" s="235"/>
      <c r="AL106" s="235"/>
      <c r="AM106" s="261"/>
    </row>
    <row r="107" spans="1:39">
      <c r="A107" s="305" t="s">
        <v>349</v>
      </c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306"/>
      <c r="P107" s="306"/>
      <c r="Q107" s="306"/>
      <c r="R107" s="306"/>
      <c r="S107" s="306"/>
      <c r="T107" s="306"/>
      <c r="U107" s="306"/>
      <c r="V107" s="306"/>
      <c r="W107" s="235"/>
      <c r="X107" s="235"/>
      <c r="Y107" s="235"/>
      <c r="Z107" s="235"/>
      <c r="AA107" s="235"/>
      <c r="AB107" s="235"/>
      <c r="AC107" s="235"/>
      <c r="AD107" s="235"/>
      <c r="AE107" s="235"/>
      <c r="AF107" s="235"/>
      <c r="AG107" s="235"/>
      <c r="AH107" s="235"/>
      <c r="AI107" s="235"/>
      <c r="AJ107" s="235"/>
      <c r="AK107" s="235"/>
      <c r="AL107" s="235"/>
      <c r="AM107" s="261"/>
    </row>
    <row r="108" spans="1:39">
      <c r="A108" s="307"/>
      <c r="B108" s="278"/>
      <c r="C108" s="278"/>
      <c r="D108" s="278"/>
      <c r="E108" s="278"/>
      <c r="F108" s="278"/>
      <c r="G108" s="278"/>
      <c r="H108" s="278"/>
      <c r="I108" s="278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</row>
    <row r="109" spans="1:39">
      <c r="A109" s="235" t="s">
        <v>262</v>
      </c>
      <c r="B109" s="308"/>
      <c r="C109" s="308"/>
      <c r="D109" s="308"/>
      <c r="E109" s="308"/>
      <c r="F109" s="308"/>
      <c r="G109" s="308"/>
      <c r="H109" s="308"/>
      <c r="I109" s="308"/>
      <c r="J109" s="308"/>
      <c r="K109" s="308"/>
      <c r="L109" s="308"/>
      <c r="M109" s="308"/>
      <c r="N109" s="308"/>
      <c r="O109" s="308"/>
      <c r="P109" s="308"/>
      <c r="Q109" s="277">
        <v>1.75</v>
      </c>
      <c r="R109" s="277">
        <v>1.95</v>
      </c>
      <c r="S109" s="277">
        <v>2.1</v>
      </c>
      <c r="T109" s="277">
        <v>2.13</v>
      </c>
      <c r="U109" s="277">
        <v>2.16</v>
      </c>
      <c r="V109" s="277">
        <v>2.19</v>
      </c>
      <c r="W109" s="277">
        <v>2.23</v>
      </c>
      <c r="X109" s="277">
        <v>2.2735121951219512</v>
      </c>
      <c r="Y109" s="277">
        <v>2.3067831052944676</v>
      </c>
      <c r="Z109" s="277">
        <v>2.3405409068353622</v>
      </c>
      <c r="AA109" s="277">
        <v>2.3864338657929181</v>
      </c>
      <c r="AB109" s="277">
        <v>2.4332266866908183</v>
      </c>
      <c r="AC109" s="277">
        <v>2.4809370138808342</v>
      </c>
      <c r="AD109" s="277">
        <v>2.529582837682419</v>
      </c>
      <c r="AE109" s="277">
        <v>2.5791825011663878</v>
      </c>
      <c r="AF109" s="277">
        <v>2.6297547070716107</v>
      </c>
      <c r="AG109" s="277">
        <v>2.6684275704108988</v>
      </c>
      <c r="AH109" s="277">
        <v>2.7076691523287062</v>
      </c>
      <c r="AI109" s="277">
        <v>2.7474878163335399</v>
      </c>
      <c r="AJ109" s="277">
        <v>2.7878920489266799</v>
      </c>
      <c r="AK109" s="277">
        <v>2.8288904614108956</v>
      </c>
      <c r="AL109" s="277">
        <v>2.8704917917257617</v>
      </c>
    </row>
    <row r="110" spans="1:39">
      <c r="A110" s="235" t="s">
        <v>263</v>
      </c>
      <c r="B110" s="278"/>
      <c r="C110" s="278"/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8"/>
      <c r="Q110" s="277">
        <v>1.9974793446368446</v>
      </c>
      <c r="R110" s="277">
        <v>1.85</v>
      </c>
      <c r="S110" s="277">
        <v>2.0249999999999999</v>
      </c>
      <c r="T110" s="277">
        <v>2.11625</v>
      </c>
      <c r="U110" s="277">
        <v>2.1462500000000002</v>
      </c>
      <c r="V110" s="277">
        <v>2.17625</v>
      </c>
      <c r="W110" s="277">
        <v>2.21</v>
      </c>
      <c r="X110" s="277">
        <v>2.2517560975609756</v>
      </c>
      <c r="Y110" s="277">
        <v>2.2901476502082092</v>
      </c>
      <c r="Z110" s="277">
        <v>2.3236620060649149</v>
      </c>
      <c r="AA110" s="277">
        <v>2.3634873863141399</v>
      </c>
      <c r="AB110" s="277">
        <v>2.409830276241868</v>
      </c>
      <c r="AC110" s="277">
        <v>2.4570818502858263</v>
      </c>
      <c r="AD110" s="277">
        <v>2.5052599257816266</v>
      </c>
      <c r="AE110" s="277">
        <v>2.5543826694244034</v>
      </c>
      <c r="AF110" s="277">
        <v>2.6044686041189991</v>
      </c>
      <c r="AG110" s="277">
        <v>2.6490911387412548</v>
      </c>
      <c r="AH110" s="277">
        <v>2.6880483613698027</v>
      </c>
      <c r="AI110" s="277">
        <v>2.727578484331123</v>
      </c>
      <c r="AJ110" s="277">
        <v>2.7676899326301099</v>
      </c>
      <c r="AK110" s="277">
        <v>2.8083912551687877</v>
      </c>
      <c r="AL110" s="277">
        <v>2.8496911265683287</v>
      </c>
    </row>
    <row r="111" spans="1:39">
      <c r="A111" s="309" t="s">
        <v>264</v>
      </c>
      <c r="B111" s="278"/>
      <c r="C111" s="278"/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Q111" s="277">
        <v>1.72</v>
      </c>
      <c r="R111" s="277">
        <v>1.72</v>
      </c>
      <c r="S111" s="277">
        <v>1.72</v>
      </c>
      <c r="T111" s="277">
        <v>1.72</v>
      </c>
      <c r="U111" s="277">
        <v>1.72</v>
      </c>
      <c r="V111" s="277">
        <v>1.72</v>
      </c>
      <c r="W111" s="277">
        <v>1.72</v>
      </c>
      <c r="X111" s="277">
        <v>1.72</v>
      </c>
      <c r="Y111" s="277">
        <v>1.72</v>
      </c>
      <c r="Z111" s="277">
        <v>1.72</v>
      </c>
      <c r="AA111" s="277">
        <v>1.72</v>
      </c>
      <c r="AB111" s="277">
        <v>1.72</v>
      </c>
      <c r="AC111" s="277">
        <v>1.72</v>
      </c>
      <c r="AD111" s="277">
        <v>1.72</v>
      </c>
      <c r="AE111" s="277">
        <v>1.72</v>
      </c>
      <c r="AF111" s="277">
        <v>1.72</v>
      </c>
      <c r="AG111" s="277">
        <v>1.72</v>
      </c>
      <c r="AH111" s="277">
        <v>1.72</v>
      </c>
      <c r="AI111" s="277">
        <v>1.72</v>
      </c>
      <c r="AJ111" s="277">
        <v>1.72</v>
      </c>
      <c r="AK111" s="277">
        <v>1.72</v>
      </c>
      <c r="AL111" s="277">
        <v>1.72</v>
      </c>
    </row>
    <row r="112" spans="1:39">
      <c r="A112" s="278"/>
      <c r="B112" s="278"/>
      <c r="C112" s="278"/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V112" s="230"/>
    </row>
    <row r="113" spans="1:19">
      <c r="A113" s="307"/>
      <c r="B113" s="278"/>
      <c r="C113" s="278"/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278"/>
    </row>
    <row r="114" spans="1:19">
      <c r="A114" s="307"/>
      <c r="B114" s="278"/>
      <c r="C114" s="278"/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8"/>
      <c r="O114" s="409">
        <f>'Revenues, COGS &amp; SG&amp;A'!E10</f>
        <v>0</v>
      </c>
      <c r="P114" s="409">
        <f>'Revenues, COGS &amp; SG&amp;A'!F10</f>
        <v>0</v>
      </c>
      <c r="Q114" s="409">
        <f>'Revenues, COGS &amp; SG&amp;A'!G10</f>
        <v>2434971</v>
      </c>
      <c r="R114" s="409">
        <f>'Revenues, COGS &amp; SG&amp;A'!H10</f>
        <v>2853511</v>
      </c>
    </row>
    <row r="115" spans="1:19">
      <c r="A115" s="307"/>
      <c r="B115" s="278"/>
      <c r="C115" s="278"/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278"/>
    </row>
    <row r="116" spans="1:19">
      <c r="A116" s="307"/>
      <c r="B116" s="278"/>
      <c r="C116" s="278"/>
      <c r="D116" s="278"/>
      <c r="E116" s="278"/>
      <c r="F116" s="278"/>
      <c r="G116" s="278"/>
      <c r="H116" s="278"/>
      <c r="I116" s="278"/>
      <c r="J116" s="278"/>
      <c r="K116" s="278"/>
      <c r="L116" s="276" t="s">
        <v>403</v>
      </c>
      <c r="M116" s="278"/>
      <c r="N116" s="278"/>
      <c r="O116" s="229">
        <f>(1+(O9/100))</f>
        <v>1.0609545497675303</v>
      </c>
      <c r="P116" s="229">
        <f>(1+(P9/100))*O116</f>
        <v>1.1157984628522635</v>
      </c>
      <c r="Q116" s="229">
        <f t="shared" ref="Q116:R116" si="0">(1+(Q9/100))*P116</f>
        <v>1.1121358762690963</v>
      </c>
      <c r="R116" s="229">
        <f t="shared" si="0"/>
        <v>1.1959199165006176</v>
      </c>
      <c r="S116" s="229">
        <f>CORREL($O$114:$R$114,O116:R116)</f>
        <v>0.74392472484349292</v>
      </c>
    </row>
    <row r="117" spans="1:19">
      <c r="A117" s="307"/>
      <c r="B117" s="278"/>
      <c r="C117" s="278"/>
      <c r="D117" s="278"/>
      <c r="E117" s="278"/>
      <c r="F117" s="278"/>
      <c r="G117" s="278"/>
      <c r="H117" s="278"/>
      <c r="I117" s="278"/>
      <c r="J117" s="278"/>
      <c r="K117" s="278"/>
      <c r="L117" s="278"/>
      <c r="M117" s="278"/>
      <c r="N117" s="278"/>
      <c r="O117" s="229">
        <f t="shared" ref="O117:O127" si="1">(1+(O10/100))</f>
        <v>1.0484047130469316</v>
      </c>
      <c r="P117" s="229">
        <f t="shared" ref="P117:R117" si="2">(1+(P10/100))*O117</f>
        <v>1.1146157410471964</v>
      </c>
      <c r="Q117" s="229">
        <f t="shared" si="2"/>
        <v>1.0799132852320112</v>
      </c>
      <c r="R117" s="229">
        <f t="shared" si="2"/>
        <v>1.1482756338121396</v>
      </c>
      <c r="S117" s="229">
        <f t="shared" ref="S117:S127" si="3">CORREL($O$114:$R$114,O117:R117)</f>
        <v>0.50500664285266428</v>
      </c>
    </row>
    <row r="118" spans="1:19">
      <c r="A118" s="307"/>
      <c r="B118" s="278"/>
      <c r="C118" s="278"/>
      <c r="D118" s="278"/>
      <c r="E118" s="278"/>
      <c r="F118" s="278"/>
      <c r="G118" s="278"/>
      <c r="H118" s="278"/>
      <c r="I118" s="278"/>
      <c r="J118" s="278"/>
      <c r="K118" s="278"/>
      <c r="L118" s="278"/>
      <c r="M118" s="278"/>
      <c r="N118" s="278"/>
      <c r="O118" s="229">
        <f t="shared" si="1"/>
        <v>1.0526865641067662</v>
      </c>
      <c r="P118" s="229">
        <f t="shared" ref="P118:R118" si="4">(1+(P11/100))*O118</f>
        <v>1.0955404879447734</v>
      </c>
      <c r="Q118" s="229">
        <f t="shared" si="4"/>
        <v>1.0341479402667106</v>
      </c>
      <c r="R118" s="229">
        <f t="shared" si="4"/>
        <v>1.1420406825491123</v>
      </c>
      <c r="S118" s="229">
        <f t="shared" si="3"/>
        <v>0.26875845865118353</v>
      </c>
    </row>
    <row r="119" spans="1:19">
      <c r="A119" s="307"/>
      <c r="B119" s="278"/>
      <c r="C119" s="278"/>
      <c r="D119" s="278"/>
      <c r="E119" s="278"/>
      <c r="F119" s="278"/>
      <c r="G119" s="278"/>
      <c r="H119" s="278"/>
      <c r="I119" s="278"/>
      <c r="J119" s="278"/>
      <c r="K119" s="278"/>
      <c r="L119" s="278"/>
      <c r="M119" s="278"/>
      <c r="N119" s="278"/>
      <c r="O119" s="229">
        <f t="shared" si="1"/>
        <v>1.0614066271259379</v>
      </c>
      <c r="P119" s="229">
        <f t="shared" ref="P119:R119" si="5">(1+(P12/100))*O119</f>
        <v>1.1137575542125846</v>
      </c>
      <c r="Q119" s="229">
        <f t="shared" si="5"/>
        <v>1.1373697307613153</v>
      </c>
      <c r="R119" s="229">
        <f t="shared" si="5"/>
        <v>1.1998428349579962</v>
      </c>
      <c r="S119" s="229">
        <f t="shared" si="3"/>
        <v>0.85923230708900089</v>
      </c>
    </row>
    <row r="120" spans="1:19">
      <c r="A120" s="307"/>
      <c r="B120" s="278"/>
      <c r="C120" s="278"/>
      <c r="D120" s="278"/>
      <c r="E120" s="278"/>
      <c r="F120" s="278"/>
      <c r="G120" s="278"/>
      <c r="H120" s="278"/>
      <c r="I120" s="278"/>
      <c r="J120" s="278"/>
      <c r="K120" s="278"/>
      <c r="L120" s="278"/>
      <c r="M120" s="278"/>
      <c r="N120" s="278"/>
      <c r="O120" s="229">
        <f t="shared" si="1"/>
        <v>1.0607278758903307</v>
      </c>
      <c r="P120" s="229">
        <f t="shared" ref="P120:R120" si="6">(1+(P13/100))*O120</f>
        <v>1.1208703288125672</v>
      </c>
      <c r="Q120" s="229">
        <f t="shared" si="6"/>
        <v>1.170650795199532</v>
      </c>
      <c r="R120" s="229">
        <f t="shared" si="6"/>
        <v>1.2519465313689144</v>
      </c>
      <c r="S120" s="229">
        <f t="shared" si="3"/>
        <v>0.90027931758258239</v>
      </c>
    </row>
    <row r="121" spans="1:19">
      <c r="A121" s="307"/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278"/>
      <c r="N121" s="278"/>
      <c r="O121" s="229">
        <f t="shared" si="1"/>
        <v>1.0512815338042381</v>
      </c>
      <c r="P121" s="229">
        <f t="shared" ref="P121:R121" si="7">(1+(P14/100))*O121</f>
        <v>1.0846014127144297</v>
      </c>
      <c r="Q121" s="229">
        <f t="shared" si="7"/>
        <v>1.1183047426841572</v>
      </c>
      <c r="R121" s="229">
        <f t="shared" si="7"/>
        <v>1.1656912209888999</v>
      </c>
      <c r="S121" s="229">
        <f t="shared" si="3"/>
        <v>0.91367227413238672</v>
      </c>
    </row>
    <row r="122" spans="1:19">
      <c r="A122" s="307"/>
      <c r="B122" s="278"/>
      <c r="C122" s="278"/>
      <c r="D122" s="278"/>
      <c r="E122" s="278"/>
      <c r="F122" s="278"/>
      <c r="G122" s="278"/>
      <c r="H122" s="278"/>
      <c r="I122" s="278"/>
      <c r="J122" s="278"/>
      <c r="K122" s="278"/>
      <c r="L122" s="278"/>
      <c r="M122" s="278"/>
      <c r="N122" s="278"/>
      <c r="O122" s="229">
        <f t="shared" si="1"/>
        <v>1.1385043289137982</v>
      </c>
      <c r="P122" s="229">
        <f t="shared" ref="P122:R122" si="8">(1+(P15/100))*O122</f>
        <v>1.2930277301434605</v>
      </c>
      <c r="Q122" s="229">
        <f t="shared" si="8"/>
        <v>1.2060939395206827</v>
      </c>
      <c r="R122" s="229">
        <f t="shared" si="8"/>
        <v>1.4634029026726336</v>
      </c>
      <c r="S122" s="229">
        <f t="shared" si="3"/>
        <v>0.56915833634445701</v>
      </c>
    </row>
    <row r="123" spans="1:19">
      <c r="A123" s="307"/>
      <c r="B123" s="278"/>
      <c r="C123" s="278"/>
      <c r="D123" s="278"/>
      <c r="E123" s="278"/>
      <c r="F123" s="278"/>
      <c r="G123" s="278"/>
      <c r="H123" s="278"/>
      <c r="I123" s="278"/>
      <c r="J123" s="278"/>
      <c r="K123" s="278"/>
      <c r="L123" s="278"/>
      <c r="M123" s="278"/>
      <c r="N123" s="278"/>
      <c r="O123" s="229">
        <f t="shared" si="1"/>
        <v>1.0619863228558879</v>
      </c>
      <c r="P123" s="229">
        <f t="shared" ref="P123:R123" si="9">(1+(P16/100))*O123</f>
        <v>1.0677792416922851</v>
      </c>
      <c r="Q123" s="229">
        <f t="shared" si="9"/>
        <v>0.97033481816090505</v>
      </c>
      <c r="R123" s="229">
        <f t="shared" si="9"/>
        <v>1.0821046908003431</v>
      </c>
      <c r="S123" s="229">
        <f t="shared" si="3"/>
        <v>-0.33643014270990862</v>
      </c>
    </row>
    <row r="124" spans="1:19">
      <c r="A124" s="307"/>
      <c r="B124" s="278"/>
      <c r="C124" s="278"/>
      <c r="D124" s="278"/>
      <c r="E124" s="278"/>
      <c r="F124" s="278"/>
      <c r="G124" s="278"/>
      <c r="H124" s="278"/>
      <c r="I124" s="278"/>
      <c r="J124" s="278"/>
      <c r="K124" s="278"/>
      <c r="L124" s="278"/>
      <c r="M124" s="278"/>
      <c r="N124" s="278"/>
      <c r="O124" s="229">
        <f t="shared" si="1"/>
        <v>1.1987419012032496</v>
      </c>
      <c r="P124" s="229">
        <f t="shared" ref="P124:R124" si="10">(1+(P17/100))*O124</f>
        <v>1.3828288368585235</v>
      </c>
      <c r="Q124" s="229">
        <f t="shared" si="10"/>
        <v>1.2777587329882412</v>
      </c>
      <c r="R124" s="229">
        <f t="shared" si="10"/>
        <v>1.7356621301977988</v>
      </c>
      <c r="S124" s="229">
        <f t="shared" si="3"/>
        <v>0.61066416851938898</v>
      </c>
    </row>
    <row r="125" spans="1:19">
      <c r="A125" s="307"/>
      <c r="B125" s="278"/>
      <c r="C125" s="278"/>
      <c r="D125" s="278"/>
      <c r="E125" s="278"/>
      <c r="F125" s="278"/>
      <c r="G125" s="278"/>
      <c r="H125" s="278"/>
      <c r="I125" s="278"/>
      <c r="J125" s="278"/>
      <c r="K125" s="278"/>
      <c r="L125" s="278"/>
      <c r="M125" s="278"/>
      <c r="N125" s="278"/>
      <c r="O125" s="229">
        <f t="shared" si="1"/>
        <v>2.3231275752320348</v>
      </c>
      <c r="P125" s="229">
        <f t="shared" ref="P125:R125" si="11">(1+(P18/100))*O125</f>
        <v>5.5558153417931804</v>
      </c>
      <c r="Q125" s="229">
        <f t="shared" si="11"/>
        <v>13.26148868561557</v>
      </c>
      <c r="R125" s="229">
        <f t="shared" si="11"/>
        <v>33.040260438806328</v>
      </c>
      <c r="S125" s="229">
        <f t="shared" si="3"/>
        <v>0.86491503553034699</v>
      </c>
    </row>
    <row r="126" spans="1:19">
      <c r="A126" s="307"/>
      <c r="B126" s="278"/>
      <c r="C126" s="278"/>
      <c r="D126" s="278"/>
      <c r="E126" s="278"/>
      <c r="F126" s="278"/>
      <c r="G126" s="278"/>
      <c r="H126" s="278"/>
      <c r="I126" s="278"/>
      <c r="J126" s="278"/>
      <c r="K126" s="278"/>
      <c r="L126" s="278"/>
      <c r="M126" s="278"/>
      <c r="N126" s="278"/>
      <c r="O126" s="229">
        <f t="shared" si="1"/>
        <v>1.058646592694173</v>
      </c>
      <c r="P126" s="229">
        <f t="shared" ref="P126:R126" si="12">(1+(P19/100))*O126</f>
        <v>1.1468845793488958</v>
      </c>
      <c r="Q126" s="229">
        <f t="shared" si="12"/>
        <v>1.2292894848541001</v>
      </c>
      <c r="R126" s="229">
        <f t="shared" si="12"/>
        <v>1.3304430019486657</v>
      </c>
      <c r="S126" s="229">
        <f t="shared" si="3"/>
        <v>0.91552165253603734</v>
      </c>
    </row>
    <row r="127" spans="1:19">
      <c r="A127" s="307"/>
      <c r="B127" s="278"/>
      <c r="C127" s="278"/>
      <c r="D127" s="278"/>
      <c r="E127" s="278"/>
      <c r="F127" s="278"/>
      <c r="G127" s="278"/>
      <c r="H127" s="278"/>
      <c r="I127" s="278"/>
      <c r="J127" s="278"/>
      <c r="K127" s="278"/>
      <c r="L127" s="278"/>
      <c r="M127" s="278"/>
      <c r="N127" s="278"/>
      <c r="O127" s="229">
        <f t="shared" si="1"/>
        <v>1.1231759191147765</v>
      </c>
      <c r="P127" s="229">
        <f t="shared" ref="P127:R127" si="13">(1+(P20/100))*O127</f>
        <v>1.2796920507064626</v>
      </c>
      <c r="Q127" s="229">
        <f t="shared" si="13"/>
        <v>1.3671369384266006</v>
      </c>
      <c r="R127" s="229">
        <f t="shared" si="13"/>
        <v>1.5911032837992793</v>
      </c>
      <c r="S127" s="229">
        <f t="shared" si="3"/>
        <v>0.86783521849311251</v>
      </c>
    </row>
    <row r="128" spans="1:19">
      <c r="A128" s="307"/>
      <c r="B128" s="278"/>
      <c r="C128" s="278"/>
      <c r="D128" s="278"/>
      <c r="E128" s="278"/>
      <c r="F128" s="278"/>
      <c r="G128" s="278"/>
      <c r="H128" s="278"/>
      <c r="I128" s="278"/>
      <c r="J128" s="278"/>
      <c r="K128" s="278"/>
      <c r="L128" s="278"/>
      <c r="M128" s="278"/>
      <c r="N128" s="278"/>
    </row>
    <row r="129" spans="1:14">
      <c r="A129" s="307"/>
      <c r="B129" s="278"/>
      <c r="C129" s="278"/>
      <c r="D129" s="278"/>
      <c r="E129" s="278"/>
      <c r="F129" s="278"/>
      <c r="G129" s="278"/>
      <c r="H129" s="278"/>
      <c r="I129" s="278"/>
      <c r="J129" s="278"/>
      <c r="K129" s="278"/>
      <c r="L129" s="278"/>
      <c r="M129" s="278"/>
      <c r="N129" s="278"/>
    </row>
    <row r="130" spans="1:14">
      <c r="A130" s="307"/>
      <c r="B130" s="278"/>
      <c r="C130" s="278"/>
      <c r="D130" s="278"/>
      <c r="E130" s="278"/>
      <c r="F130" s="278"/>
      <c r="G130" s="278"/>
      <c r="H130" s="278"/>
      <c r="I130" s="278"/>
      <c r="J130" s="278"/>
      <c r="K130" s="278"/>
      <c r="L130" s="278"/>
      <c r="M130" s="278"/>
      <c r="N130" s="278"/>
    </row>
    <row r="131" spans="1:14">
      <c r="A131" s="307"/>
      <c r="B131" s="278"/>
      <c r="C131" s="278"/>
      <c r="D131" s="278"/>
      <c r="E131" s="278"/>
      <c r="F131" s="278"/>
      <c r="G131" s="278"/>
      <c r="H131" s="278"/>
      <c r="I131" s="278"/>
      <c r="J131" s="278"/>
      <c r="K131" s="278"/>
      <c r="L131" s="278"/>
      <c r="M131" s="278"/>
      <c r="N131" s="278"/>
    </row>
    <row r="132" spans="1:14">
      <c r="A132" s="307"/>
      <c r="B132" s="278"/>
      <c r="C132" s="278"/>
      <c r="D132" s="278"/>
      <c r="E132" s="278"/>
      <c r="F132" s="278"/>
      <c r="G132" s="278"/>
      <c r="H132" s="278"/>
      <c r="I132" s="278"/>
      <c r="J132" s="278"/>
      <c r="K132" s="278"/>
      <c r="L132" s="278"/>
      <c r="M132" s="278"/>
      <c r="N132" s="278"/>
    </row>
    <row r="133" spans="1:14">
      <c r="A133" s="307"/>
      <c r="B133" s="278"/>
      <c r="C133" s="278"/>
      <c r="D133" s="278"/>
      <c r="E133" s="278"/>
      <c r="F133" s="278"/>
      <c r="G133" s="278"/>
      <c r="H133" s="278"/>
      <c r="I133" s="278"/>
      <c r="J133" s="278"/>
      <c r="K133" s="278"/>
      <c r="L133" s="278"/>
      <c r="M133" s="278"/>
      <c r="N133" s="278"/>
    </row>
    <row r="134" spans="1:14">
      <c r="A134" s="307"/>
      <c r="B134" s="278"/>
      <c r="C134" s="278"/>
      <c r="D134" s="278"/>
      <c r="E134" s="278"/>
      <c r="F134" s="278"/>
      <c r="G134" s="278"/>
      <c r="H134" s="278"/>
      <c r="I134" s="278"/>
      <c r="J134" s="278"/>
      <c r="K134" s="278"/>
      <c r="L134" s="278"/>
      <c r="M134" s="278"/>
      <c r="N134" s="278"/>
    </row>
    <row r="135" spans="1:14">
      <c r="A135" s="307"/>
      <c r="B135" s="278"/>
      <c r="C135" s="278"/>
      <c r="D135" s="278"/>
      <c r="E135" s="278"/>
      <c r="F135" s="278"/>
      <c r="G135" s="278"/>
      <c r="H135" s="278"/>
      <c r="I135" s="278"/>
      <c r="J135" s="278"/>
      <c r="K135" s="278"/>
      <c r="L135" s="278"/>
      <c r="M135" s="278"/>
      <c r="N135" s="278"/>
    </row>
    <row r="136" spans="1:14">
      <c r="A136" s="307"/>
      <c r="B136" s="278"/>
      <c r="C136" s="278"/>
      <c r="D136" s="278"/>
      <c r="E136" s="278"/>
      <c r="F136" s="278"/>
      <c r="G136" s="278"/>
      <c r="H136" s="278"/>
      <c r="I136" s="278"/>
      <c r="J136" s="278"/>
      <c r="K136" s="278"/>
      <c r="L136" s="278"/>
      <c r="M136" s="278"/>
      <c r="N136" s="278"/>
    </row>
    <row r="137" spans="1:14">
      <c r="A137" s="307"/>
      <c r="B137" s="278"/>
      <c r="C137" s="278"/>
      <c r="D137" s="278"/>
      <c r="E137" s="278"/>
      <c r="F137" s="278"/>
      <c r="G137" s="278"/>
      <c r="H137" s="278"/>
      <c r="I137" s="278"/>
      <c r="J137" s="278"/>
      <c r="K137" s="278"/>
      <c r="L137" s="278"/>
      <c r="M137" s="278"/>
      <c r="N137" s="278"/>
    </row>
    <row r="138" spans="1:14">
      <c r="A138" s="307"/>
      <c r="B138" s="278"/>
      <c r="C138" s="278"/>
      <c r="D138" s="278"/>
      <c r="E138" s="278"/>
      <c r="F138" s="278"/>
      <c r="G138" s="278"/>
      <c r="H138" s="278"/>
      <c r="I138" s="278"/>
      <c r="J138" s="278"/>
      <c r="K138" s="278"/>
      <c r="L138" s="278"/>
      <c r="M138" s="278"/>
      <c r="N138" s="278"/>
    </row>
    <row r="139" spans="1:14">
      <c r="A139" s="307"/>
      <c r="B139" s="278"/>
      <c r="C139" s="278"/>
      <c r="D139" s="278"/>
      <c r="E139" s="278"/>
      <c r="F139" s="278"/>
      <c r="G139" s="278"/>
      <c r="H139" s="278"/>
      <c r="I139" s="278"/>
      <c r="J139" s="278"/>
      <c r="K139" s="278"/>
      <c r="L139" s="278"/>
      <c r="M139" s="278"/>
      <c r="N139" s="278"/>
    </row>
    <row r="140" spans="1:14">
      <c r="A140" s="307"/>
      <c r="B140" s="278"/>
      <c r="C140" s="278"/>
      <c r="D140" s="278"/>
      <c r="E140" s="278"/>
      <c r="F140" s="278"/>
      <c r="G140" s="278"/>
      <c r="H140" s="278"/>
      <c r="I140" s="278"/>
      <c r="J140" s="278"/>
      <c r="K140" s="278"/>
      <c r="L140" s="278"/>
      <c r="M140" s="278"/>
      <c r="N140" s="278"/>
    </row>
    <row r="141" spans="1:14">
      <c r="A141" s="307"/>
      <c r="B141" s="278"/>
      <c r="C141" s="278"/>
      <c r="D141" s="278"/>
      <c r="E141" s="278"/>
      <c r="F141" s="278"/>
      <c r="G141" s="278"/>
      <c r="H141" s="278"/>
      <c r="I141" s="278"/>
      <c r="J141" s="278"/>
      <c r="K141" s="278"/>
      <c r="L141" s="278"/>
      <c r="M141" s="278"/>
      <c r="N141" s="278"/>
    </row>
    <row r="142" spans="1:14">
      <c r="A142" s="307"/>
      <c r="B142" s="278"/>
      <c r="C142" s="278"/>
      <c r="D142" s="278"/>
      <c r="E142" s="278"/>
      <c r="F142" s="278"/>
      <c r="G142" s="278"/>
      <c r="H142" s="278"/>
      <c r="I142" s="278"/>
      <c r="J142" s="278"/>
      <c r="K142" s="278"/>
      <c r="L142" s="278"/>
      <c r="M142" s="278"/>
      <c r="N142" s="278"/>
    </row>
    <row r="143" spans="1:14">
      <c r="A143" s="307"/>
      <c r="B143" s="278"/>
      <c r="C143" s="278"/>
      <c r="D143" s="278"/>
      <c r="E143" s="278"/>
      <c r="F143" s="278"/>
      <c r="G143" s="278"/>
      <c r="H143" s="278"/>
      <c r="I143" s="278"/>
      <c r="J143" s="278"/>
      <c r="K143" s="278"/>
      <c r="L143" s="278"/>
      <c r="M143" s="278"/>
      <c r="N143" s="278"/>
    </row>
    <row r="144" spans="1:14">
      <c r="A144" s="307"/>
      <c r="B144" s="278"/>
      <c r="C144" s="278"/>
      <c r="D144" s="278"/>
      <c r="E144" s="278"/>
      <c r="F144" s="278"/>
      <c r="G144" s="278"/>
      <c r="H144" s="278"/>
      <c r="I144" s="278"/>
      <c r="J144" s="278"/>
      <c r="K144" s="278"/>
      <c r="L144" s="278"/>
      <c r="M144" s="278"/>
      <c r="N144" s="278"/>
    </row>
    <row r="145" spans="1:14">
      <c r="A145" s="307"/>
      <c r="B145" s="278"/>
      <c r="C145" s="278"/>
      <c r="D145" s="278"/>
      <c r="E145" s="278"/>
      <c r="F145" s="278"/>
      <c r="G145" s="278"/>
      <c r="H145" s="278"/>
      <c r="I145" s="278"/>
      <c r="J145" s="278"/>
      <c r="K145" s="278"/>
      <c r="L145" s="278"/>
      <c r="M145" s="278"/>
      <c r="N145" s="278"/>
    </row>
    <row r="146" spans="1:14">
      <c r="A146" s="307"/>
      <c r="B146" s="278"/>
      <c r="C146" s="278"/>
      <c r="D146" s="278"/>
      <c r="E146" s="278"/>
      <c r="F146" s="278"/>
      <c r="G146" s="278"/>
      <c r="H146" s="278"/>
      <c r="I146" s="278"/>
      <c r="J146" s="278"/>
      <c r="K146" s="278"/>
      <c r="L146" s="278"/>
      <c r="M146" s="278"/>
      <c r="N146" s="278"/>
    </row>
    <row r="147" spans="1:14">
      <c r="A147" s="307"/>
      <c r="B147" s="278"/>
      <c r="C147" s="278"/>
      <c r="D147" s="278"/>
      <c r="E147" s="278"/>
      <c r="F147" s="278"/>
      <c r="G147" s="278"/>
      <c r="H147" s="278"/>
      <c r="I147" s="278"/>
      <c r="J147" s="278"/>
      <c r="K147" s="278"/>
      <c r="L147" s="278"/>
      <c r="M147" s="278"/>
      <c r="N147" s="278"/>
    </row>
    <row r="148" spans="1:14">
      <c r="A148" s="307"/>
      <c r="B148" s="278"/>
      <c r="C148" s="278"/>
      <c r="D148" s="278"/>
      <c r="E148" s="278"/>
      <c r="F148" s="278"/>
      <c r="G148" s="278"/>
      <c r="H148" s="278"/>
      <c r="I148" s="278"/>
      <c r="J148" s="278"/>
      <c r="K148" s="278"/>
      <c r="L148" s="278"/>
      <c r="M148" s="278"/>
      <c r="N148" s="278"/>
    </row>
    <row r="149" spans="1:14">
      <c r="A149" s="307"/>
      <c r="B149" s="278"/>
      <c r="C149" s="278"/>
      <c r="D149" s="278"/>
      <c r="E149" s="278"/>
      <c r="F149" s="278"/>
      <c r="G149" s="278"/>
      <c r="H149" s="278"/>
      <c r="I149" s="278"/>
      <c r="J149" s="278"/>
      <c r="K149" s="278"/>
      <c r="L149" s="278"/>
      <c r="M149" s="278"/>
      <c r="N149" s="278"/>
    </row>
    <row r="150" spans="1:14">
      <c r="A150" s="307"/>
      <c r="B150" s="278"/>
      <c r="C150" s="278"/>
      <c r="D150" s="278"/>
      <c r="E150" s="278"/>
      <c r="F150" s="278"/>
      <c r="G150" s="278"/>
      <c r="H150" s="278"/>
      <c r="I150" s="278"/>
      <c r="J150" s="278"/>
      <c r="K150" s="278"/>
      <c r="L150" s="278"/>
      <c r="M150" s="278"/>
      <c r="N150" s="278"/>
    </row>
    <row r="151" spans="1:14">
      <c r="A151" s="307"/>
      <c r="B151" s="278"/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  <c r="M151" s="278"/>
      <c r="N151" s="278"/>
    </row>
    <row r="152" spans="1:14">
      <c r="A152" s="307"/>
      <c r="B152" s="278"/>
      <c r="C152" s="278"/>
      <c r="D152" s="278"/>
      <c r="E152" s="278"/>
      <c r="F152" s="278"/>
      <c r="G152" s="278"/>
      <c r="H152" s="278"/>
      <c r="I152" s="278"/>
      <c r="J152" s="278"/>
      <c r="K152" s="278"/>
      <c r="L152" s="278"/>
      <c r="M152" s="278"/>
      <c r="N152" s="278"/>
    </row>
    <row r="153" spans="1:14">
      <c r="A153" s="307"/>
      <c r="B153" s="278"/>
      <c r="C153" s="278"/>
      <c r="D153" s="278"/>
      <c r="E153" s="278"/>
      <c r="F153" s="278"/>
      <c r="G153" s="278"/>
      <c r="H153" s="278"/>
      <c r="I153" s="278"/>
      <c r="J153" s="278"/>
      <c r="K153" s="278"/>
      <c r="L153" s="278"/>
      <c r="M153" s="278"/>
      <c r="N153" s="278"/>
    </row>
    <row r="154" spans="1:14">
      <c r="A154" s="307"/>
      <c r="B154" s="278"/>
      <c r="C154" s="278"/>
      <c r="D154" s="278"/>
      <c r="E154" s="278"/>
      <c r="F154" s="278"/>
      <c r="G154" s="278"/>
      <c r="H154" s="278"/>
      <c r="I154" s="278"/>
      <c r="J154" s="278"/>
      <c r="K154" s="278"/>
      <c r="L154" s="278"/>
      <c r="M154" s="278"/>
      <c r="N154" s="278"/>
    </row>
    <row r="155" spans="1:14">
      <c r="A155" s="307"/>
      <c r="B155" s="278"/>
      <c r="C155" s="278"/>
      <c r="D155" s="278"/>
      <c r="E155" s="278"/>
      <c r="F155" s="278"/>
      <c r="G155" s="278"/>
      <c r="H155" s="278"/>
      <c r="I155" s="278"/>
      <c r="J155" s="278"/>
      <c r="K155" s="278"/>
      <c r="L155" s="278"/>
      <c r="M155" s="278"/>
      <c r="N155" s="278"/>
    </row>
    <row r="156" spans="1:14">
      <c r="A156" s="307"/>
      <c r="B156" s="278"/>
      <c r="C156" s="278"/>
      <c r="D156" s="278"/>
      <c r="E156" s="278"/>
      <c r="F156" s="278"/>
      <c r="G156" s="278"/>
      <c r="H156" s="278"/>
      <c r="I156" s="278"/>
      <c r="J156" s="278"/>
      <c r="K156" s="278"/>
      <c r="L156" s="278"/>
      <c r="M156" s="278"/>
      <c r="N156" s="278"/>
    </row>
    <row r="157" spans="1:14">
      <c r="A157" s="307"/>
      <c r="B157" s="278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8"/>
    </row>
    <row r="158" spans="1:14">
      <c r="A158" s="307"/>
      <c r="B158" s="278"/>
      <c r="C158" s="278"/>
      <c r="D158" s="278"/>
      <c r="E158" s="278"/>
      <c r="F158" s="278"/>
      <c r="G158" s="278"/>
      <c r="H158" s="278"/>
      <c r="I158" s="278"/>
      <c r="J158" s="278"/>
      <c r="K158" s="278"/>
      <c r="L158" s="278"/>
      <c r="M158" s="278"/>
      <c r="N158" s="278"/>
    </row>
    <row r="159" spans="1:14">
      <c r="A159" s="307"/>
      <c r="B159" s="278"/>
      <c r="C159" s="278"/>
      <c r="D159" s="278"/>
      <c r="E159" s="278"/>
      <c r="F159" s="278"/>
      <c r="G159" s="278"/>
      <c r="H159" s="278"/>
      <c r="I159" s="278"/>
      <c r="J159" s="278"/>
      <c r="K159" s="278"/>
      <c r="L159" s="278"/>
      <c r="M159" s="278"/>
      <c r="N159" s="278"/>
    </row>
    <row r="160" spans="1:14">
      <c r="A160" s="307"/>
      <c r="B160" s="278"/>
      <c r="C160" s="278"/>
      <c r="D160" s="278"/>
      <c r="E160" s="278"/>
      <c r="F160" s="278"/>
      <c r="G160" s="278"/>
      <c r="H160" s="278"/>
      <c r="I160" s="278"/>
      <c r="J160" s="278"/>
      <c r="K160" s="278"/>
      <c r="L160" s="278"/>
      <c r="M160" s="278"/>
      <c r="N160" s="278"/>
    </row>
    <row r="161" spans="1:14">
      <c r="A161" s="307"/>
      <c r="B161" s="278"/>
      <c r="C161" s="278"/>
      <c r="D161" s="278"/>
      <c r="E161" s="278"/>
      <c r="F161" s="278"/>
      <c r="G161" s="278"/>
      <c r="H161" s="278"/>
      <c r="I161" s="278"/>
      <c r="J161" s="278"/>
      <c r="K161" s="278"/>
      <c r="L161" s="278"/>
      <c r="M161" s="278"/>
      <c r="N161" s="278"/>
    </row>
    <row r="162" spans="1:14">
      <c r="A162" s="307"/>
      <c r="B162" s="278"/>
      <c r="C162" s="278"/>
      <c r="D162" s="278"/>
      <c r="E162" s="278"/>
      <c r="F162" s="278"/>
      <c r="G162" s="278"/>
      <c r="H162" s="278"/>
      <c r="I162" s="278"/>
      <c r="J162" s="278"/>
      <c r="K162" s="278"/>
      <c r="L162" s="278"/>
      <c r="M162" s="278"/>
      <c r="N162" s="278"/>
    </row>
    <row r="163" spans="1:14">
      <c r="A163" s="307"/>
      <c r="B163" s="278"/>
      <c r="C163" s="278"/>
      <c r="D163" s="278"/>
      <c r="E163" s="278"/>
      <c r="F163" s="278"/>
      <c r="G163" s="278"/>
      <c r="H163" s="278"/>
      <c r="I163" s="278"/>
      <c r="J163" s="278"/>
      <c r="K163" s="278"/>
      <c r="L163" s="278"/>
      <c r="M163" s="278"/>
      <c r="N163" s="278"/>
    </row>
    <row r="164" spans="1:14">
      <c r="A164" s="307"/>
      <c r="B164" s="278"/>
      <c r="C164" s="278"/>
      <c r="D164" s="278"/>
      <c r="E164" s="278"/>
      <c r="F164" s="278"/>
      <c r="G164" s="278"/>
      <c r="H164" s="278"/>
      <c r="I164" s="278"/>
      <c r="J164" s="278"/>
      <c r="K164" s="278"/>
      <c r="L164" s="278"/>
      <c r="M164" s="278"/>
      <c r="N164" s="278"/>
    </row>
    <row r="165" spans="1:14">
      <c r="A165" s="307"/>
      <c r="B165" s="278"/>
      <c r="C165" s="278"/>
      <c r="D165" s="278"/>
      <c r="E165" s="278"/>
      <c r="F165" s="278"/>
      <c r="G165" s="278"/>
      <c r="H165" s="278"/>
      <c r="I165" s="278"/>
      <c r="J165" s="278"/>
      <c r="K165" s="278"/>
      <c r="L165" s="278"/>
      <c r="M165" s="278"/>
      <c r="N165" s="278"/>
    </row>
    <row r="166" spans="1:14">
      <c r="A166" s="307"/>
      <c r="B166" s="278"/>
      <c r="C166" s="278"/>
      <c r="D166" s="278"/>
      <c r="E166" s="278"/>
      <c r="F166" s="278"/>
      <c r="G166" s="278"/>
      <c r="H166" s="278"/>
      <c r="I166" s="278"/>
      <c r="J166" s="278"/>
      <c r="K166" s="278"/>
      <c r="L166" s="278"/>
      <c r="M166" s="278"/>
      <c r="N166" s="278"/>
    </row>
    <row r="167" spans="1:14">
      <c r="A167" s="307"/>
      <c r="B167" s="278"/>
      <c r="C167" s="278"/>
      <c r="D167" s="278"/>
      <c r="E167" s="278"/>
      <c r="F167" s="278"/>
      <c r="G167" s="278"/>
      <c r="H167" s="278"/>
      <c r="I167" s="278"/>
      <c r="J167" s="278"/>
      <c r="K167" s="278"/>
      <c r="L167" s="278"/>
      <c r="M167" s="278"/>
      <c r="N167" s="278"/>
    </row>
    <row r="168" spans="1:14">
      <c r="A168" s="307"/>
      <c r="B168" s="278"/>
      <c r="C168" s="278"/>
      <c r="D168" s="278"/>
      <c r="E168" s="278"/>
      <c r="F168" s="278"/>
      <c r="G168" s="278"/>
      <c r="H168" s="278"/>
      <c r="I168" s="278"/>
      <c r="J168" s="278"/>
      <c r="K168" s="278"/>
      <c r="L168" s="278"/>
      <c r="M168" s="278"/>
      <c r="N168" s="278"/>
    </row>
    <row r="169" spans="1:14">
      <c r="A169" s="307"/>
      <c r="B169" s="278"/>
      <c r="C169" s="278"/>
      <c r="D169" s="278"/>
      <c r="E169" s="278"/>
      <c r="F169" s="278"/>
      <c r="G169" s="278"/>
      <c r="H169" s="278"/>
      <c r="I169" s="278"/>
      <c r="J169" s="278"/>
      <c r="K169" s="278"/>
      <c r="L169" s="278"/>
      <c r="M169" s="278"/>
      <c r="N169" s="278"/>
    </row>
    <row r="170" spans="1:14">
      <c r="A170" s="307"/>
      <c r="B170" s="278"/>
      <c r="C170" s="278"/>
      <c r="D170" s="278"/>
      <c r="E170" s="278"/>
      <c r="F170" s="278"/>
      <c r="G170" s="278"/>
      <c r="H170" s="278"/>
      <c r="I170" s="278"/>
      <c r="J170" s="278"/>
      <c r="K170" s="278"/>
      <c r="L170" s="278"/>
      <c r="M170" s="278"/>
      <c r="N170" s="278"/>
    </row>
    <row r="171" spans="1:14">
      <c r="A171" s="307"/>
      <c r="B171" s="278"/>
      <c r="C171" s="278"/>
      <c r="D171" s="278"/>
      <c r="E171" s="278"/>
      <c r="F171" s="278"/>
      <c r="G171" s="278"/>
      <c r="H171" s="278"/>
      <c r="I171" s="278"/>
      <c r="J171" s="278"/>
      <c r="K171" s="278"/>
      <c r="L171" s="278"/>
      <c r="M171" s="278"/>
      <c r="N171" s="278"/>
    </row>
    <row r="172" spans="1:14">
      <c r="A172" s="307"/>
      <c r="B172" s="278"/>
      <c r="C172" s="278"/>
      <c r="D172" s="278"/>
      <c r="E172" s="278"/>
      <c r="F172" s="278"/>
      <c r="G172" s="278"/>
      <c r="H172" s="278"/>
      <c r="I172" s="278"/>
      <c r="J172" s="278"/>
      <c r="K172" s="278"/>
      <c r="L172" s="278"/>
      <c r="M172" s="278"/>
      <c r="N172" s="278"/>
    </row>
    <row r="173" spans="1:14">
      <c r="A173" s="307"/>
      <c r="B173" s="278"/>
      <c r="C173" s="278"/>
      <c r="D173" s="278"/>
      <c r="E173" s="278"/>
      <c r="F173" s="278"/>
      <c r="G173" s="278"/>
      <c r="H173" s="278"/>
      <c r="I173" s="278"/>
      <c r="J173" s="278"/>
      <c r="K173" s="278"/>
      <c r="L173" s="278"/>
      <c r="M173" s="278"/>
      <c r="N173" s="278"/>
    </row>
    <row r="174" spans="1:14">
      <c r="A174" s="307"/>
      <c r="B174" s="278"/>
      <c r="C174" s="278"/>
      <c r="D174" s="278"/>
      <c r="E174" s="278"/>
      <c r="F174" s="278"/>
      <c r="G174" s="278"/>
      <c r="H174" s="278"/>
      <c r="I174" s="278"/>
      <c r="J174" s="278"/>
      <c r="K174" s="278"/>
      <c r="L174" s="278"/>
      <c r="M174" s="278"/>
      <c r="N174" s="278"/>
    </row>
    <row r="175" spans="1:14">
      <c r="A175" s="307"/>
      <c r="B175" s="278"/>
      <c r="C175" s="278"/>
      <c r="D175" s="278"/>
      <c r="E175" s="278"/>
      <c r="F175" s="278"/>
      <c r="G175" s="278"/>
      <c r="H175" s="278"/>
      <c r="I175" s="278"/>
      <c r="J175" s="278"/>
      <c r="K175" s="278"/>
      <c r="L175" s="278"/>
      <c r="M175" s="278"/>
      <c r="N175" s="278"/>
    </row>
    <row r="176" spans="1:14">
      <c r="A176" s="307"/>
      <c r="B176" s="278"/>
      <c r="C176" s="278"/>
      <c r="D176" s="278"/>
      <c r="E176" s="278"/>
      <c r="F176" s="278"/>
      <c r="G176" s="278"/>
      <c r="H176" s="278"/>
      <c r="I176" s="278"/>
      <c r="J176" s="278"/>
      <c r="K176" s="278"/>
      <c r="L176" s="278"/>
      <c r="M176" s="278"/>
      <c r="N176" s="278"/>
    </row>
    <row r="177" spans="1:14">
      <c r="A177" s="307"/>
      <c r="B177" s="278"/>
      <c r="C177" s="278"/>
      <c r="D177" s="278"/>
      <c r="E177" s="278"/>
      <c r="F177" s="278"/>
      <c r="G177" s="278"/>
      <c r="H177" s="278"/>
      <c r="I177" s="278"/>
      <c r="J177" s="278"/>
      <c r="K177" s="278"/>
      <c r="L177" s="278"/>
      <c r="M177" s="278"/>
      <c r="N177" s="278"/>
    </row>
    <row r="178" spans="1:14">
      <c r="A178" s="307"/>
      <c r="B178" s="278"/>
      <c r="C178" s="278"/>
      <c r="D178" s="278"/>
      <c r="E178" s="278"/>
      <c r="F178" s="278"/>
      <c r="G178" s="278"/>
      <c r="H178" s="278"/>
      <c r="I178" s="278"/>
      <c r="J178" s="278"/>
      <c r="K178" s="278"/>
      <c r="L178" s="278"/>
      <c r="M178" s="278"/>
      <c r="N178" s="278"/>
    </row>
    <row r="179" spans="1:14">
      <c r="A179" s="307"/>
      <c r="B179" s="278"/>
      <c r="C179" s="278"/>
      <c r="D179" s="278"/>
      <c r="E179" s="278"/>
      <c r="F179" s="278"/>
      <c r="G179" s="278"/>
      <c r="H179" s="278"/>
      <c r="I179" s="278"/>
      <c r="J179" s="278"/>
      <c r="K179" s="278"/>
      <c r="L179" s="278"/>
      <c r="M179" s="278"/>
      <c r="N179" s="278"/>
    </row>
    <row r="180" spans="1:14">
      <c r="A180" s="307"/>
      <c r="B180" s="278"/>
      <c r="C180" s="278"/>
      <c r="D180" s="278"/>
      <c r="E180" s="278"/>
      <c r="F180" s="278"/>
      <c r="G180" s="278"/>
      <c r="H180" s="278"/>
      <c r="I180" s="278"/>
      <c r="J180" s="278"/>
      <c r="K180" s="278"/>
      <c r="L180" s="278"/>
      <c r="M180" s="278"/>
      <c r="N180" s="278"/>
    </row>
    <row r="181" spans="1:14">
      <c r="A181" s="307"/>
      <c r="B181" s="278"/>
      <c r="C181" s="278"/>
      <c r="D181" s="278"/>
      <c r="E181" s="278"/>
      <c r="F181" s="278"/>
      <c r="G181" s="278"/>
      <c r="H181" s="278"/>
      <c r="I181" s="278"/>
      <c r="J181" s="278"/>
      <c r="K181" s="278"/>
      <c r="L181" s="278"/>
      <c r="M181" s="278"/>
      <c r="N181" s="278"/>
    </row>
    <row r="182" spans="1:14">
      <c r="A182" s="307"/>
      <c r="B182" s="278"/>
      <c r="C182" s="278"/>
      <c r="D182" s="278"/>
      <c r="E182" s="278"/>
      <c r="F182" s="278"/>
      <c r="G182" s="278"/>
      <c r="H182" s="278"/>
      <c r="I182" s="278"/>
      <c r="J182" s="278"/>
      <c r="K182" s="278"/>
      <c r="L182" s="278"/>
      <c r="M182" s="278"/>
      <c r="N182" s="278"/>
    </row>
    <row r="183" spans="1:14">
      <c r="A183" s="307"/>
      <c r="B183" s="278"/>
      <c r="C183" s="278"/>
      <c r="D183" s="278"/>
      <c r="E183" s="278"/>
      <c r="F183" s="278"/>
      <c r="G183" s="278"/>
      <c r="H183" s="278"/>
      <c r="I183" s="278"/>
      <c r="J183" s="278"/>
      <c r="K183" s="278"/>
      <c r="L183" s="278"/>
      <c r="M183" s="278"/>
      <c r="N183" s="278"/>
    </row>
    <row r="184" spans="1:14">
      <c r="A184" s="307"/>
      <c r="B184" s="278"/>
      <c r="C184" s="278"/>
      <c r="D184" s="278"/>
      <c r="E184" s="278"/>
      <c r="F184" s="278"/>
      <c r="G184" s="278"/>
      <c r="H184" s="278"/>
      <c r="I184" s="278"/>
      <c r="J184" s="278"/>
      <c r="K184" s="278"/>
      <c r="L184" s="278"/>
      <c r="M184" s="278"/>
      <c r="N184" s="278"/>
    </row>
    <row r="185" spans="1:14">
      <c r="A185" s="307"/>
      <c r="B185" s="278"/>
      <c r="C185" s="278"/>
      <c r="D185" s="278"/>
      <c r="E185" s="278"/>
      <c r="F185" s="278"/>
      <c r="G185" s="278"/>
      <c r="H185" s="278"/>
      <c r="I185" s="278"/>
      <c r="J185" s="278"/>
      <c r="K185" s="278"/>
      <c r="L185" s="278"/>
      <c r="M185" s="278"/>
      <c r="N185" s="278"/>
    </row>
    <row r="186" spans="1:14">
      <c r="A186" s="307"/>
      <c r="B186" s="278"/>
      <c r="C186" s="278"/>
      <c r="D186" s="278"/>
      <c r="E186" s="278"/>
      <c r="F186" s="278"/>
      <c r="G186" s="278"/>
      <c r="H186" s="278"/>
      <c r="I186" s="278"/>
      <c r="J186" s="278"/>
      <c r="K186" s="278"/>
      <c r="L186" s="278"/>
      <c r="M186" s="278"/>
      <c r="N186" s="278"/>
    </row>
    <row r="187" spans="1:14">
      <c r="A187" s="307"/>
      <c r="B187" s="278"/>
      <c r="C187" s="278"/>
      <c r="D187" s="278"/>
      <c r="E187" s="278"/>
      <c r="F187" s="278"/>
      <c r="G187" s="278"/>
      <c r="H187" s="278"/>
      <c r="I187" s="278"/>
      <c r="J187" s="278"/>
      <c r="K187" s="278"/>
      <c r="L187" s="278"/>
      <c r="M187" s="278"/>
      <c r="N187" s="278"/>
    </row>
    <row r="188" spans="1:14">
      <c r="A188" s="307"/>
      <c r="B188" s="278"/>
      <c r="C188" s="278"/>
      <c r="D188" s="278"/>
      <c r="E188" s="278"/>
      <c r="F188" s="278"/>
      <c r="G188" s="278"/>
      <c r="H188" s="278"/>
      <c r="I188" s="278"/>
      <c r="J188" s="278"/>
      <c r="K188" s="278"/>
      <c r="L188" s="278"/>
      <c r="M188" s="278"/>
      <c r="N188" s="278"/>
    </row>
    <row r="189" spans="1:14">
      <c r="A189" s="307"/>
      <c r="B189" s="278"/>
      <c r="C189" s="278"/>
      <c r="D189" s="278"/>
      <c r="E189" s="278"/>
      <c r="F189" s="278"/>
      <c r="G189" s="278"/>
      <c r="H189" s="278"/>
      <c r="I189" s="278"/>
      <c r="J189" s="278"/>
      <c r="K189" s="278"/>
      <c r="L189" s="278"/>
      <c r="M189" s="278"/>
      <c r="N189" s="278"/>
    </row>
    <row r="190" spans="1:14">
      <c r="A190" s="307"/>
      <c r="B190" s="278"/>
      <c r="C190" s="278"/>
      <c r="D190" s="278"/>
      <c r="E190" s="278"/>
      <c r="F190" s="278"/>
      <c r="G190" s="278"/>
      <c r="H190" s="278"/>
      <c r="I190" s="278"/>
      <c r="J190" s="278"/>
      <c r="K190" s="278"/>
      <c r="L190" s="278"/>
      <c r="M190" s="278"/>
      <c r="N190" s="278"/>
    </row>
    <row r="191" spans="1:14">
      <c r="A191" s="307"/>
      <c r="B191" s="278"/>
      <c r="C191" s="278"/>
      <c r="D191" s="278"/>
      <c r="E191" s="278"/>
      <c r="F191" s="278"/>
      <c r="G191" s="278"/>
      <c r="H191" s="278"/>
      <c r="I191" s="278"/>
      <c r="J191" s="278"/>
      <c r="K191" s="278"/>
      <c r="L191" s="278"/>
      <c r="M191" s="278"/>
      <c r="N191" s="278"/>
    </row>
    <row r="192" spans="1:14">
      <c r="A192" s="307"/>
      <c r="B192" s="278"/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  <c r="M192" s="278"/>
      <c r="N192" s="278"/>
    </row>
    <row r="193" spans="1:14">
      <c r="A193" s="307"/>
      <c r="B193" s="278"/>
      <c r="C193" s="278"/>
      <c r="D193" s="278"/>
      <c r="E193" s="278"/>
      <c r="F193" s="278"/>
      <c r="G193" s="278"/>
      <c r="H193" s="278"/>
      <c r="I193" s="278"/>
      <c r="J193" s="278"/>
      <c r="K193" s="278"/>
      <c r="L193" s="278"/>
      <c r="M193" s="278"/>
      <c r="N193" s="278"/>
    </row>
    <row r="194" spans="1:14">
      <c r="A194" s="307"/>
      <c r="B194" s="278"/>
      <c r="C194" s="278"/>
      <c r="D194" s="278"/>
      <c r="E194" s="278"/>
      <c r="F194" s="278"/>
      <c r="G194" s="278"/>
      <c r="H194" s="278"/>
      <c r="I194" s="278"/>
      <c r="J194" s="278"/>
      <c r="K194" s="278"/>
      <c r="L194" s="278"/>
      <c r="M194" s="278"/>
      <c r="N194" s="278"/>
    </row>
    <row r="195" spans="1:14">
      <c r="A195" s="307"/>
      <c r="B195" s="278"/>
      <c r="C195" s="278"/>
      <c r="D195" s="278"/>
      <c r="E195" s="278"/>
      <c r="F195" s="278"/>
      <c r="G195" s="278"/>
      <c r="H195" s="278"/>
      <c r="I195" s="278"/>
      <c r="J195" s="278"/>
      <c r="K195" s="278"/>
      <c r="L195" s="278"/>
      <c r="M195" s="278"/>
      <c r="N195" s="278"/>
    </row>
    <row r="196" spans="1:14">
      <c r="A196" s="307"/>
      <c r="B196" s="278"/>
      <c r="C196" s="278"/>
      <c r="D196" s="278"/>
      <c r="E196" s="278"/>
      <c r="F196" s="278"/>
      <c r="G196" s="278"/>
      <c r="H196" s="278"/>
      <c r="I196" s="278"/>
      <c r="J196" s="278"/>
      <c r="K196" s="278"/>
      <c r="L196" s="278"/>
      <c r="M196" s="278"/>
      <c r="N196" s="278"/>
    </row>
    <row r="197" spans="1:14">
      <c r="A197" s="307"/>
      <c r="B197" s="278"/>
      <c r="C197" s="278"/>
      <c r="D197" s="278"/>
      <c r="E197" s="278"/>
      <c r="F197" s="278"/>
      <c r="G197" s="278"/>
      <c r="H197" s="278"/>
      <c r="I197" s="278"/>
      <c r="J197" s="278"/>
      <c r="K197" s="278"/>
      <c r="L197" s="278"/>
      <c r="M197" s="278"/>
      <c r="N197" s="278"/>
    </row>
    <row r="198" spans="1:14">
      <c r="A198" s="307"/>
      <c r="B198" s="278"/>
      <c r="C198" s="278"/>
      <c r="D198" s="278"/>
      <c r="E198" s="278"/>
      <c r="F198" s="278"/>
      <c r="G198" s="278"/>
      <c r="H198" s="278"/>
      <c r="I198" s="278"/>
      <c r="J198" s="278"/>
      <c r="K198" s="278"/>
      <c r="L198" s="278"/>
      <c r="M198" s="278"/>
      <c r="N198" s="278"/>
    </row>
    <row r="199" spans="1:14">
      <c r="A199" s="307"/>
      <c r="B199" s="278"/>
      <c r="C199" s="278"/>
      <c r="D199" s="278"/>
      <c r="E199" s="278"/>
      <c r="F199" s="278"/>
      <c r="G199" s="278"/>
      <c r="H199" s="278"/>
      <c r="I199" s="278"/>
      <c r="J199" s="278"/>
      <c r="K199" s="278"/>
      <c r="L199" s="278"/>
      <c r="M199" s="278"/>
      <c r="N199" s="278"/>
    </row>
    <row r="200" spans="1:14">
      <c r="A200" s="307"/>
      <c r="B200" s="278"/>
      <c r="C200" s="278"/>
      <c r="D200" s="278"/>
      <c r="E200" s="278"/>
      <c r="F200" s="278"/>
      <c r="G200" s="278"/>
      <c r="H200" s="278"/>
      <c r="I200" s="278"/>
      <c r="J200" s="278"/>
      <c r="K200" s="278"/>
      <c r="L200" s="278"/>
      <c r="M200" s="278"/>
      <c r="N200" s="278"/>
    </row>
    <row r="201" spans="1:14">
      <c r="A201" s="307"/>
      <c r="B201" s="278"/>
      <c r="C201" s="278"/>
      <c r="D201" s="278"/>
      <c r="E201" s="278"/>
      <c r="F201" s="278"/>
      <c r="G201" s="278"/>
      <c r="H201" s="278"/>
      <c r="I201" s="278"/>
      <c r="J201" s="278"/>
      <c r="K201" s="278"/>
      <c r="L201" s="278"/>
      <c r="M201" s="278"/>
      <c r="N201" s="278"/>
    </row>
    <row r="202" spans="1:14">
      <c r="A202" s="307"/>
      <c r="B202" s="278"/>
      <c r="C202" s="278"/>
      <c r="D202" s="278"/>
      <c r="E202" s="278"/>
      <c r="F202" s="278"/>
      <c r="G202" s="278"/>
      <c r="H202" s="278"/>
      <c r="I202" s="278"/>
      <c r="J202" s="278"/>
      <c r="K202" s="278"/>
      <c r="L202" s="278"/>
      <c r="M202" s="278"/>
      <c r="N202" s="278"/>
    </row>
    <row r="203" spans="1:14">
      <c r="A203" s="307"/>
      <c r="B203" s="278"/>
      <c r="C203" s="278"/>
      <c r="D203" s="278"/>
      <c r="E203" s="278"/>
      <c r="F203" s="278"/>
      <c r="G203" s="278"/>
      <c r="H203" s="278"/>
      <c r="I203" s="278"/>
      <c r="J203" s="278"/>
      <c r="K203" s="278"/>
      <c r="L203" s="278"/>
      <c r="M203" s="278"/>
      <c r="N203" s="278"/>
    </row>
    <row r="204" spans="1:14">
      <c r="A204" s="307"/>
      <c r="B204" s="278"/>
      <c r="C204" s="278"/>
      <c r="D204" s="278"/>
      <c r="E204" s="278"/>
      <c r="F204" s="278"/>
      <c r="G204" s="278"/>
      <c r="H204" s="278"/>
      <c r="I204" s="278"/>
      <c r="J204" s="278"/>
      <c r="K204" s="278"/>
      <c r="L204" s="278"/>
      <c r="M204" s="278"/>
      <c r="N204" s="278"/>
    </row>
    <row r="205" spans="1:14">
      <c r="A205" s="307"/>
      <c r="B205" s="278"/>
      <c r="C205" s="278"/>
      <c r="D205" s="278"/>
      <c r="E205" s="278"/>
      <c r="F205" s="278"/>
      <c r="G205" s="278"/>
      <c r="H205" s="278"/>
      <c r="I205" s="278"/>
      <c r="J205" s="278"/>
      <c r="K205" s="278"/>
      <c r="L205" s="278"/>
      <c r="M205" s="278"/>
      <c r="N205" s="278"/>
    </row>
    <row r="206" spans="1:14">
      <c r="A206" s="307"/>
      <c r="B206" s="278"/>
      <c r="C206" s="278"/>
      <c r="D206" s="278"/>
      <c r="E206" s="278"/>
      <c r="F206" s="278"/>
      <c r="G206" s="278"/>
      <c r="H206" s="278"/>
      <c r="I206" s="278"/>
      <c r="J206" s="278"/>
      <c r="K206" s="278"/>
      <c r="L206" s="278"/>
      <c r="M206" s="278"/>
      <c r="N206" s="278"/>
    </row>
    <row r="207" spans="1:14">
      <c r="A207" s="307"/>
      <c r="B207" s="278"/>
      <c r="C207" s="278"/>
      <c r="D207" s="278"/>
      <c r="E207" s="278"/>
      <c r="F207" s="278"/>
      <c r="G207" s="278"/>
      <c r="H207" s="278"/>
      <c r="I207" s="278"/>
      <c r="J207" s="278"/>
      <c r="K207" s="278"/>
      <c r="L207" s="278"/>
      <c r="M207" s="278"/>
      <c r="N207" s="278"/>
    </row>
    <row r="208" spans="1:14">
      <c r="A208" s="307"/>
      <c r="B208" s="278"/>
      <c r="C208" s="278"/>
      <c r="D208" s="278"/>
      <c r="E208" s="278"/>
      <c r="F208" s="278"/>
      <c r="G208" s="278"/>
      <c r="H208" s="278"/>
      <c r="I208" s="278"/>
      <c r="J208" s="278"/>
      <c r="K208" s="278"/>
      <c r="L208" s="278"/>
      <c r="M208" s="278"/>
      <c r="N208" s="278"/>
    </row>
    <row r="209" spans="1:14">
      <c r="A209" s="307"/>
      <c r="B209" s="278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8"/>
    </row>
    <row r="210" spans="1:14">
      <c r="A210" s="307"/>
      <c r="B210" s="278"/>
      <c r="C210" s="278"/>
      <c r="D210" s="278"/>
      <c r="E210" s="278"/>
      <c r="F210" s="278"/>
      <c r="G210" s="278"/>
      <c r="H210" s="278"/>
      <c r="I210" s="278"/>
      <c r="J210" s="278"/>
      <c r="K210" s="278"/>
      <c r="L210" s="278"/>
      <c r="M210" s="278"/>
      <c r="N210" s="278"/>
    </row>
    <row r="211" spans="1:14">
      <c r="A211" s="307"/>
      <c r="B211" s="278"/>
      <c r="C211" s="278"/>
      <c r="D211" s="278"/>
      <c r="E211" s="278"/>
      <c r="F211" s="278"/>
      <c r="G211" s="278"/>
      <c r="H211" s="278"/>
      <c r="I211" s="278"/>
      <c r="J211" s="278"/>
      <c r="K211" s="278"/>
      <c r="L211" s="278"/>
      <c r="M211" s="278"/>
      <c r="N211" s="278"/>
    </row>
    <row r="212" spans="1:14">
      <c r="A212" s="307"/>
      <c r="B212" s="278"/>
      <c r="C212" s="278"/>
      <c r="D212" s="278"/>
      <c r="E212" s="278"/>
      <c r="F212" s="278"/>
      <c r="G212" s="278"/>
      <c r="H212" s="278"/>
      <c r="I212" s="278"/>
      <c r="J212" s="278"/>
      <c r="K212" s="278"/>
      <c r="L212" s="278"/>
      <c r="M212" s="278"/>
      <c r="N212" s="278"/>
    </row>
    <row r="213" spans="1:14">
      <c r="A213" s="307"/>
      <c r="B213" s="278"/>
      <c r="C213" s="278"/>
      <c r="D213" s="278"/>
      <c r="E213" s="278"/>
      <c r="F213" s="278"/>
      <c r="G213" s="278"/>
      <c r="H213" s="278"/>
      <c r="I213" s="278"/>
      <c r="J213" s="278"/>
      <c r="K213" s="278"/>
      <c r="L213" s="278"/>
      <c r="M213" s="278"/>
      <c r="N213" s="278"/>
    </row>
    <row r="214" spans="1:14">
      <c r="A214" s="307"/>
      <c r="B214" s="278"/>
      <c r="C214" s="278"/>
      <c r="D214" s="278"/>
      <c r="E214" s="278"/>
      <c r="F214" s="278"/>
      <c r="G214" s="278"/>
      <c r="H214" s="278"/>
      <c r="I214" s="278"/>
      <c r="J214" s="278"/>
      <c r="K214" s="278"/>
      <c r="L214" s="278"/>
      <c r="M214" s="278"/>
      <c r="N214" s="278"/>
    </row>
    <row r="215" spans="1:14">
      <c r="A215" s="307"/>
      <c r="B215" s="278"/>
      <c r="C215" s="278"/>
      <c r="D215" s="278"/>
      <c r="E215" s="278"/>
      <c r="F215" s="278"/>
      <c r="G215" s="278"/>
      <c r="H215" s="278"/>
      <c r="I215" s="278"/>
      <c r="J215" s="278"/>
      <c r="K215" s="278"/>
      <c r="L215" s="278"/>
      <c r="M215" s="278"/>
      <c r="N215" s="278"/>
    </row>
    <row r="216" spans="1:14">
      <c r="A216" s="307"/>
      <c r="B216" s="278"/>
      <c r="C216" s="278"/>
      <c r="D216" s="278"/>
      <c r="E216" s="278"/>
      <c r="F216" s="278"/>
      <c r="G216" s="278"/>
      <c r="H216" s="278"/>
      <c r="I216" s="278"/>
      <c r="J216" s="278"/>
      <c r="K216" s="278"/>
      <c r="L216" s="278"/>
      <c r="M216" s="278"/>
      <c r="N216" s="278"/>
    </row>
    <row r="217" spans="1:14">
      <c r="A217" s="307"/>
      <c r="B217" s="278"/>
      <c r="C217" s="278"/>
      <c r="D217" s="278"/>
      <c r="E217" s="278"/>
      <c r="F217" s="278"/>
      <c r="G217" s="278"/>
      <c r="H217" s="278"/>
      <c r="I217" s="278"/>
      <c r="J217" s="278"/>
      <c r="K217" s="278"/>
      <c r="L217" s="278"/>
      <c r="M217" s="278"/>
      <c r="N217" s="278"/>
    </row>
    <row r="218" spans="1:14">
      <c r="A218" s="307"/>
      <c r="B218" s="278"/>
      <c r="C218" s="278"/>
      <c r="D218" s="278"/>
      <c r="E218" s="278"/>
      <c r="F218" s="278"/>
      <c r="G218" s="278"/>
      <c r="H218" s="278"/>
      <c r="I218" s="278"/>
      <c r="J218" s="278"/>
      <c r="K218" s="278"/>
      <c r="L218" s="278"/>
      <c r="M218" s="278"/>
      <c r="N218" s="278"/>
    </row>
    <row r="219" spans="1:14">
      <c r="A219" s="307"/>
      <c r="B219" s="278"/>
      <c r="C219" s="278"/>
      <c r="D219" s="278"/>
      <c r="E219" s="278"/>
      <c r="F219" s="278"/>
      <c r="G219" s="278"/>
      <c r="H219" s="278"/>
      <c r="I219" s="278"/>
      <c r="J219" s="278"/>
      <c r="K219" s="278"/>
      <c r="L219" s="278"/>
      <c r="M219" s="278"/>
      <c r="N219" s="278"/>
    </row>
    <row r="220" spans="1:14">
      <c r="A220" s="307"/>
      <c r="B220" s="278"/>
      <c r="C220" s="278"/>
      <c r="D220" s="278"/>
      <c r="E220" s="278"/>
      <c r="F220" s="278"/>
      <c r="G220" s="278"/>
      <c r="H220" s="278"/>
      <c r="I220" s="278"/>
      <c r="J220" s="278"/>
      <c r="K220" s="278"/>
      <c r="L220" s="278"/>
      <c r="M220" s="278"/>
      <c r="N220" s="278"/>
    </row>
    <row r="221" spans="1:14">
      <c r="A221" s="307"/>
      <c r="B221" s="278"/>
      <c r="C221" s="278"/>
      <c r="D221" s="278"/>
      <c r="E221" s="278"/>
      <c r="F221" s="278"/>
      <c r="G221" s="278"/>
      <c r="H221" s="278"/>
      <c r="I221" s="278"/>
      <c r="J221" s="278"/>
      <c r="K221" s="278"/>
      <c r="L221" s="278"/>
      <c r="M221" s="278"/>
      <c r="N221" s="278"/>
    </row>
    <row r="222" spans="1:14">
      <c r="A222" s="307"/>
      <c r="B222" s="278"/>
      <c r="C222" s="278"/>
      <c r="D222" s="278"/>
      <c r="E222" s="278"/>
      <c r="F222" s="278"/>
      <c r="G222" s="278"/>
      <c r="H222" s="278"/>
      <c r="I222" s="278"/>
      <c r="J222" s="278"/>
      <c r="K222" s="278"/>
      <c r="L222" s="278"/>
      <c r="M222" s="278"/>
      <c r="N222" s="278"/>
    </row>
    <row r="223" spans="1:14">
      <c r="A223" s="307"/>
      <c r="B223" s="278"/>
      <c r="C223" s="278"/>
      <c r="D223" s="278"/>
      <c r="E223" s="278"/>
      <c r="F223" s="278"/>
      <c r="G223" s="278"/>
      <c r="H223" s="278"/>
      <c r="I223" s="278"/>
      <c r="J223" s="278"/>
      <c r="K223" s="278"/>
      <c r="L223" s="278"/>
      <c r="M223" s="278"/>
      <c r="N223" s="278"/>
    </row>
    <row r="224" spans="1:14">
      <c r="A224" s="307"/>
      <c r="B224" s="278"/>
      <c r="C224" s="278"/>
      <c r="D224" s="278"/>
      <c r="E224" s="278"/>
      <c r="F224" s="278"/>
      <c r="G224" s="278"/>
      <c r="H224" s="278"/>
      <c r="I224" s="278"/>
      <c r="J224" s="278"/>
      <c r="K224" s="278"/>
      <c r="L224" s="278"/>
      <c r="M224" s="278"/>
      <c r="N224" s="278"/>
    </row>
    <row r="225" spans="1:14">
      <c r="A225" s="307"/>
      <c r="B225" s="278"/>
      <c r="C225" s="278"/>
      <c r="D225" s="278"/>
      <c r="E225" s="278"/>
      <c r="F225" s="278"/>
      <c r="G225" s="278"/>
      <c r="H225" s="278"/>
      <c r="I225" s="278"/>
      <c r="J225" s="278"/>
      <c r="K225" s="278"/>
      <c r="L225" s="278"/>
      <c r="M225" s="278"/>
      <c r="N225" s="278"/>
    </row>
    <row r="226" spans="1:14">
      <c r="A226" s="307"/>
      <c r="B226" s="278"/>
      <c r="C226" s="278"/>
      <c r="D226" s="278"/>
      <c r="E226" s="278"/>
      <c r="F226" s="278"/>
      <c r="G226" s="278"/>
      <c r="H226" s="278"/>
      <c r="I226" s="278"/>
      <c r="J226" s="278"/>
      <c r="K226" s="278"/>
      <c r="L226" s="278"/>
      <c r="M226" s="278"/>
      <c r="N226" s="278"/>
    </row>
    <row r="227" spans="1:14">
      <c r="A227" s="307"/>
      <c r="B227" s="278"/>
      <c r="C227" s="278"/>
      <c r="D227" s="278"/>
      <c r="E227" s="278"/>
      <c r="F227" s="278"/>
      <c r="G227" s="278"/>
      <c r="H227" s="278"/>
      <c r="I227" s="278"/>
      <c r="J227" s="278"/>
      <c r="K227" s="278"/>
      <c r="L227" s="278"/>
      <c r="M227" s="278"/>
      <c r="N227" s="278"/>
    </row>
    <row r="228" spans="1:14">
      <c r="A228" s="307"/>
      <c r="B228" s="278"/>
      <c r="C228" s="278"/>
      <c r="D228" s="278"/>
      <c r="E228" s="278"/>
      <c r="F228" s="278"/>
      <c r="G228" s="278"/>
      <c r="H228" s="278"/>
      <c r="I228" s="278"/>
      <c r="J228" s="278"/>
      <c r="K228" s="278"/>
      <c r="L228" s="278"/>
      <c r="M228" s="278"/>
      <c r="N228" s="278"/>
    </row>
    <row r="229" spans="1:14">
      <c r="A229" s="307"/>
      <c r="B229" s="278"/>
      <c r="C229" s="278"/>
      <c r="D229" s="278"/>
      <c r="E229" s="278"/>
      <c r="F229" s="278"/>
      <c r="G229" s="278"/>
      <c r="H229" s="278"/>
      <c r="I229" s="278"/>
      <c r="J229" s="278"/>
      <c r="K229" s="278"/>
      <c r="L229" s="278"/>
      <c r="M229" s="278"/>
      <c r="N229" s="278"/>
    </row>
    <row r="230" spans="1:14">
      <c r="A230" s="307"/>
      <c r="B230" s="278"/>
      <c r="C230" s="278"/>
      <c r="D230" s="278"/>
      <c r="E230" s="278"/>
      <c r="F230" s="278"/>
      <c r="G230" s="278"/>
      <c r="H230" s="278"/>
      <c r="I230" s="278"/>
      <c r="J230" s="278"/>
      <c r="K230" s="278"/>
      <c r="L230" s="278"/>
      <c r="M230" s="278"/>
      <c r="N230" s="278"/>
    </row>
    <row r="231" spans="1:14">
      <c r="A231" s="307"/>
      <c r="B231" s="278"/>
      <c r="C231" s="278"/>
      <c r="D231" s="278"/>
      <c r="E231" s="278"/>
      <c r="F231" s="278"/>
      <c r="G231" s="278"/>
      <c r="H231" s="278"/>
      <c r="I231" s="278"/>
      <c r="J231" s="278"/>
      <c r="K231" s="278"/>
      <c r="L231" s="278"/>
      <c r="M231" s="278"/>
      <c r="N231" s="278"/>
    </row>
    <row r="232" spans="1:14">
      <c r="A232" s="307"/>
      <c r="B232" s="278"/>
      <c r="C232" s="278"/>
      <c r="D232" s="278"/>
      <c r="E232" s="278"/>
      <c r="F232" s="278"/>
      <c r="G232" s="278"/>
      <c r="H232" s="278"/>
      <c r="I232" s="278"/>
      <c r="J232" s="278"/>
      <c r="K232" s="278"/>
      <c r="L232" s="278"/>
      <c r="M232" s="278"/>
      <c r="N232" s="278"/>
    </row>
    <row r="233" spans="1:14">
      <c r="A233" s="307"/>
      <c r="B233" s="278"/>
      <c r="C233" s="278"/>
      <c r="D233" s="278"/>
      <c r="E233" s="278"/>
      <c r="F233" s="278"/>
      <c r="G233" s="278"/>
      <c r="H233" s="278"/>
      <c r="I233" s="278"/>
      <c r="J233" s="278"/>
      <c r="K233" s="278"/>
      <c r="L233" s="278"/>
      <c r="M233" s="278"/>
      <c r="N233" s="278"/>
    </row>
    <row r="234" spans="1:14">
      <c r="A234" s="307"/>
      <c r="B234" s="278"/>
      <c r="C234" s="278"/>
      <c r="D234" s="278"/>
      <c r="E234" s="278"/>
      <c r="F234" s="278"/>
      <c r="G234" s="278"/>
      <c r="H234" s="278"/>
      <c r="I234" s="278"/>
      <c r="J234" s="278"/>
      <c r="K234" s="278"/>
      <c r="L234" s="278"/>
      <c r="M234" s="278"/>
      <c r="N234" s="278"/>
    </row>
    <row r="235" spans="1:14">
      <c r="A235" s="307"/>
      <c r="B235" s="278"/>
      <c r="C235" s="278"/>
      <c r="D235" s="278"/>
      <c r="E235" s="278"/>
      <c r="F235" s="278"/>
      <c r="G235" s="278"/>
      <c r="H235" s="278"/>
      <c r="I235" s="278"/>
      <c r="J235" s="278"/>
      <c r="K235" s="278"/>
      <c r="L235" s="278"/>
      <c r="M235" s="278"/>
      <c r="N235" s="278"/>
    </row>
    <row r="236" spans="1:14">
      <c r="A236" s="307"/>
      <c r="B236" s="278"/>
      <c r="C236" s="278"/>
      <c r="D236" s="278"/>
      <c r="E236" s="278"/>
      <c r="F236" s="278"/>
      <c r="G236" s="278"/>
      <c r="H236" s="278"/>
      <c r="I236" s="278"/>
      <c r="J236" s="278"/>
      <c r="K236" s="278"/>
      <c r="L236" s="278"/>
      <c r="M236" s="278"/>
      <c r="N236" s="278"/>
    </row>
    <row r="237" spans="1:14">
      <c r="A237" s="307"/>
      <c r="B237" s="278"/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  <c r="M237" s="278"/>
      <c r="N237" s="278"/>
    </row>
    <row r="238" spans="1:14">
      <c r="A238" s="307"/>
      <c r="B238" s="278"/>
      <c r="C238" s="278"/>
      <c r="D238" s="278"/>
      <c r="E238" s="278"/>
      <c r="F238" s="278"/>
      <c r="G238" s="278"/>
      <c r="H238" s="278"/>
      <c r="I238" s="278"/>
      <c r="J238" s="278"/>
      <c r="K238" s="278"/>
      <c r="L238" s="278"/>
      <c r="M238" s="278"/>
      <c r="N238" s="278"/>
    </row>
    <row r="239" spans="1:14">
      <c r="A239" s="307"/>
      <c r="B239" s="278"/>
      <c r="C239" s="278"/>
      <c r="D239" s="278"/>
      <c r="E239" s="278"/>
      <c r="F239" s="278"/>
      <c r="G239" s="278"/>
      <c r="H239" s="278"/>
      <c r="I239" s="278"/>
      <c r="J239" s="278"/>
      <c r="K239" s="278"/>
      <c r="L239" s="278"/>
      <c r="M239" s="278"/>
      <c r="N239" s="278"/>
    </row>
    <row r="240" spans="1:14">
      <c r="A240" s="307"/>
      <c r="B240" s="278"/>
      <c r="C240" s="278"/>
      <c r="D240" s="278"/>
      <c r="E240" s="278"/>
      <c r="F240" s="278"/>
      <c r="G240" s="278"/>
      <c r="H240" s="278"/>
      <c r="I240" s="278"/>
      <c r="J240" s="278"/>
      <c r="K240" s="278"/>
      <c r="L240" s="278"/>
      <c r="M240" s="278"/>
      <c r="N240" s="278"/>
    </row>
    <row r="241" spans="1:14">
      <c r="A241" s="307"/>
      <c r="B241" s="278"/>
      <c r="C241" s="278"/>
      <c r="D241" s="278"/>
      <c r="E241" s="278"/>
      <c r="F241" s="278"/>
      <c r="G241" s="278"/>
      <c r="H241" s="278"/>
      <c r="I241" s="278"/>
      <c r="J241" s="278"/>
      <c r="K241" s="278"/>
      <c r="L241" s="278"/>
      <c r="M241" s="278"/>
      <c r="N241" s="278"/>
    </row>
    <row r="242" spans="1:14">
      <c r="A242" s="307"/>
      <c r="B242" s="278"/>
      <c r="C242" s="278"/>
      <c r="D242" s="278"/>
      <c r="E242" s="278"/>
      <c r="F242" s="278"/>
      <c r="G242" s="278"/>
      <c r="H242" s="278"/>
      <c r="I242" s="278"/>
      <c r="J242" s="278"/>
      <c r="K242" s="278"/>
      <c r="L242" s="278"/>
      <c r="M242" s="278"/>
      <c r="N242" s="278"/>
    </row>
    <row r="243" spans="1:14">
      <c r="A243" s="307"/>
      <c r="B243" s="278"/>
      <c r="C243" s="278"/>
      <c r="D243" s="278"/>
      <c r="E243" s="278"/>
      <c r="F243" s="278"/>
      <c r="G243" s="278"/>
      <c r="H243" s="278"/>
      <c r="I243" s="278"/>
      <c r="J243" s="278"/>
      <c r="K243" s="278"/>
      <c r="L243" s="278"/>
      <c r="M243" s="278"/>
      <c r="N243" s="278"/>
    </row>
    <row r="244" spans="1:14">
      <c r="A244" s="307"/>
      <c r="B244" s="278"/>
      <c r="C244" s="278"/>
      <c r="D244" s="278"/>
      <c r="E244" s="278"/>
      <c r="F244" s="278"/>
      <c r="G244" s="278"/>
      <c r="H244" s="278"/>
      <c r="I244" s="278"/>
      <c r="J244" s="278"/>
      <c r="K244" s="278"/>
      <c r="L244" s="278"/>
      <c r="M244" s="278"/>
      <c r="N244" s="278"/>
    </row>
    <row r="245" spans="1:14">
      <c r="A245" s="307"/>
      <c r="B245" s="278"/>
      <c r="C245" s="278"/>
      <c r="D245" s="278"/>
      <c r="E245" s="278"/>
      <c r="F245" s="278"/>
      <c r="G245" s="278"/>
      <c r="H245" s="278"/>
      <c r="I245" s="278"/>
      <c r="J245" s="278"/>
      <c r="K245" s="278"/>
      <c r="L245" s="278"/>
      <c r="M245" s="278"/>
      <c r="N245" s="278"/>
    </row>
    <row r="246" spans="1:14">
      <c r="A246" s="307"/>
      <c r="B246" s="278"/>
      <c r="C246" s="278"/>
      <c r="D246" s="278"/>
      <c r="E246" s="278"/>
      <c r="F246" s="278"/>
      <c r="G246" s="278"/>
      <c r="H246" s="278"/>
      <c r="I246" s="278"/>
      <c r="J246" s="278"/>
      <c r="K246" s="278"/>
      <c r="L246" s="278"/>
      <c r="M246" s="278"/>
      <c r="N246" s="278"/>
    </row>
    <row r="247" spans="1:14">
      <c r="A247" s="307"/>
      <c r="B247" s="278"/>
      <c r="C247" s="278"/>
      <c r="D247" s="278"/>
      <c r="E247" s="278"/>
      <c r="F247" s="278"/>
      <c r="G247" s="278"/>
      <c r="H247" s="278"/>
      <c r="I247" s="278"/>
      <c r="J247" s="278"/>
      <c r="K247" s="278"/>
      <c r="L247" s="278"/>
      <c r="M247" s="278"/>
      <c r="N247" s="278"/>
    </row>
    <row r="248" spans="1:14">
      <c r="A248" s="307"/>
      <c r="B248" s="278"/>
      <c r="C248" s="278"/>
      <c r="D248" s="278"/>
      <c r="E248" s="278"/>
      <c r="F248" s="278"/>
      <c r="G248" s="278"/>
      <c r="H248" s="278"/>
      <c r="I248" s="278"/>
      <c r="J248" s="278"/>
      <c r="K248" s="278"/>
      <c r="L248" s="278"/>
      <c r="M248" s="278"/>
      <c r="N248" s="278"/>
    </row>
    <row r="249" spans="1:14">
      <c r="A249" s="307"/>
      <c r="B249" s="278"/>
      <c r="C249" s="278"/>
      <c r="D249" s="278"/>
      <c r="E249" s="278"/>
      <c r="F249" s="278"/>
      <c r="G249" s="278"/>
      <c r="H249" s="278"/>
      <c r="I249" s="278"/>
      <c r="J249" s="278"/>
      <c r="K249" s="278"/>
      <c r="L249" s="278"/>
      <c r="M249" s="278"/>
      <c r="N249" s="278"/>
    </row>
    <row r="250" spans="1:14">
      <c r="A250" s="307"/>
      <c r="B250" s="278"/>
      <c r="C250" s="278"/>
      <c r="D250" s="278"/>
      <c r="E250" s="278"/>
      <c r="F250" s="278"/>
      <c r="G250" s="278"/>
      <c r="H250" s="278"/>
      <c r="I250" s="278"/>
      <c r="J250" s="278"/>
      <c r="K250" s="278"/>
      <c r="L250" s="278"/>
      <c r="M250" s="278"/>
      <c r="N250" s="278"/>
    </row>
    <row r="251" spans="1:14">
      <c r="A251" s="307"/>
      <c r="B251" s="278"/>
      <c r="C251" s="278"/>
      <c r="D251" s="278"/>
      <c r="E251" s="278"/>
      <c r="F251" s="278"/>
      <c r="G251" s="278"/>
      <c r="H251" s="278"/>
      <c r="I251" s="278"/>
      <c r="J251" s="278"/>
      <c r="K251" s="278"/>
      <c r="L251" s="278"/>
      <c r="M251" s="278"/>
      <c r="N251" s="278"/>
    </row>
    <row r="252" spans="1:14">
      <c r="A252" s="307"/>
      <c r="B252" s="278"/>
      <c r="C252" s="278"/>
      <c r="D252" s="278"/>
      <c r="E252" s="278"/>
      <c r="F252" s="278"/>
      <c r="G252" s="278"/>
      <c r="H252" s="278"/>
      <c r="I252" s="278"/>
      <c r="J252" s="278"/>
      <c r="K252" s="278"/>
      <c r="L252" s="278"/>
      <c r="M252" s="278"/>
      <c r="N252" s="278"/>
    </row>
    <row r="253" spans="1:14">
      <c r="A253" s="307"/>
      <c r="B253" s="278"/>
      <c r="C253" s="278"/>
      <c r="D253" s="278"/>
      <c r="E253" s="278"/>
      <c r="F253" s="278"/>
      <c r="G253" s="278"/>
      <c r="H253" s="278"/>
      <c r="I253" s="278"/>
      <c r="J253" s="278"/>
      <c r="K253" s="278"/>
      <c r="L253" s="278"/>
      <c r="M253" s="278"/>
      <c r="N253" s="278"/>
    </row>
    <row r="254" spans="1:14">
      <c r="A254" s="307"/>
      <c r="B254" s="278"/>
      <c r="C254" s="278"/>
      <c r="D254" s="278"/>
      <c r="E254" s="278"/>
      <c r="F254" s="278"/>
      <c r="G254" s="278"/>
      <c r="H254" s="278"/>
      <c r="I254" s="278"/>
      <c r="J254" s="278"/>
      <c r="K254" s="278"/>
      <c r="L254" s="278"/>
      <c r="M254" s="278"/>
      <c r="N254" s="278"/>
    </row>
    <row r="255" spans="1:14">
      <c r="A255" s="307"/>
      <c r="B255" s="278"/>
      <c r="C255" s="278"/>
      <c r="D255" s="278"/>
      <c r="E255" s="278"/>
      <c r="F255" s="278"/>
      <c r="G255" s="278"/>
      <c r="H255" s="278"/>
      <c r="I255" s="278"/>
      <c r="J255" s="278"/>
      <c r="K255" s="278"/>
      <c r="L255" s="278"/>
      <c r="M255" s="278"/>
      <c r="N255" s="278"/>
    </row>
    <row r="256" spans="1:14">
      <c r="A256" s="307"/>
      <c r="B256" s="278"/>
      <c r="C256" s="278"/>
      <c r="D256" s="278"/>
      <c r="E256" s="278"/>
      <c r="F256" s="278"/>
      <c r="G256" s="278"/>
      <c r="H256" s="278"/>
      <c r="I256" s="278"/>
      <c r="J256" s="278"/>
      <c r="K256" s="278"/>
      <c r="L256" s="278"/>
      <c r="M256" s="278"/>
      <c r="N256" s="278"/>
    </row>
    <row r="257" spans="1:14">
      <c r="A257" s="307"/>
      <c r="B257" s="278"/>
      <c r="C257" s="278"/>
      <c r="D257" s="278"/>
      <c r="E257" s="278"/>
      <c r="F257" s="278"/>
      <c r="G257" s="278"/>
      <c r="H257" s="278"/>
      <c r="I257" s="278"/>
      <c r="J257" s="278"/>
      <c r="K257" s="278"/>
      <c r="L257" s="278"/>
      <c r="M257" s="278"/>
      <c r="N257" s="278"/>
    </row>
    <row r="258" spans="1:14">
      <c r="A258" s="307"/>
      <c r="B258" s="278"/>
      <c r="C258" s="278"/>
      <c r="D258" s="278"/>
      <c r="E258" s="278"/>
      <c r="F258" s="278"/>
      <c r="G258" s="278"/>
      <c r="H258" s="278"/>
      <c r="I258" s="278"/>
      <c r="J258" s="278"/>
      <c r="K258" s="278"/>
      <c r="L258" s="278"/>
      <c r="M258" s="278"/>
      <c r="N258" s="278"/>
    </row>
    <row r="259" spans="1:14">
      <c r="A259" s="307"/>
      <c r="B259" s="278"/>
      <c r="C259" s="278"/>
      <c r="D259" s="278"/>
      <c r="E259" s="278"/>
      <c r="F259" s="278"/>
      <c r="G259" s="278"/>
      <c r="H259" s="278"/>
      <c r="I259" s="278"/>
      <c r="J259" s="278"/>
      <c r="K259" s="278"/>
      <c r="L259" s="278"/>
      <c r="M259" s="278"/>
      <c r="N259" s="278"/>
    </row>
    <row r="260" spans="1:14">
      <c r="A260" s="307"/>
      <c r="B260" s="278"/>
      <c r="C260" s="278"/>
      <c r="D260" s="278"/>
      <c r="E260" s="278"/>
      <c r="F260" s="278"/>
      <c r="G260" s="278"/>
      <c r="H260" s="278"/>
      <c r="I260" s="278"/>
      <c r="J260" s="278"/>
      <c r="K260" s="278"/>
      <c r="L260" s="278"/>
      <c r="M260" s="278"/>
      <c r="N260" s="278"/>
    </row>
    <row r="261" spans="1:14">
      <c r="A261" s="307"/>
      <c r="B261" s="278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8"/>
    </row>
    <row r="262" spans="1:14">
      <c r="A262" s="307"/>
      <c r="B262" s="278"/>
      <c r="C262" s="278"/>
      <c r="D262" s="278"/>
      <c r="E262" s="278"/>
      <c r="F262" s="278"/>
      <c r="G262" s="278"/>
      <c r="H262" s="278"/>
      <c r="I262" s="278"/>
      <c r="J262" s="278"/>
      <c r="K262" s="278"/>
      <c r="L262" s="278"/>
      <c r="M262" s="278"/>
      <c r="N262" s="278"/>
    </row>
    <row r="263" spans="1:14">
      <c r="A263" s="307"/>
      <c r="B263" s="278"/>
      <c r="C263" s="278"/>
      <c r="D263" s="278"/>
      <c r="E263" s="278"/>
      <c r="F263" s="278"/>
      <c r="G263" s="278"/>
      <c r="H263" s="278"/>
      <c r="I263" s="278"/>
      <c r="J263" s="278"/>
      <c r="K263" s="278"/>
      <c r="L263" s="278"/>
      <c r="M263" s="278"/>
      <c r="N263" s="278"/>
    </row>
    <row r="264" spans="1:14">
      <c r="A264" s="307"/>
      <c r="B264" s="278"/>
      <c r="C264" s="278"/>
      <c r="D264" s="278"/>
      <c r="E264" s="278"/>
      <c r="F264" s="278"/>
      <c r="G264" s="278"/>
      <c r="H264" s="278"/>
      <c r="I264" s="278"/>
      <c r="J264" s="278"/>
      <c r="K264" s="278"/>
      <c r="L264" s="278"/>
      <c r="M264" s="278"/>
      <c r="N264" s="278"/>
    </row>
    <row r="265" spans="1:14">
      <c r="A265" s="307"/>
      <c r="B265" s="278"/>
      <c r="C265" s="278"/>
      <c r="D265" s="278"/>
      <c r="E265" s="278"/>
      <c r="F265" s="278"/>
      <c r="G265" s="278"/>
      <c r="H265" s="278"/>
      <c r="I265" s="278"/>
      <c r="J265" s="278"/>
      <c r="K265" s="278"/>
      <c r="L265" s="278"/>
      <c r="M265" s="278"/>
      <c r="N265" s="278"/>
    </row>
    <row r="266" spans="1:14">
      <c r="A266" s="307"/>
      <c r="B266" s="278"/>
      <c r="C266" s="278"/>
      <c r="D266" s="278"/>
      <c r="E266" s="278"/>
      <c r="F266" s="278"/>
      <c r="G266" s="278"/>
      <c r="H266" s="278"/>
      <c r="I266" s="278"/>
      <c r="J266" s="278"/>
      <c r="K266" s="278"/>
      <c r="L266" s="278"/>
      <c r="M266" s="278"/>
      <c r="N266" s="278"/>
    </row>
    <row r="267" spans="1:14">
      <c r="A267" s="307"/>
      <c r="B267" s="278"/>
      <c r="C267" s="278"/>
      <c r="D267" s="278"/>
      <c r="E267" s="278"/>
      <c r="F267" s="278"/>
      <c r="G267" s="278"/>
      <c r="H267" s="278"/>
      <c r="I267" s="278"/>
      <c r="J267" s="278"/>
      <c r="K267" s="278"/>
      <c r="L267" s="278"/>
      <c r="M267" s="278"/>
      <c r="N267" s="278"/>
    </row>
    <row r="268" spans="1:14">
      <c r="A268" s="307"/>
      <c r="B268" s="278"/>
      <c r="C268" s="278"/>
      <c r="D268" s="278"/>
      <c r="E268" s="278"/>
      <c r="F268" s="278"/>
      <c r="G268" s="278"/>
      <c r="H268" s="278"/>
      <c r="I268" s="278"/>
      <c r="J268" s="278"/>
      <c r="K268" s="278"/>
      <c r="L268" s="278"/>
      <c r="M268" s="278"/>
      <c r="N268" s="278"/>
    </row>
    <row r="269" spans="1:14">
      <c r="A269" s="307"/>
      <c r="B269" s="278"/>
      <c r="C269" s="278"/>
      <c r="D269" s="278"/>
      <c r="E269" s="278"/>
      <c r="F269" s="278"/>
      <c r="G269" s="278"/>
      <c r="H269" s="278"/>
      <c r="I269" s="278"/>
      <c r="J269" s="278"/>
      <c r="K269" s="278"/>
      <c r="L269" s="278"/>
      <c r="M269" s="278"/>
      <c r="N269" s="278"/>
    </row>
    <row r="270" spans="1:14">
      <c r="A270" s="307"/>
      <c r="B270" s="278"/>
      <c r="C270" s="278"/>
      <c r="D270" s="278"/>
      <c r="E270" s="278"/>
      <c r="F270" s="278"/>
      <c r="G270" s="278"/>
      <c r="H270" s="278"/>
      <c r="I270" s="278"/>
      <c r="J270" s="278"/>
      <c r="K270" s="278"/>
      <c r="L270" s="278"/>
      <c r="M270" s="278"/>
      <c r="N270" s="278"/>
    </row>
    <row r="271" spans="1:14">
      <c r="A271" s="307"/>
      <c r="B271" s="278"/>
      <c r="C271" s="278"/>
      <c r="D271" s="278"/>
      <c r="E271" s="278"/>
      <c r="F271" s="278"/>
      <c r="G271" s="278"/>
      <c r="H271" s="278"/>
      <c r="I271" s="278"/>
      <c r="J271" s="278"/>
      <c r="K271" s="278"/>
      <c r="L271" s="278"/>
      <c r="M271" s="278"/>
      <c r="N271" s="278"/>
    </row>
    <row r="272" spans="1:14">
      <c r="A272" s="307"/>
      <c r="B272" s="278"/>
      <c r="C272" s="278"/>
      <c r="D272" s="278"/>
      <c r="E272" s="278"/>
      <c r="F272" s="278"/>
      <c r="G272" s="278"/>
      <c r="H272" s="278"/>
      <c r="I272" s="278"/>
      <c r="J272" s="278"/>
      <c r="K272" s="278"/>
      <c r="L272" s="278"/>
      <c r="M272" s="278"/>
      <c r="N272" s="278"/>
    </row>
    <row r="273" spans="1:14">
      <c r="A273" s="307"/>
      <c r="B273" s="278"/>
      <c r="C273" s="278"/>
      <c r="D273" s="278"/>
      <c r="E273" s="278"/>
      <c r="F273" s="278"/>
      <c r="G273" s="278"/>
      <c r="H273" s="278"/>
      <c r="I273" s="278"/>
      <c r="J273" s="278"/>
      <c r="K273" s="278"/>
      <c r="L273" s="278"/>
      <c r="M273" s="278"/>
      <c r="N273" s="278"/>
    </row>
    <row r="274" spans="1:14">
      <c r="A274" s="307"/>
      <c r="B274" s="278"/>
      <c r="C274" s="278"/>
      <c r="D274" s="278"/>
      <c r="E274" s="278"/>
      <c r="F274" s="278"/>
      <c r="G274" s="278"/>
      <c r="H274" s="278"/>
      <c r="I274" s="278"/>
      <c r="J274" s="278"/>
      <c r="K274" s="278"/>
      <c r="L274" s="278"/>
      <c r="M274" s="278"/>
      <c r="N274" s="278"/>
    </row>
    <row r="275" spans="1:14">
      <c r="A275" s="307"/>
      <c r="B275" s="278"/>
      <c r="C275" s="278"/>
      <c r="D275" s="278"/>
      <c r="E275" s="278"/>
      <c r="F275" s="278"/>
      <c r="G275" s="278"/>
      <c r="H275" s="278"/>
      <c r="I275" s="278"/>
      <c r="J275" s="278"/>
      <c r="K275" s="278"/>
      <c r="L275" s="278"/>
      <c r="M275" s="278"/>
      <c r="N275" s="278"/>
    </row>
    <row r="276" spans="1:14">
      <c r="A276" s="307"/>
      <c r="B276" s="278"/>
      <c r="C276" s="278"/>
      <c r="D276" s="278"/>
      <c r="E276" s="278"/>
      <c r="F276" s="278"/>
      <c r="G276" s="278"/>
      <c r="H276" s="278"/>
      <c r="I276" s="278"/>
      <c r="J276" s="278"/>
      <c r="K276" s="278"/>
      <c r="L276" s="278"/>
      <c r="M276" s="278"/>
      <c r="N276" s="278"/>
    </row>
    <row r="277" spans="1:14">
      <c r="A277" s="307"/>
      <c r="B277" s="278"/>
      <c r="C277" s="278"/>
      <c r="D277" s="278"/>
      <c r="E277" s="278"/>
      <c r="F277" s="278"/>
      <c r="G277" s="278"/>
      <c r="H277" s="278"/>
      <c r="I277" s="278"/>
      <c r="J277" s="278"/>
      <c r="K277" s="278"/>
      <c r="L277" s="278"/>
      <c r="M277" s="278"/>
      <c r="N277" s="278"/>
    </row>
    <row r="278" spans="1:14">
      <c r="A278" s="307"/>
      <c r="B278" s="278"/>
      <c r="C278" s="278"/>
      <c r="D278" s="278"/>
      <c r="E278" s="278"/>
      <c r="F278" s="278"/>
      <c r="G278" s="278"/>
      <c r="H278" s="278"/>
      <c r="I278" s="278"/>
      <c r="J278" s="278"/>
      <c r="K278" s="278"/>
      <c r="L278" s="278"/>
      <c r="M278" s="278"/>
      <c r="N278" s="278"/>
    </row>
    <row r="279" spans="1:14">
      <c r="A279" s="307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278"/>
    </row>
    <row r="280" spans="1:14">
      <c r="A280" s="307"/>
      <c r="B280" s="278"/>
      <c r="C280" s="278"/>
      <c r="D280" s="278"/>
      <c r="E280" s="278"/>
      <c r="F280" s="278"/>
      <c r="G280" s="278"/>
      <c r="H280" s="278"/>
      <c r="I280" s="278"/>
      <c r="J280" s="278"/>
      <c r="K280" s="278"/>
      <c r="L280" s="278"/>
      <c r="M280" s="278"/>
      <c r="N280" s="278"/>
    </row>
    <row r="281" spans="1:14">
      <c r="A281" s="307"/>
      <c r="B281" s="278"/>
      <c r="C281" s="278"/>
      <c r="D281" s="278"/>
      <c r="E281" s="278"/>
      <c r="F281" s="278"/>
      <c r="G281" s="278"/>
      <c r="H281" s="278"/>
      <c r="I281" s="278"/>
      <c r="J281" s="278"/>
      <c r="K281" s="278"/>
      <c r="L281" s="278"/>
      <c r="M281" s="278"/>
      <c r="N281" s="278"/>
    </row>
    <row r="282" spans="1:14">
      <c r="A282" s="307"/>
      <c r="B282" s="278"/>
      <c r="C282" s="278"/>
      <c r="D282" s="278"/>
      <c r="E282" s="278"/>
      <c r="F282" s="278"/>
      <c r="G282" s="278"/>
      <c r="H282" s="278"/>
      <c r="I282" s="278"/>
      <c r="J282" s="278"/>
      <c r="K282" s="278"/>
      <c r="L282" s="278"/>
      <c r="M282" s="278"/>
      <c r="N282" s="278"/>
    </row>
    <row r="283" spans="1:14">
      <c r="A283" s="307"/>
      <c r="B283" s="278"/>
      <c r="C283" s="278"/>
      <c r="D283" s="278"/>
      <c r="E283" s="278"/>
      <c r="F283" s="278"/>
      <c r="G283" s="278"/>
      <c r="H283" s="278"/>
      <c r="I283" s="278"/>
      <c r="J283" s="278"/>
      <c r="K283" s="278"/>
      <c r="L283" s="278"/>
      <c r="M283" s="278"/>
      <c r="N283" s="278"/>
    </row>
    <row r="284" spans="1:14">
      <c r="A284" s="307"/>
      <c r="B284" s="278"/>
      <c r="C284" s="278"/>
      <c r="D284" s="278"/>
      <c r="E284" s="278"/>
      <c r="F284" s="278"/>
      <c r="G284" s="278"/>
      <c r="H284" s="278"/>
      <c r="I284" s="278"/>
      <c r="J284" s="278"/>
      <c r="K284" s="278"/>
      <c r="L284" s="278"/>
      <c r="M284" s="278"/>
      <c r="N284" s="278"/>
    </row>
    <row r="285" spans="1:14">
      <c r="A285" s="307"/>
      <c r="B285" s="278"/>
      <c r="C285" s="278"/>
      <c r="D285" s="278"/>
      <c r="E285" s="278"/>
      <c r="F285" s="278"/>
      <c r="G285" s="278"/>
      <c r="H285" s="278"/>
      <c r="I285" s="278"/>
      <c r="J285" s="278"/>
      <c r="K285" s="278"/>
      <c r="L285" s="278"/>
      <c r="M285" s="278"/>
      <c r="N285" s="278"/>
    </row>
    <row r="286" spans="1:14">
      <c r="A286" s="307"/>
      <c r="B286" s="278"/>
      <c r="C286" s="278"/>
      <c r="D286" s="278"/>
      <c r="E286" s="278"/>
      <c r="F286" s="278"/>
      <c r="G286" s="278"/>
      <c r="H286" s="278"/>
      <c r="I286" s="278"/>
      <c r="J286" s="278"/>
      <c r="K286" s="278"/>
      <c r="L286" s="278"/>
      <c r="M286" s="278"/>
      <c r="N286" s="278"/>
    </row>
    <row r="287" spans="1:14">
      <c r="A287" s="307"/>
      <c r="B287" s="278"/>
      <c r="C287" s="278"/>
      <c r="D287" s="278"/>
      <c r="E287" s="278"/>
      <c r="F287" s="278"/>
      <c r="G287" s="278"/>
      <c r="H287" s="278"/>
      <c r="I287" s="278"/>
      <c r="J287" s="278"/>
      <c r="K287" s="278"/>
      <c r="L287" s="278"/>
      <c r="M287" s="278"/>
      <c r="N287" s="278"/>
    </row>
    <row r="288" spans="1:14">
      <c r="A288" s="307"/>
      <c r="B288" s="278"/>
      <c r="C288" s="278"/>
      <c r="D288" s="278"/>
      <c r="E288" s="278"/>
      <c r="F288" s="278"/>
      <c r="G288" s="278"/>
      <c r="H288" s="278"/>
      <c r="I288" s="278"/>
      <c r="J288" s="278"/>
      <c r="K288" s="278"/>
      <c r="L288" s="278"/>
      <c r="M288" s="278"/>
      <c r="N288" s="278"/>
    </row>
    <row r="289" spans="1:14">
      <c r="A289" s="307"/>
      <c r="B289" s="278"/>
      <c r="C289" s="278"/>
      <c r="D289" s="278"/>
      <c r="E289" s="278"/>
      <c r="F289" s="278"/>
      <c r="G289" s="278"/>
      <c r="H289" s="278"/>
      <c r="I289" s="278"/>
      <c r="J289" s="278"/>
      <c r="K289" s="278"/>
      <c r="L289" s="278"/>
      <c r="M289" s="278"/>
      <c r="N289" s="278"/>
    </row>
    <row r="290" spans="1:14">
      <c r="A290" s="307"/>
      <c r="B290" s="278"/>
      <c r="C290" s="278"/>
      <c r="D290" s="278"/>
      <c r="E290" s="278"/>
      <c r="F290" s="278"/>
      <c r="G290" s="278"/>
      <c r="H290" s="278"/>
      <c r="I290" s="278"/>
      <c r="J290" s="278"/>
      <c r="K290" s="278"/>
      <c r="L290" s="278"/>
      <c r="M290" s="278"/>
      <c r="N290" s="278"/>
    </row>
    <row r="291" spans="1:14">
      <c r="A291" s="307"/>
      <c r="B291" s="278"/>
      <c r="C291" s="278"/>
      <c r="D291" s="278"/>
      <c r="E291" s="278"/>
      <c r="F291" s="278"/>
      <c r="G291" s="278"/>
      <c r="H291" s="278"/>
      <c r="I291" s="278"/>
      <c r="J291" s="278"/>
      <c r="K291" s="278"/>
      <c r="L291" s="278"/>
      <c r="M291" s="278"/>
      <c r="N291" s="278"/>
    </row>
    <row r="292" spans="1:14">
      <c r="A292" s="307"/>
      <c r="B292" s="278"/>
      <c r="C292" s="278"/>
      <c r="D292" s="278"/>
      <c r="E292" s="278"/>
      <c r="F292" s="278"/>
      <c r="G292" s="278"/>
      <c r="H292" s="278"/>
      <c r="I292" s="278"/>
      <c r="J292" s="278"/>
      <c r="K292" s="278"/>
      <c r="L292" s="278"/>
      <c r="M292" s="278"/>
      <c r="N292" s="278"/>
    </row>
    <row r="293" spans="1:14">
      <c r="A293" s="307"/>
      <c r="B293" s="278"/>
      <c r="C293" s="278"/>
      <c r="D293" s="278"/>
      <c r="E293" s="278"/>
      <c r="F293" s="278"/>
      <c r="G293" s="278"/>
      <c r="H293" s="278"/>
      <c r="I293" s="278"/>
      <c r="J293" s="278"/>
      <c r="K293" s="278"/>
      <c r="L293" s="278"/>
      <c r="M293" s="278"/>
      <c r="N293" s="278"/>
    </row>
    <row r="294" spans="1:14">
      <c r="A294" s="307"/>
      <c r="B294" s="278"/>
      <c r="C294" s="278"/>
      <c r="D294" s="278"/>
      <c r="E294" s="278"/>
      <c r="F294" s="278"/>
      <c r="G294" s="278"/>
      <c r="H294" s="278"/>
      <c r="I294" s="278"/>
      <c r="J294" s="278"/>
      <c r="K294" s="278"/>
      <c r="L294" s="278"/>
      <c r="M294" s="278"/>
      <c r="N294" s="278"/>
    </row>
    <row r="295" spans="1:14">
      <c r="A295" s="307"/>
      <c r="B295" s="278"/>
      <c r="C295" s="278"/>
      <c r="D295" s="278"/>
      <c r="E295" s="278"/>
      <c r="F295" s="278"/>
      <c r="G295" s="278"/>
      <c r="H295" s="278"/>
      <c r="I295" s="278"/>
      <c r="J295" s="278"/>
      <c r="K295" s="278"/>
      <c r="L295" s="278"/>
      <c r="M295" s="278"/>
      <c r="N295" s="278"/>
    </row>
    <row r="296" spans="1:14">
      <c r="A296" s="307"/>
      <c r="B296" s="278"/>
      <c r="C296" s="278"/>
      <c r="D296" s="278"/>
      <c r="E296" s="278"/>
      <c r="F296" s="278"/>
      <c r="G296" s="278"/>
      <c r="H296" s="278"/>
      <c r="I296" s="278"/>
      <c r="J296" s="278"/>
      <c r="K296" s="278"/>
      <c r="L296" s="278"/>
      <c r="M296" s="278"/>
      <c r="N296" s="278"/>
    </row>
    <row r="297" spans="1:14">
      <c r="A297" s="307"/>
      <c r="B297" s="278"/>
      <c r="C297" s="278"/>
      <c r="D297" s="278"/>
      <c r="E297" s="278"/>
      <c r="F297" s="278"/>
      <c r="G297" s="278"/>
      <c r="H297" s="278"/>
      <c r="I297" s="278"/>
      <c r="J297" s="278"/>
      <c r="K297" s="278"/>
      <c r="L297" s="278"/>
      <c r="M297" s="278"/>
      <c r="N297" s="278"/>
    </row>
    <row r="298" spans="1:14">
      <c r="A298" s="307"/>
      <c r="B298" s="278"/>
      <c r="C298" s="278"/>
      <c r="D298" s="278"/>
      <c r="E298" s="278"/>
      <c r="F298" s="278"/>
      <c r="G298" s="278"/>
      <c r="H298" s="278"/>
      <c r="I298" s="278"/>
      <c r="J298" s="278"/>
      <c r="K298" s="278"/>
      <c r="L298" s="278"/>
      <c r="M298" s="278"/>
      <c r="N298" s="278"/>
    </row>
    <row r="299" spans="1:14">
      <c r="A299" s="307"/>
      <c r="B299" s="278"/>
      <c r="C299" s="278"/>
      <c r="D299" s="278"/>
      <c r="E299" s="278"/>
      <c r="F299" s="278"/>
      <c r="G299" s="278"/>
      <c r="H299" s="278"/>
      <c r="I299" s="278"/>
      <c r="J299" s="278"/>
      <c r="K299" s="278"/>
      <c r="L299" s="278"/>
      <c r="M299" s="278"/>
      <c r="N299" s="278"/>
    </row>
    <row r="300" spans="1:14">
      <c r="A300" s="307"/>
      <c r="B300" s="278"/>
      <c r="C300" s="278"/>
      <c r="D300" s="278"/>
      <c r="E300" s="278"/>
      <c r="F300" s="278"/>
      <c r="G300" s="278"/>
      <c r="H300" s="278"/>
      <c r="I300" s="278"/>
      <c r="J300" s="278"/>
      <c r="K300" s="278"/>
      <c r="L300" s="278"/>
      <c r="M300" s="278"/>
      <c r="N300" s="278"/>
    </row>
    <row r="301" spans="1:14">
      <c r="A301" s="307"/>
      <c r="B301" s="278"/>
      <c r="C301" s="278"/>
      <c r="D301" s="278"/>
      <c r="E301" s="278"/>
      <c r="F301" s="278"/>
      <c r="G301" s="278"/>
      <c r="H301" s="278"/>
      <c r="I301" s="278"/>
      <c r="J301" s="278"/>
      <c r="K301" s="278"/>
      <c r="L301" s="278"/>
      <c r="M301" s="278"/>
      <c r="N301" s="278"/>
    </row>
    <row r="302" spans="1:14">
      <c r="A302" s="307"/>
      <c r="B302" s="278"/>
      <c r="C302" s="278"/>
      <c r="D302" s="278"/>
      <c r="E302" s="278"/>
      <c r="F302" s="278"/>
      <c r="G302" s="278"/>
      <c r="H302" s="278"/>
      <c r="I302" s="278"/>
      <c r="J302" s="278"/>
      <c r="K302" s="278"/>
      <c r="L302" s="278"/>
      <c r="M302" s="278"/>
      <c r="N302" s="278"/>
    </row>
    <row r="303" spans="1:14">
      <c r="A303" s="307"/>
      <c r="B303" s="278"/>
      <c r="C303" s="278"/>
      <c r="D303" s="278"/>
      <c r="E303" s="278"/>
      <c r="F303" s="278"/>
      <c r="G303" s="278"/>
      <c r="H303" s="278"/>
      <c r="I303" s="278"/>
      <c r="J303" s="278"/>
      <c r="K303" s="278"/>
      <c r="L303" s="278"/>
      <c r="M303" s="278"/>
      <c r="N303" s="278"/>
    </row>
    <row r="304" spans="1:14">
      <c r="A304" s="307"/>
      <c r="B304" s="278"/>
      <c r="C304" s="278"/>
      <c r="D304" s="278"/>
      <c r="E304" s="278"/>
      <c r="F304" s="278"/>
      <c r="G304" s="278"/>
      <c r="H304" s="278"/>
      <c r="I304" s="278"/>
      <c r="J304" s="278"/>
      <c r="K304" s="278"/>
      <c r="L304" s="278"/>
      <c r="M304" s="278"/>
      <c r="N304" s="278"/>
    </row>
    <row r="305" spans="1:14">
      <c r="A305" s="307"/>
      <c r="B305" s="278"/>
      <c r="C305" s="278"/>
      <c r="D305" s="278"/>
      <c r="E305" s="278"/>
      <c r="F305" s="278"/>
      <c r="G305" s="278"/>
      <c r="H305" s="278"/>
      <c r="I305" s="278"/>
      <c r="J305" s="278"/>
      <c r="K305" s="278"/>
      <c r="L305" s="278"/>
      <c r="M305" s="278"/>
      <c r="N305" s="278"/>
    </row>
    <row r="306" spans="1:14">
      <c r="A306" s="307"/>
      <c r="B306" s="278"/>
      <c r="C306" s="278"/>
      <c r="D306" s="278"/>
      <c r="E306" s="278"/>
      <c r="F306" s="278"/>
      <c r="G306" s="278"/>
      <c r="H306" s="278"/>
      <c r="I306" s="278"/>
      <c r="J306" s="278"/>
      <c r="K306" s="278"/>
      <c r="L306" s="278"/>
      <c r="M306" s="278"/>
      <c r="N306" s="278"/>
    </row>
    <row r="307" spans="1:14">
      <c r="A307" s="307"/>
      <c r="B307" s="278"/>
      <c r="C307" s="278"/>
      <c r="D307" s="278"/>
      <c r="E307" s="278"/>
      <c r="F307" s="278"/>
      <c r="G307" s="278"/>
      <c r="H307" s="278"/>
      <c r="I307" s="278"/>
      <c r="J307" s="278"/>
      <c r="K307" s="278"/>
      <c r="L307" s="278"/>
      <c r="M307" s="278"/>
      <c r="N307" s="278"/>
    </row>
    <row r="308" spans="1:14">
      <c r="A308" s="307"/>
      <c r="B308" s="278"/>
      <c r="C308" s="278"/>
      <c r="D308" s="278"/>
      <c r="E308" s="278"/>
      <c r="F308" s="278"/>
      <c r="G308" s="278"/>
      <c r="H308" s="278"/>
      <c r="I308" s="278"/>
      <c r="J308" s="278"/>
      <c r="K308" s="278"/>
      <c r="L308" s="278"/>
      <c r="M308" s="278"/>
      <c r="N308" s="278"/>
    </row>
    <row r="309" spans="1:14">
      <c r="A309" s="307"/>
      <c r="B309" s="278"/>
      <c r="C309" s="278"/>
      <c r="D309" s="278"/>
      <c r="E309" s="278"/>
      <c r="F309" s="278"/>
      <c r="G309" s="278"/>
      <c r="H309" s="278"/>
      <c r="I309" s="278"/>
      <c r="J309" s="278"/>
      <c r="K309" s="278"/>
      <c r="L309" s="278"/>
      <c r="M309" s="278"/>
      <c r="N309" s="278"/>
    </row>
    <row r="310" spans="1:14">
      <c r="A310" s="307"/>
      <c r="B310" s="278"/>
      <c r="C310" s="278"/>
      <c r="D310" s="278"/>
      <c r="E310" s="278"/>
      <c r="F310" s="278"/>
      <c r="G310" s="278"/>
      <c r="H310" s="278"/>
      <c r="I310" s="278"/>
      <c r="J310" s="278"/>
      <c r="K310" s="278"/>
      <c r="L310" s="278"/>
      <c r="M310" s="278"/>
      <c r="N310" s="278"/>
    </row>
    <row r="311" spans="1:14">
      <c r="A311" s="307"/>
      <c r="B311" s="278"/>
      <c r="C311" s="278"/>
      <c r="D311" s="278"/>
      <c r="E311" s="278"/>
      <c r="F311" s="278"/>
      <c r="G311" s="278"/>
      <c r="H311" s="278"/>
      <c r="I311" s="278"/>
      <c r="J311" s="278"/>
      <c r="K311" s="278"/>
      <c r="L311" s="278"/>
      <c r="M311" s="278"/>
      <c r="N311" s="278"/>
    </row>
    <row r="312" spans="1:14">
      <c r="A312" s="307"/>
      <c r="B312" s="278"/>
      <c r="C312" s="278"/>
      <c r="D312" s="278"/>
      <c r="E312" s="278"/>
      <c r="F312" s="278"/>
      <c r="G312" s="278"/>
      <c r="H312" s="278"/>
      <c r="I312" s="278"/>
      <c r="J312" s="278"/>
      <c r="K312" s="278"/>
      <c r="L312" s="278"/>
      <c r="M312" s="278"/>
      <c r="N312" s="278"/>
    </row>
    <row r="313" spans="1:14">
      <c r="A313" s="307"/>
      <c r="B313" s="278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8"/>
    </row>
    <row r="314" spans="1:14">
      <c r="A314" s="307"/>
      <c r="B314" s="278"/>
      <c r="C314" s="278"/>
      <c r="D314" s="278"/>
      <c r="E314" s="278"/>
      <c r="F314" s="278"/>
      <c r="G314" s="278"/>
      <c r="H314" s="278"/>
      <c r="I314" s="278"/>
      <c r="J314" s="278"/>
      <c r="K314" s="278"/>
      <c r="L314" s="278"/>
      <c r="M314" s="278"/>
      <c r="N314" s="278"/>
    </row>
    <row r="315" spans="1:14">
      <c r="A315" s="307"/>
      <c r="B315" s="278"/>
      <c r="C315" s="278"/>
      <c r="D315" s="278"/>
      <c r="E315" s="278"/>
      <c r="F315" s="278"/>
      <c r="G315" s="278"/>
      <c r="H315" s="278"/>
      <c r="I315" s="278"/>
      <c r="J315" s="278"/>
      <c r="K315" s="278"/>
      <c r="L315" s="278"/>
      <c r="M315" s="278"/>
      <c r="N315" s="278"/>
    </row>
    <row r="316" spans="1:14">
      <c r="A316" s="307"/>
      <c r="B316" s="278"/>
      <c r="C316" s="278"/>
      <c r="D316" s="278"/>
      <c r="E316" s="278"/>
      <c r="F316" s="278"/>
      <c r="G316" s="278"/>
      <c r="H316" s="278"/>
      <c r="I316" s="278"/>
      <c r="J316" s="278"/>
      <c r="K316" s="278"/>
      <c r="L316" s="278"/>
      <c r="M316" s="278"/>
      <c r="N316" s="278"/>
    </row>
    <row r="317" spans="1:14">
      <c r="A317" s="307"/>
      <c r="B317" s="278"/>
      <c r="C317" s="278"/>
      <c r="D317" s="278"/>
      <c r="E317" s="278"/>
      <c r="F317" s="278"/>
      <c r="G317" s="278"/>
      <c r="H317" s="278"/>
      <c r="I317" s="278"/>
      <c r="J317" s="278"/>
      <c r="K317" s="278"/>
      <c r="L317" s="278"/>
      <c r="M317" s="278"/>
      <c r="N317" s="278"/>
    </row>
    <row r="318" spans="1:14">
      <c r="A318" s="307"/>
      <c r="B318" s="278"/>
      <c r="C318" s="278"/>
      <c r="D318" s="278"/>
      <c r="E318" s="278"/>
      <c r="F318" s="278"/>
      <c r="G318" s="278"/>
      <c r="H318" s="278"/>
      <c r="I318" s="278"/>
      <c r="J318" s="278"/>
      <c r="K318" s="278"/>
      <c r="L318" s="278"/>
      <c r="M318" s="278"/>
      <c r="N318" s="278"/>
    </row>
    <row r="319" spans="1:14">
      <c r="A319" s="307"/>
      <c r="B319" s="278"/>
      <c r="C319" s="278"/>
      <c r="D319" s="278"/>
      <c r="E319" s="278"/>
      <c r="F319" s="278"/>
      <c r="G319" s="278"/>
      <c r="H319" s="278"/>
      <c r="I319" s="278"/>
      <c r="J319" s="278"/>
      <c r="K319" s="278"/>
      <c r="L319" s="278"/>
      <c r="M319" s="278"/>
      <c r="N319" s="278"/>
    </row>
    <row r="320" spans="1:14">
      <c r="A320" s="307"/>
      <c r="B320" s="278"/>
      <c r="C320" s="278"/>
      <c r="D320" s="278"/>
      <c r="E320" s="278"/>
      <c r="F320" s="278"/>
      <c r="G320" s="278"/>
      <c r="H320" s="278"/>
      <c r="I320" s="278"/>
      <c r="J320" s="278"/>
      <c r="K320" s="278"/>
      <c r="L320" s="278"/>
      <c r="M320" s="278"/>
      <c r="N320" s="278"/>
    </row>
    <row r="321" spans="1:14">
      <c r="A321" s="307"/>
      <c r="B321" s="278"/>
      <c r="C321" s="278"/>
      <c r="D321" s="278"/>
      <c r="E321" s="278"/>
      <c r="F321" s="278"/>
      <c r="G321" s="278"/>
      <c r="H321" s="278"/>
      <c r="I321" s="278"/>
      <c r="J321" s="278"/>
      <c r="K321" s="278"/>
      <c r="L321" s="278"/>
      <c r="M321" s="278"/>
      <c r="N321" s="278"/>
    </row>
    <row r="322" spans="1:14">
      <c r="A322" s="307"/>
      <c r="B322" s="278"/>
      <c r="C322" s="278"/>
      <c r="D322" s="278"/>
      <c r="E322" s="278"/>
      <c r="F322" s="278"/>
      <c r="G322" s="278"/>
      <c r="H322" s="278"/>
      <c r="I322" s="278"/>
      <c r="J322" s="278"/>
      <c r="K322" s="278"/>
      <c r="L322" s="278"/>
      <c r="M322" s="278"/>
      <c r="N322" s="278"/>
    </row>
    <row r="323" spans="1:14">
      <c r="A323" s="307"/>
      <c r="B323" s="278"/>
      <c r="C323" s="278"/>
      <c r="D323" s="278"/>
      <c r="E323" s="278"/>
      <c r="F323" s="278"/>
      <c r="G323" s="278"/>
      <c r="H323" s="278"/>
      <c r="I323" s="278"/>
      <c r="J323" s="278"/>
      <c r="K323" s="278"/>
      <c r="L323" s="278"/>
      <c r="M323" s="278"/>
      <c r="N323" s="278"/>
    </row>
    <row r="324" spans="1:14">
      <c r="A324" s="307"/>
      <c r="B324" s="278"/>
      <c r="C324" s="278"/>
      <c r="D324" s="278"/>
      <c r="E324" s="278"/>
      <c r="F324" s="278"/>
      <c r="G324" s="278"/>
      <c r="H324" s="278"/>
      <c r="I324" s="278"/>
      <c r="J324" s="278"/>
      <c r="K324" s="278"/>
      <c r="L324" s="278"/>
      <c r="M324" s="278"/>
      <c r="N324" s="278"/>
    </row>
    <row r="325" spans="1:14">
      <c r="A325" s="307"/>
      <c r="B325" s="278"/>
      <c r="C325" s="278"/>
      <c r="D325" s="278"/>
      <c r="E325" s="278"/>
      <c r="F325" s="278"/>
      <c r="G325" s="278"/>
      <c r="H325" s="278"/>
      <c r="I325" s="278"/>
      <c r="J325" s="278"/>
      <c r="K325" s="278"/>
      <c r="L325" s="278"/>
      <c r="M325" s="278"/>
      <c r="N325" s="278"/>
    </row>
    <row r="326" spans="1:14">
      <c r="A326" s="307"/>
      <c r="B326" s="278"/>
      <c r="C326" s="278"/>
      <c r="D326" s="278"/>
      <c r="E326" s="278"/>
      <c r="F326" s="278"/>
      <c r="G326" s="278"/>
      <c r="H326" s="278"/>
      <c r="I326" s="278"/>
      <c r="J326" s="278"/>
      <c r="K326" s="278"/>
      <c r="L326" s="278"/>
      <c r="M326" s="278"/>
      <c r="N326" s="278"/>
    </row>
    <row r="327" spans="1:14">
      <c r="A327" s="307"/>
      <c r="B327" s="278"/>
      <c r="C327" s="278"/>
      <c r="D327" s="278"/>
      <c r="E327" s="278"/>
      <c r="F327" s="278"/>
      <c r="G327" s="278"/>
      <c r="H327" s="278"/>
      <c r="I327" s="278"/>
      <c r="J327" s="278"/>
      <c r="K327" s="278"/>
      <c r="L327" s="278"/>
      <c r="M327" s="278"/>
      <c r="N327" s="278"/>
    </row>
    <row r="328" spans="1:14">
      <c r="A328" s="307"/>
      <c r="B328" s="278"/>
      <c r="C328" s="278"/>
      <c r="D328" s="278"/>
      <c r="E328" s="278"/>
      <c r="F328" s="278"/>
      <c r="G328" s="278"/>
      <c r="H328" s="278"/>
      <c r="I328" s="278"/>
      <c r="J328" s="278"/>
      <c r="K328" s="278"/>
      <c r="L328" s="278"/>
      <c r="M328" s="278"/>
      <c r="N328" s="278"/>
    </row>
    <row r="329" spans="1:14">
      <c r="A329" s="307"/>
      <c r="B329" s="278"/>
      <c r="C329" s="278"/>
      <c r="D329" s="278"/>
      <c r="E329" s="278"/>
      <c r="F329" s="278"/>
      <c r="G329" s="278"/>
      <c r="H329" s="278"/>
      <c r="I329" s="278"/>
      <c r="J329" s="278"/>
      <c r="K329" s="278"/>
      <c r="L329" s="278"/>
      <c r="M329" s="278"/>
      <c r="N329" s="278"/>
    </row>
    <row r="330" spans="1:14">
      <c r="A330" s="307"/>
      <c r="B330" s="278"/>
      <c r="C330" s="278"/>
      <c r="D330" s="278"/>
      <c r="E330" s="278"/>
      <c r="F330" s="278"/>
      <c r="G330" s="278"/>
      <c r="H330" s="278"/>
      <c r="I330" s="278"/>
      <c r="J330" s="278"/>
      <c r="K330" s="278"/>
      <c r="L330" s="278"/>
      <c r="M330" s="278"/>
      <c r="N330" s="278"/>
    </row>
    <row r="331" spans="1:14">
      <c r="A331" s="307"/>
      <c r="B331" s="278"/>
      <c r="C331" s="278"/>
      <c r="D331" s="278"/>
      <c r="E331" s="278"/>
      <c r="F331" s="278"/>
      <c r="G331" s="278"/>
      <c r="H331" s="278"/>
      <c r="I331" s="278"/>
      <c r="J331" s="278"/>
      <c r="K331" s="278"/>
      <c r="L331" s="278"/>
      <c r="M331" s="278"/>
      <c r="N331" s="278"/>
    </row>
    <row r="332" spans="1:14">
      <c r="A332" s="307"/>
      <c r="B332" s="278"/>
      <c r="C332" s="278"/>
      <c r="D332" s="278"/>
      <c r="E332" s="278"/>
      <c r="F332" s="278"/>
      <c r="G332" s="278"/>
      <c r="H332" s="278"/>
      <c r="I332" s="278"/>
      <c r="J332" s="278"/>
      <c r="K332" s="278"/>
      <c r="L332" s="278"/>
      <c r="M332" s="278"/>
      <c r="N332" s="278"/>
    </row>
    <row r="333" spans="1:14">
      <c r="A333" s="307"/>
      <c r="B333" s="278"/>
      <c r="C333" s="278"/>
      <c r="D333" s="278"/>
      <c r="E333" s="278"/>
      <c r="F333" s="278"/>
      <c r="G333" s="278"/>
      <c r="H333" s="278"/>
      <c r="I333" s="278"/>
      <c r="J333" s="278"/>
      <c r="K333" s="278"/>
      <c r="L333" s="278"/>
      <c r="M333" s="278"/>
      <c r="N333" s="278"/>
    </row>
    <row r="334" spans="1:14">
      <c r="A334" s="307"/>
      <c r="B334" s="278"/>
      <c r="C334" s="278"/>
      <c r="D334" s="278"/>
      <c r="E334" s="278"/>
      <c r="F334" s="278"/>
      <c r="G334" s="278"/>
      <c r="H334" s="278"/>
      <c r="I334" s="278"/>
      <c r="J334" s="278"/>
      <c r="K334" s="278"/>
      <c r="L334" s="278"/>
      <c r="M334" s="278"/>
      <c r="N334" s="278"/>
    </row>
    <row r="335" spans="1:14">
      <c r="A335" s="307"/>
      <c r="B335" s="278"/>
      <c r="C335" s="278"/>
      <c r="D335" s="278"/>
      <c r="E335" s="278"/>
      <c r="F335" s="278"/>
      <c r="G335" s="278"/>
      <c r="H335" s="278"/>
      <c r="I335" s="278"/>
      <c r="J335" s="278"/>
      <c r="K335" s="278"/>
      <c r="L335" s="278"/>
      <c r="M335" s="278"/>
      <c r="N335" s="278"/>
    </row>
    <row r="336" spans="1:14">
      <c r="A336" s="307"/>
      <c r="B336" s="278"/>
      <c r="C336" s="278"/>
      <c r="D336" s="278"/>
      <c r="E336" s="278"/>
      <c r="F336" s="278"/>
      <c r="G336" s="278"/>
      <c r="H336" s="278"/>
      <c r="I336" s="278"/>
      <c r="J336" s="278"/>
      <c r="K336" s="278"/>
      <c r="L336" s="278"/>
      <c r="M336" s="278"/>
      <c r="N336" s="278"/>
    </row>
    <row r="337" spans="1:14">
      <c r="A337" s="307"/>
      <c r="B337" s="278"/>
      <c r="C337" s="278"/>
      <c r="D337" s="278"/>
      <c r="E337" s="278"/>
      <c r="F337" s="278"/>
      <c r="G337" s="278"/>
      <c r="H337" s="278"/>
      <c r="I337" s="278"/>
      <c r="J337" s="278"/>
      <c r="K337" s="278"/>
      <c r="L337" s="278"/>
      <c r="M337" s="278"/>
      <c r="N337" s="278"/>
    </row>
    <row r="338" spans="1:14">
      <c r="A338" s="307"/>
      <c r="B338" s="278"/>
      <c r="C338" s="278"/>
      <c r="D338" s="278"/>
      <c r="E338" s="278"/>
      <c r="F338" s="278"/>
      <c r="G338" s="278"/>
      <c r="H338" s="278"/>
      <c r="I338" s="278"/>
      <c r="J338" s="278"/>
      <c r="K338" s="278"/>
      <c r="L338" s="278"/>
      <c r="M338" s="278"/>
      <c r="N338" s="278"/>
    </row>
    <row r="339" spans="1:14">
      <c r="A339" s="307"/>
      <c r="B339" s="278"/>
      <c r="C339" s="278"/>
      <c r="D339" s="278"/>
      <c r="E339" s="278"/>
      <c r="F339" s="278"/>
      <c r="G339" s="278"/>
      <c r="H339" s="278"/>
      <c r="I339" s="278"/>
      <c r="J339" s="278"/>
      <c r="K339" s="278"/>
      <c r="L339" s="278"/>
      <c r="M339" s="278"/>
      <c r="N339" s="278"/>
    </row>
    <row r="340" spans="1:14">
      <c r="A340" s="307"/>
      <c r="B340" s="278"/>
      <c r="C340" s="278"/>
      <c r="D340" s="278"/>
      <c r="E340" s="278"/>
      <c r="F340" s="278"/>
      <c r="G340" s="278"/>
      <c r="H340" s="278"/>
      <c r="I340" s="278"/>
      <c r="J340" s="278"/>
      <c r="K340" s="278"/>
      <c r="L340" s="278"/>
      <c r="M340" s="278"/>
      <c r="N340" s="278"/>
    </row>
    <row r="341" spans="1:14">
      <c r="A341" s="307"/>
      <c r="B341" s="278"/>
      <c r="C341" s="278"/>
      <c r="D341" s="278"/>
      <c r="E341" s="278"/>
      <c r="F341" s="278"/>
      <c r="G341" s="278"/>
      <c r="H341" s="278"/>
      <c r="I341" s="278"/>
      <c r="J341" s="278"/>
      <c r="K341" s="278"/>
      <c r="L341" s="278"/>
      <c r="M341" s="278"/>
      <c r="N341" s="278"/>
    </row>
    <row r="342" spans="1:14">
      <c r="A342" s="307"/>
      <c r="B342" s="278"/>
      <c r="C342" s="278"/>
      <c r="D342" s="278"/>
      <c r="E342" s="278"/>
      <c r="F342" s="278"/>
      <c r="G342" s="278"/>
      <c r="H342" s="278"/>
      <c r="I342" s="278"/>
      <c r="J342" s="278"/>
      <c r="K342" s="278"/>
      <c r="L342" s="278"/>
      <c r="M342" s="278"/>
      <c r="N342" s="278"/>
    </row>
    <row r="343" spans="1:14">
      <c r="A343" s="307"/>
      <c r="B343" s="278"/>
      <c r="C343" s="278"/>
      <c r="D343" s="278"/>
      <c r="E343" s="278"/>
      <c r="F343" s="278"/>
      <c r="G343" s="278"/>
      <c r="H343" s="278"/>
      <c r="I343" s="278"/>
      <c r="J343" s="278"/>
      <c r="K343" s="278"/>
      <c r="L343" s="278"/>
      <c r="M343" s="278"/>
      <c r="N343" s="278"/>
    </row>
    <row r="344" spans="1:14">
      <c r="A344" s="307"/>
      <c r="B344" s="278"/>
      <c r="C344" s="278"/>
      <c r="D344" s="278"/>
      <c r="E344" s="278"/>
      <c r="F344" s="278"/>
      <c r="G344" s="278"/>
      <c r="H344" s="278"/>
      <c r="I344" s="278"/>
      <c r="J344" s="278"/>
      <c r="K344" s="278"/>
      <c r="L344" s="278"/>
      <c r="M344" s="278"/>
      <c r="N344" s="278"/>
    </row>
    <row r="345" spans="1:14">
      <c r="A345" s="307"/>
      <c r="B345" s="278"/>
      <c r="C345" s="278"/>
      <c r="D345" s="278"/>
      <c r="E345" s="278"/>
      <c r="F345" s="278"/>
      <c r="G345" s="278"/>
      <c r="H345" s="278"/>
      <c r="I345" s="278"/>
      <c r="J345" s="278"/>
      <c r="K345" s="278"/>
      <c r="L345" s="278"/>
      <c r="M345" s="278"/>
      <c r="N345" s="278"/>
    </row>
    <row r="346" spans="1:14">
      <c r="A346" s="307"/>
      <c r="B346" s="278"/>
      <c r="C346" s="278"/>
      <c r="D346" s="278"/>
      <c r="E346" s="278"/>
      <c r="F346" s="278"/>
      <c r="G346" s="278"/>
      <c r="H346" s="278"/>
      <c r="I346" s="278"/>
      <c r="J346" s="278"/>
      <c r="K346" s="278"/>
      <c r="L346" s="278"/>
      <c r="M346" s="278"/>
      <c r="N346" s="278"/>
    </row>
    <row r="347" spans="1:14">
      <c r="A347" s="307"/>
      <c r="B347" s="278"/>
      <c r="C347" s="278"/>
      <c r="D347" s="278"/>
      <c r="E347" s="278"/>
      <c r="F347" s="278"/>
      <c r="G347" s="278"/>
      <c r="H347" s="278"/>
      <c r="I347" s="278"/>
      <c r="J347" s="278"/>
      <c r="K347" s="278"/>
      <c r="L347" s="278"/>
      <c r="M347" s="278"/>
      <c r="N347" s="278"/>
    </row>
    <row r="348" spans="1:14">
      <c r="A348" s="307"/>
      <c r="B348" s="278"/>
      <c r="C348" s="278"/>
      <c r="D348" s="278"/>
      <c r="E348" s="278"/>
      <c r="F348" s="278"/>
      <c r="G348" s="278"/>
      <c r="H348" s="278"/>
      <c r="I348" s="278"/>
      <c r="J348" s="278"/>
      <c r="K348" s="278"/>
      <c r="L348" s="278"/>
      <c r="M348" s="278"/>
      <c r="N348" s="278"/>
    </row>
    <row r="349" spans="1:14">
      <c r="A349" s="307"/>
      <c r="B349" s="278"/>
      <c r="C349" s="278"/>
      <c r="D349" s="278"/>
      <c r="E349" s="278"/>
      <c r="F349" s="278"/>
      <c r="G349" s="278"/>
      <c r="H349" s="278"/>
      <c r="I349" s="278"/>
      <c r="J349" s="278"/>
      <c r="K349" s="278"/>
      <c r="L349" s="278"/>
      <c r="M349" s="278"/>
      <c r="N349" s="278"/>
    </row>
    <row r="350" spans="1:14">
      <c r="A350" s="307"/>
      <c r="B350" s="278"/>
      <c r="C350" s="278"/>
      <c r="D350" s="278"/>
      <c r="E350" s="278"/>
      <c r="F350" s="278"/>
      <c r="G350" s="278"/>
      <c r="H350" s="278"/>
      <c r="I350" s="278"/>
      <c r="J350" s="278"/>
      <c r="K350" s="278"/>
      <c r="L350" s="278"/>
      <c r="M350" s="278"/>
      <c r="N350" s="278"/>
    </row>
    <row r="351" spans="1:14">
      <c r="A351" s="307"/>
      <c r="B351" s="278"/>
      <c r="C351" s="278"/>
      <c r="D351" s="278"/>
      <c r="E351" s="278"/>
      <c r="F351" s="278"/>
      <c r="G351" s="278"/>
      <c r="H351" s="278"/>
      <c r="I351" s="278"/>
      <c r="J351" s="278"/>
      <c r="K351" s="278"/>
      <c r="L351" s="278"/>
      <c r="M351" s="278"/>
      <c r="N351" s="278"/>
    </row>
    <row r="352" spans="1:14">
      <c r="A352" s="307"/>
      <c r="B352" s="278"/>
      <c r="C352" s="278"/>
      <c r="D352" s="278"/>
      <c r="E352" s="278"/>
      <c r="F352" s="278"/>
      <c r="G352" s="278"/>
      <c r="H352" s="278"/>
      <c r="I352" s="278"/>
      <c r="J352" s="278"/>
      <c r="K352" s="278"/>
      <c r="L352" s="278"/>
      <c r="M352" s="278"/>
      <c r="N352" s="278"/>
    </row>
    <row r="353" spans="1:14">
      <c r="A353" s="307"/>
      <c r="B353" s="278"/>
      <c r="C353" s="278"/>
      <c r="D353" s="278"/>
      <c r="E353" s="278"/>
      <c r="F353" s="278"/>
      <c r="G353" s="278"/>
      <c r="H353" s="278"/>
      <c r="I353" s="278"/>
      <c r="J353" s="278"/>
      <c r="K353" s="278"/>
      <c r="L353" s="278"/>
      <c r="M353" s="278"/>
      <c r="N353" s="278"/>
    </row>
    <row r="354" spans="1:14">
      <c r="A354" s="307"/>
      <c r="B354" s="278"/>
      <c r="C354" s="278"/>
      <c r="D354" s="278"/>
      <c r="E354" s="278"/>
      <c r="F354" s="278"/>
      <c r="G354" s="278"/>
      <c r="H354" s="278"/>
      <c r="I354" s="278"/>
      <c r="J354" s="278"/>
      <c r="K354" s="278"/>
      <c r="L354" s="278"/>
      <c r="M354" s="278"/>
      <c r="N354" s="278"/>
    </row>
    <row r="355" spans="1:14">
      <c r="A355" s="307"/>
      <c r="B355" s="278"/>
      <c r="C355" s="278"/>
      <c r="D355" s="278"/>
      <c r="E355" s="278"/>
      <c r="F355" s="278"/>
      <c r="G355" s="278"/>
      <c r="H355" s="278"/>
      <c r="I355" s="278"/>
      <c r="J355" s="278"/>
      <c r="K355" s="278"/>
      <c r="L355" s="278"/>
      <c r="M355" s="278"/>
      <c r="N355" s="278"/>
    </row>
    <row r="356" spans="1:14">
      <c r="A356" s="307"/>
      <c r="B356" s="278"/>
      <c r="C356" s="278"/>
      <c r="D356" s="278"/>
      <c r="E356" s="278"/>
      <c r="F356" s="278"/>
      <c r="G356" s="278"/>
      <c r="H356" s="278"/>
      <c r="I356" s="278"/>
      <c r="J356" s="278"/>
      <c r="K356" s="278"/>
      <c r="L356" s="278"/>
      <c r="M356" s="278"/>
      <c r="N356" s="278"/>
    </row>
    <row r="357" spans="1:14">
      <c r="A357" s="307"/>
      <c r="B357" s="278"/>
      <c r="C357" s="278"/>
      <c r="D357" s="278"/>
      <c r="E357" s="278"/>
      <c r="F357" s="278"/>
      <c r="G357" s="278"/>
      <c r="H357" s="278"/>
      <c r="I357" s="278"/>
      <c r="J357" s="278"/>
      <c r="K357" s="278"/>
      <c r="L357" s="278"/>
      <c r="M357" s="278"/>
      <c r="N357" s="278"/>
    </row>
    <row r="358" spans="1:14">
      <c r="A358" s="307"/>
      <c r="B358" s="278"/>
      <c r="C358" s="278"/>
      <c r="D358" s="278"/>
      <c r="E358" s="278"/>
      <c r="F358" s="278"/>
      <c r="G358" s="278"/>
      <c r="H358" s="278"/>
      <c r="I358" s="278"/>
      <c r="J358" s="278"/>
      <c r="K358" s="278"/>
      <c r="L358" s="278"/>
      <c r="M358" s="278"/>
      <c r="N358" s="278"/>
    </row>
    <row r="359" spans="1:14">
      <c r="A359" s="307"/>
      <c r="B359" s="278"/>
      <c r="C359" s="278"/>
      <c r="D359" s="278"/>
      <c r="E359" s="278"/>
      <c r="F359" s="278"/>
      <c r="G359" s="278"/>
      <c r="H359" s="278"/>
      <c r="I359" s="278"/>
      <c r="J359" s="278"/>
      <c r="K359" s="278"/>
      <c r="L359" s="278"/>
      <c r="M359" s="278"/>
      <c r="N359" s="278"/>
    </row>
    <row r="360" spans="1:14">
      <c r="A360" s="307"/>
      <c r="B360" s="278"/>
      <c r="C360" s="278"/>
      <c r="D360" s="278"/>
      <c r="E360" s="278"/>
      <c r="F360" s="278"/>
      <c r="G360" s="278"/>
      <c r="H360" s="278"/>
      <c r="I360" s="278"/>
      <c r="J360" s="278"/>
      <c r="K360" s="278"/>
      <c r="L360" s="278"/>
      <c r="M360" s="278"/>
      <c r="N360" s="278"/>
    </row>
    <row r="361" spans="1:14">
      <c r="A361" s="307"/>
      <c r="B361" s="278"/>
      <c r="C361" s="278"/>
      <c r="D361" s="278"/>
      <c r="E361" s="278"/>
      <c r="F361" s="278"/>
      <c r="G361" s="278"/>
      <c r="H361" s="278"/>
      <c r="I361" s="278"/>
      <c r="J361" s="278"/>
      <c r="K361" s="278"/>
      <c r="L361" s="278"/>
      <c r="M361" s="278"/>
      <c r="N361" s="278"/>
    </row>
    <row r="362" spans="1:14">
      <c r="A362" s="307"/>
      <c r="B362" s="278"/>
      <c r="C362" s="278"/>
      <c r="D362" s="278"/>
      <c r="E362" s="278"/>
      <c r="F362" s="278"/>
      <c r="G362" s="278"/>
      <c r="H362" s="278"/>
      <c r="I362" s="278"/>
      <c r="J362" s="278"/>
      <c r="K362" s="278"/>
      <c r="L362" s="278"/>
      <c r="M362" s="278"/>
      <c r="N362" s="278"/>
    </row>
    <row r="363" spans="1:14">
      <c r="A363" s="307"/>
      <c r="B363" s="278"/>
      <c r="C363" s="278"/>
      <c r="D363" s="278"/>
      <c r="E363" s="278"/>
      <c r="F363" s="278"/>
      <c r="G363" s="278"/>
      <c r="H363" s="278"/>
      <c r="I363" s="278"/>
      <c r="J363" s="278"/>
      <c r="K363" s="278"/>
      <c r="L363" s="278"/>
      <c r="M363" s="278"/>
      <c r="N363" s="278"/>
    </row>
    <row r="364" spans="1:14">
      <c r="A364" s="307"/>
      <c r="B364" s="278"/>
      <c r="C364" s="278"/>
      <c r="D364" s="278"/>
      <c r="E364" s="278"/>
      <c r="F364" s="278"/>
      <c r="G364" s="278"/>
      <c r="H364" s="278"/>
      <c r="I364" s="278"/>
      <c r="J364" s="278"/>
      <c r="K364" s="278"/>
      <c r="L364" s="278"/>
      <c r="M364" s="278"/>
      <c r="N364" s="278"/>
    </row>
    <row r="365" spans="1:14">
      <c r="A365" s="307"/>
      <c r="B365" s="278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8"/>
    </row>
    <row r="366" spans="1:14">
      <c r="A366" s="307"/>
      <c r="B366" s="278"/>
      <c r="C366" s="278"/>
      <c r="D366" s="278"/>
      <c r="E366" s="278"/>
      <c r="F366" s="278"/>
      <c r="G366" s="278"/>
      <c r="H366" s="278"/>
      <c r="I366" s="278"/>
      <c r="J366" s="278"/>
      <c r="K366" s="278"/>
      <c r="L366" s="278"/>
      <c r="M366" s="278"/>
      <c r="N366" s="278"/>
    </row>
    <row r="367" spans="1:14">
      <c r="A367" s="307"/>
      <c r="B367" s="278"/>
      <c r="C367" s="278"/>
      <c r="D367" s="278"/>
      <c r="E367" s="278"/>
      <c r="F367" s="278"/>
      <c r="G367" s="278"/>
      <c r="H367" s="278"/>
      <c r="I367" s="278"/>
      <c r="J367" s="278"/>
      <c r="K367" s="278"/>
      <c r="L367" s="278"/>
      <c r="M367" s="278"/>
      <c r="N367" s="278"/>
    </row>
    <row r="368" spans="1:14">
      <c r="A368" s="307"/>
      <c r="B368" s="278"/>
      <c r="C368" s="278"/>
      <c r="D368" s="278"/>
      <c r="E368" s="278"/>
      <c r="F368" s="278"/>
      <c r="G368" s="278"/>
      <c r="H368" s="278"/>
      <c r="I368" s="278"/>
      <c r="J368" s="278"/>
      <c r="K368" s="278"/>
      <c r="L368" s="278"/>
      <c r="M368" s="278"/>
      <c r="N368" s="278"/>
    </row>
    <row r="369" spans="1:14">
      <c r="A369" s="307"/>
      <c r="B369" s="278"/>
      <c r="C369" s="278"/>
      <c r="D369" s="278"/>
      <c r="E369" s="278"/>
      <c r="F369" s="278"/>
      <c r="G369" s="278"/>
      <c r="H369" s="278"/>
      <c r="I369" s="278"/>
      <c r="J369" s="278"/>
      <c r="K369" s="278"/>
      <c r="L369" s="278"/>
      <c r="M369" s="278"/>
      <c r="N369" s="278"/>
    </row>
    <row r="370" spans="1:14">
      <c r="A370" s="307"/>
      <c r="B370" s="278"/>
      <c r="C370" s="278"/>
      <c r="D370" s="278"/>
      <c r="E370" s="278"/>
      <c r="F370" s="278"/>
      <c r="G370" s="278"/>
      <c r="H370" s="278"/>
      <c r="I370" s="278"/>
      <c r="J370" s="278"/>
      <c r="K370" s="278"/>
      <c r="L370" s="278"/>
      <c r="M370" s="278"/>
      <c r="N370" s="278"/>
    </row>
    <row r="371" spans="1:14">
      <c r="A371" s="307"/>
      <c r="B371" s="278"/>
      <c r="C371" s="278"/>
      <c r="D371" s="278"/>
      <c r="E371" s="278"/>
      <c r="F371" s="278"/>
      <c r="G371" s="278"/>
      <c r="H371" s="278"/>
      <c r="I371" s="278"/>
      <c r="J371" s="278"/>
      <c r="K371" s="278"/>
      <c r="L371" s="278"/>
      <c r="M371" s="278"/>
      <c r="N371" s="278"/>
    </row>
    <row r="372" spans="1:14">
      <c r="A372" s="307"/>
      <c r="B372" s="278"/>
      <c r="C372" s="278"/>
      <c r="D372" s="278"/>
      <c r="E372" s="278"/>
      <c r="F372" s="278"/>
      <c r="G372" s="278"/>
      <c r="H372" s="278"/>
      <c r="I372" s="278"/>
      <c r="J372" s="278"/>
      <c r="K372" s="278"/>
      <c r="L372" s="278"/>
      <c r="M372" s="278"/>
      <c r="N372" s="278"/>
    </row>
    <row r="373" spans="1:14">
      <c r="A373" s="307"/>
      <c r="B373" s="278"/>
      <c r="C373" s="278"/>
      <c r="D373" s="278"/>
      <c r="E373" s="278"/>
      <c r="F373" s="278"/>
      <c r="G373" s="278"/>
      <c r="H373" s="278"/>
      <c r="I373" s="278"/>
      <c r="J373" s="278"/>
      <c r="K373" s="278"/>
      <c r="L373" s="278"/>
      <c r="M373" s="278"/>
      <c r="N373" s="278"/>
    </row>
    <row r="374" spans="1:14">
      <c r="A374" s="307"/>
      <c r="B374" s="278"/>
      <c r="C374" s="278"/>
      <c r="D374" s="278"/>
      <c r="E374" s="278"/>
      <c r="F374" s="278"/>
      <c r="G374" s="278"/>
      <c r="H374" s="278"/>
      <c r="I374" s="278"/>
      <c r="J374" s="278"/>
      <c r="K374" s="278"/>
      <c r="L374" s="278"/>
      <c r="M374" s="278"/>
      <c r="N374" s="278"/>
    </row>
    <row r="375" spans="1:14">
      <c r="A375" s="307"/>
      <c r="B375" s="278"/>
      <c r="C375" s="278"/>
      <c r="D375" s="278"/>
      <c r="E375" s="278"/>
      <c r="F375" s="278"/>
      <c r="G375" s="278"/>
      <c r="H375" s="278"/>
      <c r="I375" s="278"/>
      <c r="J375" s="278"/>
      <c r="K375" s="278"/>
      <c r="L375" s="278"/>
      <c r="M375" s="278"/>
      <c r="N375" s="278"/>
    </row>
    <row r="376" spans="1:14">
      <c r="A376" s="307"/>
      <c r="B376" s="278"/>
      <c r="C376" s="278"/>
      <c r="D376" s="278"/>
      <c r="E376" s="278"/>
      <c r="F376" s="278"/>
      <c r="G376" s="278"/>
      <c r="H376" s="278"/>
      <c r="I376" s="278"/>
      <c r="J376" s="278"/>
      <c r="K376" s="278"/>
      <c r="L376" s="278"/>
      <c r="M376" s="278"/>
      <c r="N376" s="278"/>
    </row>
    <row r="377" spans="1:14">
      <c r="A377" s="307"/>
      <c r="B377" s="278"/>
      <c r="C377" s="278"/>
      <c r="D377" s="278"/>
      <c r="E377" s="278"/>
      <c r="F377" s="278"/>
      <c r="G377" s="278"/>
      <c r="H377" s="278"/>
      <c r="I377" s="278"/>
      <c r="J377" s="278"/>
      <c r="K377" s="278"/>
      <c r="L377" s="278"/>
      <c r="M377" s="278"/>
      <c r="N377" s="278"/>
    </row>
    <row r="378" spans="1:14">
      <c r="A378" s="307"/>
      <c r="B378" s="278"/>
      <c r="C378" s="278"/>
      <c r="D378" s="278"/>
      <c r="E378" s="278"/>
      <c r="F378" s="278"/>
      <c r="G378" s="278"/>
      <c r="H378" s="278"/>
      <c r="I378" s="278"/>
      <c r="J378" s="278"/>
      <c r="K378" s="278"/>
      <c r="L378" s="278"/>
      <c r="M378" s="278"/>
      <c r="N378" s="278"/>
    </row>
    <row r="379" spans="1:14">
      <c r="A379" s="307"/>
      <c r="B379" s="278"/>
      <c r="C379" s="278"/>
      <c r="D379" s="278"/>
      <c r="E379" s="278"/>
      <c r="F379" s="278"/>
      <c r="G379" s="278"/>
      <c r="H379" s="278"/>
      <c r="I379" s="278"/>
      <c r="J379" s="278"/>
      <c r="K379" s="278"/>
      <c r="L379" s="278"/>
      <c r="M379" s="278"/>
      <c r="N379" s="278"/>
    </row>
    <row r="380" spans="1:14">
      <c r="A380" s="307"/>
      <c r="B380" s="278"/>
      <c r="C380" s="278"/>
      <c r="D380" s="278"/>
      <c r="E380" s="278"/>
      <c r="F380" s="278"/>
      <c r="G380" s="278"/>
      <c r="H380" s="278"/>
      <c r="I380" s="278"/>
      <c r="J380" s="278"/>
      <c r="K380" s="278"/>
      <c r="L380" s="278"/>
      <c r="M380" s="278"/>
      <c r="N380" s="278"/>
    </row>
    <row r="381" spans="1:14">
      <c r="A381" s="307"/>
      <c r="B381" s="278"/>
      <c r="C381" s="278"/>
      <c r="D381" s="278"/>
      <c r="E381" s="278"/>
      <c r="F381" s="278"/>
      <c r="G381" s="278"/>
      <c r="H381" s="278"/>
      <c r="I381" s="278"/>
      <c r="J381" s="278"/>
      <c r="K381" s="278"/>
      <c r="L381" s="278"/>
      <c r="M381" s="278"/>
      <c r="N381" s="278"/>
    </row>
    <row r="382" spans="1:14">
      <c r="A382" s="307"/>
      <c r="B382" s="278"/>
      <c r="C382" s="278"/>
      <c r="D382" s="278"/>
      <c r="E382" s="278"/>
      <c r="F382" s="278"/>
      <c r="G382" s="278"/>
      <c r="H382" s="278"/>
      <c r="I382" s="278"/>
      <c r="J382" s="278"/>
      <c r="K382" s="278"/>
      <c r="L382" s="278"/>
      <c r="M382" s="278"/>
      <c r="N382" s="278"/>
    </row>
    <row r="383" spans="1:14">
      <c r="A383" s="307"/>
      <c r="B383" s="278"/>
      <c r="C383" s="278"/>
      <c r="D383" s="278"/>
      <c r="E383" s="278"/>
      <c r="F383" s="278"/>
      <c r="G383" s="278"/>
      <c r="H383" s="278"/>
      <c r="I383" s="278"/>
      <c r="J383" s="278"/>
      <c r="K383" s="278"/>
      <c r="L383" s="278"/>
      <c r="M383" s="278"/>
      <c r="N383" s="278"/>
    </row>
    <row r="384" spans="1:14">
      <c r="A384" s="307"/>
      <c r="B384" s="278"/>
      <c r="C384" s="278"/>
      <c r="D384" s="278"/>
      <c r="E384" s="278"/>
      <c r="F384" s="278"/>
      <c r="G384" s="278"/>
      <c r="H384" s="278"/>
      <c r="I384" s="278"/>
      <c r="J384" s="278"/>
      <c r="K384" s="278"/>
      <c r="L384" s="278"/>
      <c r="M384" s="278"/>
      <c r="N384" s="278"/>
    </row>
    <row r="385" spans="1:14">
      <c r="A385" s="307"/>
      <c r="B385" s="278"/>
      <c r="C385" s="278"/>
      <c r="D385" s="278"/>
      <c r="E385" s="278"/>
      <c r="F385" s="278"/>
      <c r="G385" s="278"/>
      <c r="H385" s="278"/>
      <c r="I385" s="278"/>
      <c r="J385" s="278"/>
      <c r="K385" s="278"/>
      <c r="L385" s="278"/>
      <c r="M385" s="278"/>
      <c r="N385" s="278"/>
    </row>
    <row r="386" spans="1:14">
      <c r="A386" s="307"/>
      <c r="B386" s="278"/>
      <c r="C386" s="278"/>
      <c r="D386" s="278"/>
      <c r="E386" s="278"/>
      <c r="F386" s="278"/>
      <c r="G386" s="278"/>
      <c r="H386" s="278"/>
      <c r="I386" s="278"/>
      <c r="J386" s="278"/>
      <c r="K386" s="278"/>
      <c r="L386" s="278"/>
      <c r="M386" s="278"/>
      <c r="N386" s="278"/>
    </row>
    <row r="387" spans="1:14">
      <c r="A387" s="307"/>
      <c r="B387" s="278"/>
      <c r="C387" s="278"/>
      <c r="D387" s="278"/>
      <c r="E387" s="278"/>
      <c r="F387" s="278"/>
      <c r="G387" s="278"/>
      <c r="H387" s="278"/>
      <c r="I387" s="278"/>
      <c r="J387" s="278"/>
      <c r="K387" s="278"/>
      <c r="L387" s="278"/>
      <c r="M387" s="278"/>
      <c r="N387" s="278"/>
    </row>
    <row r="388" spans="1:14">
      <c r="A388" s="307"/>
      <c r="B388" s="278"/>
      <c r="C388" s="278"/>
      <c r="D388" s="278"/>
      <c r="E388" s="278"/>
      <c r="F388" s="278"/>
      <c r="G388" s="278"/>
      <c r="H388" s="278"/>
      <c r="I388" s="278"/>
      <c r="J388" s="278"/>
      <c r="K388" s="278"/>
      <c r="L388" s="278"/>
      <c r="M388" s="278"/>
      <c r="N388" s="278"/>
    </row>
    <row r="389" spans="1:14">
      <c r="A389" s="307"/>
      <c r="B389" s="278"/>
      <c r="C389" s="278"/>
      <c r="D389" s="278"/>
      <c r="E389" s="278"/>
      <c r="F389" s="278"/>
      <c r="G389" s="278"/>
      <c r="H389" s="278"/>
      <c r="I389" s="278"/>
      <c r="J389" s="278"/>
      <c r="K389" s="278"/>
      <c r="L389" s="278"/>
      <c r="M389" s="278"/>
      <c r="N389" s="278"/>
    </row>
    <row r="390" spans="1:14">
      <c r="A390" s="307"/>
      <c r="B390" s="278"/>
      <c r="C390" s="278"/>
      <c r="D390" s="278"/>
      <c r="E390" s="278"/>
      <c r="F390" s="278"/>
      <c r="G390" s="278"/>
      <c r="H390" s="278"/>
      <c r="I390" s="278"/>
      <c r="J390" s="278"/>
      <c r="K390" s="278"/>
      <c r="L390" s="278"/>
      <c r="M390" s="278"/>
      <c r="N390" s="278"/>
    </row>
    <row r="391" spans="1:14">
      <c r="A391" s="307"/>
      <c r="B391" s="278"/>
      <c r="C391" s="278"/>
      <c r="D391" s="278"/>
      <c r="E391" s="278"/>
      <c r="F391" s="278"/>
      <c r="G391" s="278"/>
      <c r="H391" s="278"/>
      <c r="I391" s="278"/>
      <c r="J391" s="278"/>
      <c r="K391" s="278"/>
      <c r="L391" s="278"/>
      <c r="M391" s="278"/>
      <c r="N391" s="278"/>
    </row>
    <row r="392" spans="1:14">
      <c r="A392" s="307"/>
      <c r="B392" s="278"/>
      <c r="C392" s="278"/>
      <c r="D392" s="278"/>
      <c r="E392" s="278"/>
      <c r="F392" s="278"/>
      <c r="G392" s="278"/>
      <c r="H392" s="278"/>
      <c r="I392" s="278"/>
      <c r="J392" s="278"/>
      <c r="K392" s="278"/>
      <c r="L392" s="278"/>
      <c r="M392" s="278"/>
      <c r="N392" s="278"/>
    </row>
    <row r="393" spans="1:14">
      <c r="A393" s="307"/>
      <c r="B393" s="278"/>
      <c r="C393" s="278"/>
      <c r="D393" s="278"/>
      <c r="E393" s="278"/>
      <c r="F393" s="278"/>
      <c r="G393" s="278"/>
      <c r="H393" s="278"/>
      <c r="I393" s="278"/>
      <c r="J393" s="278"/>
      <c r="K393" s="278"/>
      <c r="L393" s="278"/>
      <c r="M393" s="278"/>
      <c r="N393" s="278"/>
    </row>
    <row r="394" spans="1:14">
      <c r="A394" s="307"/>
      <c r="B394" s="278"/>
      <c r="C394" s="278"/>
      <c r="D394" s="278"/>
      <c r="E394" s="278"/>
      <c r="F394" s="278"/>
      <c r="G394" s="278"/>
      <c r="H394" s="278"/>
      <c r="I394" s="278"/>
      <c r="J394" s="278"/>
      <c r="K394" s="278"/>
      <c r="L394" s="278"/>
      <c r="M394" s="278"/>
      <c r="N394" s="278"/>
    </row>
    <row r="395" spans="1:14">
      <c r="A395" s="307"/>
      <c r="B395" s="278"/>
      <c r="C395" s="278"/>
      <c r="D395" s="278"/>
      <c r="E395" s="278"/>
      <c r="F395" s="278"/>
      <c r="G395" s="278"/>
      <c r="H395" s="278"/>
      <c r="I395" s="278"/>
      <c r="J395" s="278"/>
      <c r="K395" s="278"/>
      <c r="L395" s="278"/>
      <c r="M395" s="278"/>
      <c r="N395" s="278"/>
    </row>
    <row r="396" spans="1:14">
      <c r="A396" s="307"/>
      <c r="B396" s="278"/>
      <c r="C396" s="278"/>
      <c r="D396" s="278"/>
      <c r="E396" s="278"/>
      <c r="F396" s="278"/>
      <c r="G396" s="278"/>
      <c r="H396" s="278"/>
      <c r="I396" s="278"/>
      <c r="J396" s="278"/>
      <c r="K396" s="278"/>
      <c r="L396" s="278"/>
      <c r="M396" s="278"/>
      <c r="N396" s="278"/>
    </row>
    <row r="397" spans="1:14">
      <c r="A397" s="307"/>
      <c r="B397" s="278"/>
      <c r="C397" s="278"/>
      <c r="D397" s="278"/>
      <c r="E397" s="278"/>
      <c r="F397" s="278"/>
      <c r="G397" s="278"/>
      <c r="H397" s="278"/>
      <c r="I397" s="278"/>
      <c r="J397" s="278"/>
      <c r="K397" s="278"/>
      <c r="L397" s="278"/>
      <c r="M397" s="278"/>
      <c r="N397" s="278"/>
    </row>
    <row r="398" spans="1:14">
      <c r="A398" s="307"/>
      <c r="B398" s="278"/>
      <c r="C398" s="278"/>
      <c r="D398" s="278"/>
      <c r="E398" s="278"/>
      <c r="F398" s="278"/>
      <c r="G398" s="278"/>
      <c r="H398" s="278"/>
      <c r="I398" s="278"/>
      <c r="J398" s="278"/>
      <c r="K398" s="278"/>
      <c r="L398" s="278"/>
      <c r="M398" s="278"/>
      <c r="N398" s="278"/>
    </row>
    <row r="399" spans="1:14">
      <c r="A399" s="307"/>
      <c r="B399" s="278"/>
      <c r="C399" s="278"/>
      <c r="D399" s="278"/>
      <c r="E399" s="278"/>
      <c r="F399" s="278"/>
      <c r="G399" s="278"/>
      <c r="H399" s="278"/>
      <c r="I399" s="278"/>
      <c r="J399" s="278"/>
      <c r="K399" s="278"/>
      <c r="L399" s="278"/>
      <c r="M399" s="278"/>
      <c r="N399" s="278"/>
    </row>
    <row r="400" spans="1:14">
      <c r="A400" s="307"/>
      <c r="B400" s="278"/>
      <c r="C400" s="278"/>
      <c r="D400" s="278"/>
      <c r="E400" s="278"/>
      <c r="F400" s="278"/>
      <c r="G400" s="278"/>
      <c r="H400" s="278"/>
      <c r="I400" s="278"/>
      <c r="J400" s="278"/>
      <c r="K400" s="278"/>
      <c r="L400" s="278"/>
      <c r="M400" s="278"/>
      <c r="N400" s="278"/>
    </row>
    <row r="401" spans="1:14">
      <c r="A401" s="307"/>
      <c r="B401" s="278"/>
      <c r="C401" s="278"/>
      <c r="D401" s="278"/>
      <c r="E401" s="278"/>
      <c r="F401" s="278"/>
      <c r="G401" s="278"/>
      <c r="H401" s="278"/>
      <c r="I401" s="278"/>
      <c r="J401" s="278"/>
      <c r="K401" s="278"/>
      <c r="L401" s="278"/>
      <c r="M401" s="278"/>
      <c r="N401" s="278"/>
    </row>
    <row r="402" spans="1:14">
      <c r="A402" s="307"/>
      <c r="B402" s="278"/>
      <c r="C402" s="278"/>
      <c r="D402" s="278"/>
      <c r="E402" s="278"/>
      <c r="F402" s="278"/>
      <c r="G402" s="278"/>
      <c r="H402" s="278"/>
      <c r="I402" s="278"/>
      <c r="J402" s="278"/>
      <c r="K402" s="278"/>
      <c r="L402" s="278"/>
      <c r="M402" s="278"/>
      <c r="N402" s="278"/>
    </row>
    <row r="403" spans="1:14">
      <c r="A403" s="307"/>
      <c r="B403" s="278"/>
      <c r="C403" s="278"/>
      <c r="D403" s="278"/>
      <c r="E403" s="278"/>
      <c r="F403" s="278"/>
      <c r="G403" s="278"/>
      <c r="H403" s="278"/>
      <c r="I403" s="278"/>
      <c r="J403" s="278"/>
      <c r="K403" s="278"/>
      <c r="L403" s="278"/>
      <c r="M403" s="278"/>
      <c r="N403" s="278"/>
    </row>
    <row r="404" spans="1:14">
      <c r="A404" s="307"/>
      <c r="B404" s="278"/>
      <c r="C404" s="278"/>
      <c r="D404" s="278"/>
      <c r="E404" s="278"/>
      <c r="F404" s="278"/>
      <c r="G404" s="278"/>
      <c r="H404" s="278"/>
      <c r="I404" s="278"/>
      <c r="J404" s="278"/>
      <c r="K404" s="278"/>
      <c r="L404" s="278"/>
      <c r="M404" s="278"/>
      <c r="N404" s="278"/>
    </row>
    <row r="405" spans="1:14">
      <c r="A405" s="307"/>
      <c r="B405" s="278"/>
      <c r="C405" s="278"/>
      <c r="D405" s="278"/>
      <c r="E405" s="278"/>
      <c r="F405" s="278"/>
      <c r="G405" s="278"/>
      <c r="H405" s="278"/>
      <c r="I405" s="278"/>
      <c r="J405" s="278"/>
      <c r="K405" s="278"/>
      <c r="L405" s="278"/>
      <c r="M405" s="278"/>
      <c r="N405" s="278"/>
    </row>
    <row r="406" spans="1:14">
      <c r="A406" s="307"/>
      <c r="B406" s="278"/>
      <c r="C406" s="278"/>
      <c r="D406" s="278"/>
      <c r="E406" s="278"/>
      <c r="F406" s="278"/>
      <c r="G406" s="278"/>
      <c r="H406" s="278"/>
      <c r="I406" s="278"/>
      <c r="J406" s="278"/>
      <c r="K406" s="278"/>
      <c r="L406" s="278"/>
      <c r="M406" s="278"/>
      <c r="N406" s="278"/>
    </row>
    <row r="407" spans="1:14">
      <c r="A407" s="307"/>
      <c r="B407" s="278"/>
      <c r="C407" s="278"/>
      <c r="D407" s="278"/>
      <c r="E407" s="278"/>
      <c r="F407" s="278"/>
      <c r="G407" s="278"/>
      <c r="H407" s="278"/>
      <c r="I407" s="278"/>
      <c r="J407" s="278"/>
      <c r="K407" s="278"/>
      <c r="L407" s="278"/>
      <c r="M407" s="278"/>
      <c r="N407" s="278"/>
    </row>
    <row r="408" spans="1:14">
      <c r="A408" s="307"/>
      <c r="B408" s="278"/>
      <c r="C408" s="278"/>
      <c r="D408" s="278"/>
      <c r="E408" s="278"/>
      <c r="F408" s="278"/>
      <c r="G408" s="278"/>
      <c r="H408" s="278"/>
      <c r="I408" s="278"/>
      <c r="J408" s="278"/>
      <c r="K408" s="278"/>
      <c r="L408" s="278"/>
      <c r="M408" s="278"/>
      <c r="N408" s="278"/>
    </row>
    <row r="409" spans="1:14">
      <c r="A409" s="307"/>
      <c r="B409" s="278"/>
      <c r="C409" s="278"/>
      <c r="D409" s="278"/>
      <c r="E409" s="278"/>
      <c r="F409" s="278"/>
      <c r="G409" s="278"/>
      <c r="H409" s="278"/>
      <c r="I409" s="278"/>
      <c r="J409" s="278"/>
      <c r="K409" s="278"/>
      <c r="L409" s="278"/>
      <c r="M409" s="278"/>
      <c r="N409" s="278"/>
    </row>
    <row r="410" spans="1:14">
      <c r="A410" s="307"/>
      <c r="B410" s="278"/>
      <c r="C410" s="278"/>
      <c r="D410" s="278"/>
      <c r="E410" s="278"/>
      <c r="F410" s="278"/>
      <c r="G410" s="278"/>
      <c r="H410" s="278"/>
      <c r="I410" s="278"/>
      <c r="J410" s="278"/>
      <c r="K410" s="278"/>
      <c r="L410" s="278"/>
      <c r="M410" s="278"/>
      <c r="N410" s="278"/>
    </row>
    <row r="411" spans="1:14">
      <c r="A411" s="307"/>
      <c r="B411" s="278"/>
      <c r="C411" s="278"/>
      <c r="D411" s="278"/>
      <c r="E411" s="278"/>
      <c r="F411" s="278"/>
      <c r="G411" s="278"/>
      <c r="H411" s="278"/>
      <c r="I411" s="278"/>
      <c r="J411" s="278"/>
      <c r="K411" s="278"/>
      <c r="L411" s="278"/>
      <c r="M411" s="278"/>
      <c r="N411" s="278"/>
    </row>
    <row r="412" spans="1:14">
      <c r="A412" s="307"/>
      <c r="B412" s="278"/>
      <c r="C412" s="278"/>
      <c r="D412" s="278"/>
      <c r="E412" s="278"/>
      <c r="F412" s="278"/>
      <c r="G412" s="278"/>
      <c r="H412" s="278"/>
      <c r="I412" s="278"/>
      <c r="J412" s="278"/>
      <c r="K412" s="278"/>
      <c r="L412" s="278"/>
      <c r="M412" s="278"/>
      <c r="N412" s="278"/>
    </row>
    <row r="413" spans="1:14">
      <c r="A413" s="307"/>
      <c r="B413" s="278"/>
      <c r="C413" s="278"/>
      <c r="D413" s="278"/>
      <c r="E413" s="278"/>
      <c r="F413" s="278"/>
      <c r="G413" s="278"/>
      <c r="H413" s="278"/>
      <c r="I413" s="278"/>
      <c r="J413" s="278"/>
      <c r="K413" s="278"/>
      <c r="L413" s="278"/>
      <c r="M413" s="278"/>
      <c r="N413" s="278"/>
    </row>
    <row r="414" spans="1:14">
      <c r="A414" s="307"/>
      <c r="B414" s="278"/>
      <c r="C414" s="278"/>
      <c r="D414" s="278"/>
      <c r="E414" s="278"/>
      <c r="F414" s="278"/>
      <c r="G414" s="278"/>
      <c r="H414" s="278"/>
      <c r="I414" s="278"/>
      <c r="J414" s="278"/>
      <c r="K414" s="278"/>
      <c r="L414" s="278"/>
      <c r="M414" s="278"/>
      <c r="N414" s="278"/>
    </row>
    <row r="415" spans="1:14">
      <c r="A415" s="307"/>
      <c r="B415" s="278"/>
      <c r="C415" s="278"/>
      <c r="D415" s="278"/>
      <c r="E415" s="278"/>
      <c r="F415" s="278"/>
      <c r="G415" s="278"/>
      <c r="H415" s="278"/>
      <c r="I415" s="278"/>
      <c r="J415" s="278"/>
      <c r="K415" s="278"/>
      <c r="L415" s="278"/>
      <c r="M415" s="278"/>
      <c r="N415" s="278"/>
    </row>
    <row r="416" spans="1:14">
      <c r="A416" s="307"/>
      <c r="B416" s="278"/>
      <c r="C416" s="278"/>
      <c r="D416" s="278"/>
      <c r="E416" s="278"/>
      <c r="F416" s="278"/>
      <c r="G416" s="278"/>
      <c r="H416" s="278"/>
      <c r="I416" s="278"/>
      <c r="J416" s="278"/>
      <c r="K416" s="278"/>
      <c r="L416" s="278"/>
      <c r="M416" s="278"/>
      <c r="N416" s="278"/>
    </row>
    <row r="417" spans="1:14">
      <c r="A417" s="307"/>
      <c r="B417" s="278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8"/>
    </row>
    <row r="418" spans="1:14">
      <c r="A418" s="307"/>
      <c r="B418" s="278"/>
      <c r="C418" s="278"/>
      <c r="D418" s="278"/>
      <c r="E418" s="278"/>
      <c r="F418" s="278"/>
      <c r="G418" s="278"/>
      <c r="H418" s="278"/>
      <c r="I418" s="278"/>
      <c r="J418" s="278"/>
      <c r="K418" s="278"/>
      <c r="L418" s="278"/>
      <c r="M418" s="278"/>
      <c r="N418" s="278"/>
    </row>
    <row r="419" spans="1:14">
      <c r="A419" s="307"/>
      <c r="B419" s="278"/>
      <c r="C419" s="278"/>
      <c r="D419" s="278"/>
      <c r="E419" s="278"/>
      <c r="F419" s="278"/>
      <c r="G419" s="278"/>
      <c r="H419" s="278"/>
      <c r="I419" s="278"/>
      <c r="J419" s="278"/>
      <c r="K419" s="278"/>
      <c r="L419" s="278"/>
      <c r="M419" s="278"/>
      <c r="N419" s="278"/>
    </row>
    <row r="420" spans="1:14">
      <c r="A420" s="307"/>
      <c r="B420" s="278"/>
      <c r="C420" s="278"/>
      <c r="D420" s="278"/>
      <c r="E420" s="278"/>
      <c r="F420" s="278"/>
      <c r="G420" s="278"/>
      <c r="H420" s="278"/>
      <c r="I420" s="278"/>
      <c r="J420" s="278"/>
      <c r="K420" s="278"/>
      <c r="L420" s="278"/>
      <c r="M420" s="278"/>
      <c r="N420" s="278"/>
    </row>
    <row r="421" spans="1:14">
      <c r="A421" s="307"/>
      <c r="B421" s="278"/>
      <c r="C421" s="278"/>
      <c r="D421" s="278"/>
      <c r="E421" s="278"/>
      <c r="F421" s="278"/>
      <c r="G421" s="278"/>
      <c r="H421" s="278"/>
      <c r="I421" s="278"/>
      <c r="J421" s="278"/>
      <c r="K421" s="278"/>
      <c r="L421" s="278"/>
      <c r="M421" s="278"/>
      <c r="N421" s="278"/>
    </row>
    <row r="422" spans="1:14">
      <c r="A422" s="307"/>
      <c r="B422" s="278"/>
      <c r="C422" s="278"/>
      <c r="D422" s="278"/>
      <c r="E422" s="278"/>
      <c r="F422" s="278"/>
      <c r="G422" s="278"/>
      <c r="H422" s="278"/>
      <c r="I422" s="278"/>
      <c r="J422" s="278"/>
      <c r="K422" s="278"/>
      <c r="L422" s="278"/>
      <c r="M422" s="278"/>
      <c r="N422" s="278"/>
    </row>
    <row r="423" spans="1:14">
      <c r="A423" s="307"/>
      <c r="B423" s="278"/>
      <c r="C423" s="278"/>
      <c r="D423" s="278"/>
      <c r="E423" s="278"/>
      <c r="F423" s="278"/>
      <c r="G423" s="278"/>
      <c r="H423" s="278"/>
      <c r="I423" s="278"/>
      <c r="J423" s="278"/>
      <c r="K423" s="278"/>
      <c r="L423" s="278"/>
      <c r="M423" s="278"/>
      <c r="N423" s="278"/>
    </row>
    <row r="424" spans="1:14">
      <c r="A424" s="307"/>
      <c r="B424" s="278"/>
      <c r="C424" s="278"/>
      <c r="D424" s="278"/>
      <c r="E424" s="278"/>
      <c r="F424" s="278"/>
      <c r="G424" s="278"/>
      <c r="H424" s="278"/>
      <c r="I424" s="278"/>
      <c r="J424" s="278"/>
      <c r="K424" s="278"/>
      <c r="L424" s="278"/>
      <c r="M424" s="278"/>
      <c r="N424" s="278"/>
    </row>
    <row r="425" spans="1:14">
      <c r="A425" s="307"/>
      <c r="B425" s="278"/>
      <c r="C425" s="278"/>
      <c r="D425" s="278"/>
      <c r="E425" s="278"/>
      <c r="F425" s="278"/>
      <c r="G425" s="278"/>
      <c r="H425" s="278"/>
      <c r="I425" s="278"/>
      <c r="J425" s="278"/>
      <c r="K425" s="278"/>
      <c r="L425" s="278"/>
      <c r="M425" s="278"/>
      <c r="N425" s="278"/>
    </row>
    <row r="426" spans="1:14">
      <c r="A426" s="307"/>
      <c r="B426" s="278"/>
      <c r="C426" s="278"/>
      <c r="D426" s="278"/>
      <c r="E426" s="278"/>
      <c r="F426" s="278"/>
      <c r="G426" s="278"/>
      <c r="H426" s="278"/>
      <c r="I426" s="278"/>
      <c r="J426" s="278"/>
      <c r="K426" s="278"/>
      <c r="L426" s="278"/>
      <c r="M426" s="278"/>
      <c r="N426" s="278"/>
    </row>
    <row r="427" spans="1:14">
      <c r="A427" s="307"/>
      <c r="B427" s="278"/>
      <c r="C427" s="278"/>
      <c r="D427" s="278"/>
      <c r="E427" s="278"/>
      <c r="F427" s="278"/>
      <c r="G427" s="278"/>
      <c r="H427" s="278"/>
      <c r="I427" s="278"/>
      <c r="J427" s="278"/>
      <c r="K427" s="278"/>
      <c r="L427" s="278"/>
      <c r="M427" s="278"/>
      <c r="N427" s="278"/>
    </row>
    <row r="428" spans="1:14">
      <c r="A428" s="307"/>
      <c r="B428" s="278"/>
      <c r="C428" s="278"/>
      <c r="D428" s="278"/>
      <c r="E428" s="278"/>
      <c r="F428" s="278"/>
      <c r="G428" s="278"/>
      <c r="H428" s="278"/>
      <c r="I428" s="278"/>
      <c r="J428" s="278"/>
      <c r="K428" s="278"/>
      <c r="L428" s="278"/>
      <c r="M428" s="278"/>
      <c r="N428" s="278"/>
    </row>
    <row r="429" spans="1:14">
      <c r="A429" s="307"/>
      <c r="B429" s="278"/>
      <c r="C429" s="278"/>
      <c r="D429" s="278"/>
      <c r="E429" s="278"/>
      <c r="F429" s="278"/>
      <c r="G429" s="278"/>
      <c r="H429" s="278"/>
      <c r="I429" s="278"/>
      <c r="J429" s="278"/>
      <c r="K429" s="278"/>
      <c r="L429" s="278"/>
      <c r="M429" s="278"/>
      <c r="N429" s="278"/>
    </row>
    <row r="430" spans="1:14">
      <c r="A430" s="307"/>
      <c r="B430" s="278"/>
      <c r="C430" s="278"/>
      <c r="D430" s="278"/>
      <c r="E430" s="278"/>
      <c r="F430" s="278"/>
      <c r="G430" s="278"/>
      <c r="H430" s="278"/>
      <c r="I430" s="278"/>
      <c r="J430" s="278"/>
      <c r="K430" s="278"/>
      <c r="L430" s="278"/>
      <c r="M430" s="278"/>
      <c r="N430" s="278"/>
    </row>
    <row r="431" spans="1:14">
      <c r="A431" s="307"/>
      <c r="B431" s="278"/>
      <c r="C431" s="278"/>
      <c r="D431" s="278"/>
      <c r="E431" s="278"/>
      <c r="F431" s="278"/>
      <c r="G431" s="278"/>
      <c r="H431" s="278"/>
      <c r="I431" s="278"/>
      <c r="J431" s="278"/>
      <c r="K431" s="278"/>
      <c r="L431" s="278"/>
      <c r="M431" s="278"/>
      <c r="N431" s="278"/>
    </row>
    <row r="432" spans="1:14">
      <c r="A432" s="307"/>
      <c r="B432" s="278"/>
      <c r="C432" s="278"/>
      <c r="D432" s="278"/>
      <c r="E432" s="278"/>
      <c r="F432" s="278"/>
      <c r="G432" s="278"/>
      <c r="H432" s="278"/>
      <c r="I432" s="278"/>
      <c r="J432" s="278"/>
      <c r="K432" s="278"/>
      <c r="L432" s="278"/>
      <c r="M432" s="278"/>
      <c r="N432" s="278"/>
    </row>
    <row r="433" spans="1:14">
      <c r="A433" s="307"/>
      <c r="B433" s="278"/>
      <c r="C433" s="278"/>
      <c r="D433" s="278"/>
      <c r="E433" s="278"/>
      <c r="F433" s="278"/>
      <c r="G433" s="278"/>
      <c r="H433" s="278"/>
      <c r="I433" s="278"/>
      <c r="J433" s="278"/>
      <c r="K433" s="278"/>
      <c r="L433" s="278"/>
      <c r="M433" s="278"/>
      <c r="N433" s="278"/>
    </row>
    <row r="434" spans="1:14">
      <c r="A434" s="307"/>
      <c r="B434" s="278"/>
      <c r="C434" s="278"/>
      <c r="D434" s="278"/>
      <c r="E434" s="278"/>
      <c r="F434" s="278"/>
      <c r="G434" s="278"/>
      <c r="H434" s="278"/>
      <c r="I434" s="278"/>
      <c r="J434" s="278"/>
      <c r="K434" s="278"/>
      <c r="L434" s="278"/>
      <c r="M434" s="278"/>
      <c r="N434" s="278"/>
    </row>
    <row r="435" spans="1:14">
      <c r="A435" s="307"/>
      <c r="B435" s="278"/>
      <c r="C435" s="278"/>
      <c r="D435" s="278"/>
      <c r="E435" s="278"/>
      <c r="F435" s="278"/>
      <c r="G435" s="278"/>
      <c r="H435" s="278"/>
      <c r="I435" s="278"/>
      <c r="J435" s="278"/>
      <c r="K435" s="278"/>
      <c r="L435" s="278"/>
      <c r="M435" s="278"/>
      <c r="N435" s="278"/>
    </row>
    <row r="436" spans="1:14">
      <c r="A436" s="307"/>
      <c r="B436" s="278"/>
      <c r="C436" s="278"/>
      <c r="D436" s="278"/>
      <c r="E436" s="278"/>
      <c r="F436" s="278"/>
      <c r="G436" s="278"/>
      <c r="H436" s="278"/>
      <c r="I436" s="278"/>
      <c r="J436" s="278"/>
      <c r="K436" s="278"/>
      <c r="L436" s="278"/>
      <c r="M436" s="278"/>
      <c r="N436" s="278"/>
    </row>
    <row r="437" spans="1:14">
      <c r="A437" s="307"/>
      <c r="B437" s="278"/>
      <c r="C437" s="278"/>
      <c r="D437" s="278"/>
      <c r="E437" s="278"/>
      <c r="F437" s="278"/>
      <c r="G437" s="278"/>
      <c r="H437" s="278"/>
      <c r="I437" s="278"/>
      <c r="J437" s="278"/>
      <c r="K437" s="278"/>
      <c r="L437" s="278"/>
      <c r="M437" s="278"/>
      <c r="N437" s="278"/>
    </row>
    <row r="438" spans="1:14">
      <c r="A438" s="307"/>
      <c r="B438" s="278"/>
      <c r="C438" s="278"/>
      <c r="D438" s="278"/>
      <c r="E438" s="278"/>
      <c r="F438" s="278"/>
      <c r="G438" s="278"/>
      <c r="H438" s="278"/>
      <c r="I438" s="278"/>
      <c r="J438" s="278"/>
      <c r="K438" s="278"/>
      <c r="L438" s="278"/>
      <c r="M438" s="278"/>
      <c r="N438" s="278"/>
    </row>
    <row r="439" spans="1:14">
      <c r="A439" s="307"/>
      <c r="B439" s="278"/>
      <c r="C439" s="278"/>
      <c r="D439" s="278"/>
      <c r="E439" s="278"/>
      <c r="F439" s="278"/>
      <c r="G439" s="278"/>
      <c r="H439" s="278"/>
      <c r="I439" s="278"/>
      <c r="J439" s="278"/>
      <c r="K439" s="278"/>
      <c r="L439" s="278"/>
      <c r="M439" s="278"/>
      <c r="N439" s="278"/>
    </row>
    <row r="440" spans="1:14">
      <c r="A440" s="307"/>
      <c r="B440" s="278"/>
      <c r="C440" s="278"/>
      <c r="D440" s="278"/>
      <c r="E440" s="278"/>
      <c r="F440" s="278"/>
      <c r="G440" s="278"/>
      <c r="H440" s="278"/>
      <c r="I440" s="278"/>
      <c r="J440" s="278"/>
      <c r="K440" s="278"/>
      <c r="L440" s="278"/>
      <c r="M440" s="278"/>
      <c r="N440" s="278"/>
    </row>
    <row r="441" spans="1:14">
      <c r="A441" s="307"/>
      <c r="B441" s="278"/>
      <c r="C441" s="278"/>
      <c r="D441" s="278"/>
      <c r="E441" s="278"/>
      <c r="F441" s="278"/>
      <c r="G441" s="278"/>
      <c r="H441" s="278"/>
      <c r="I441" s="278"/>
      <c r="J441" s="278"/>
      <c r="K441" s="278"/>
      <c r="L441" s="278"/>
      <c r="M441" s="278"/>
      <c r="N441" s="278"/>
    </row>
    <row r="442" spans="1:14">
      <c r="A442" s="307"/>
      <c r="B442" s="278"/>
      <c r="C442" s="278"/>
      <c r="D442" s="278"/>
      <c r="E442" s="278"/>
      <c r="F442" s="278"/>
      <c r="G442" s="278"/>
      <c r="H442" s="278"/>
      <c r="I442" s="278"/>
      <c r="J442" s="278"/>
      <c r="K442" s="278"/>
      <c r="L442" s="278"/>
      <c r="M442" s="278"/>
      <c r="N442" s="278"/>
    </row>
    <row r="443" spans="1:14">
      <c r="A443" s="307"/>
      <c r="B443" s="278"/>
      <c r="C443" s="278"/>
      <c r="D443" s="278"/>
      <c r="E443" s="278"/>
      <c r="F443" s="278"/>
      <c r="G443" s="278"/>
      <c r="H443" s="278"/>
      <c r="I443" s="278"/>
      <c r="J443" s="278"/>
      <c r="K443" s="278"/>
      <c r="L443" s="278"/>
      <c r="M443" s="278"/>
      <c r="N443" s="278"/>
    </row>
    <row r="444" spans="1:14">
      <c r="A444" s="307"/>
      <c r="B444" s="278"/>
      <c r="C444" s="278"/>
      <c r="D444" s="278"/>
      <c r="E444" s="278"/>
      <c r="F444" s="278"/>
      <c r="G444" s="278"/>
      <c r="H444" s="278"/>
      <c r="I444" s="278"/>
      <c r="J444" s="278"/>
      <c r="K444" s="278"/>
      <c r="L444" s="278"/>
      <c r="M444" s="278"/>
      <c r="N444" s="278"/>
    </row>
    <row r="445" spans="1:14">
      <c r="A445" s="307"/>
      <c r="B445" s="278"/>
      <c r="C445" s="278"/>
      <c r="D445" s="278"/>
      <c r="E445" s="278"/>
      <c r="F445" s="278"/>
      <c r="G445" s="278"/>
      <c r="H445" s="278"/>
      <c r="I445" s="278"/>
      <c r="J445" s="278"/>
      <c r="K445" s="278"/>
      <c r="L445" s="278"/>
      <c r="M445" s="278"/>
      <c r="N445" s="278"/>
    </row>
    <row r="446" spans="1:14">
      <c r="A446" s="307"/>
      <c r="B446" s="278"/>
      <c r="C446" s="278"/>
      <c r="D446" s="278"/>
      <c r="E446" s="278"/>
      <c r="F446" s="278"/>
      <c r="G446" s="278"/>
      <c r="H446" s="278"/>
      <c r="I446" s="278"/>
      <c r="J446" s="278"/>
      <c r="K446" s="278"/>
      <c r="L446" s="278"/>
      <c r="M446" s="278"/>
      <c r="N446" s="278"/>
    </row>
    <row r="447" spans="1:14">
      <c r="A447" s="307"/>
      <c r="B447" s="278"/>
      <c r="C447" s="278"/>
      <c r="D447" s="278"/>
      <c r="E447" s="278"/>
      <c r="F447" s="278"/>
      <c r="G447" s="278"/>
      <c r="H447" s="278"/>
      <c r="I447" s="278"/>
      <c r="J447" s="278"/>
      <c r="K447" s="278"/>
      <c r="L447" s="278"/>
      <c r="M447" s="278"/>
      <c r="N447" s="278"/>
    </row>
    <row r="448" spans="1:14">
      <c r="A448" s="307"/>
      <c r="B448" s="278"/>
      <c r="C448" s="278"/>
      <c r="D448" s="278"/>
      <c r="E448" s="278"/>
      <c r="F448" s="278"/>
      <c r="G448" s="278"/>
      <c r="H448" s="278"/>
      <c r="I448" s="278"/>
      <c r="J448" s="278"/>
      <c r="K448" s="278"/>
      <c r="L448" s="278"/>
      <c r="M448" s="278"/>
      <c r="N448" s="278"/>
    </row>
    <row r="449" spans="1:14">
      <c r="A449" s="307"/>
      <c r="B449" s="278"/>
      <c r="C449" s="278"/>
      <c r="D449" s="278"/>
      <c r="E449" s="278"/>
      <c r="F449" s="278"/>
      <c r="G449" s="278"/>
      <c r="H449" s="278"/>
      <c r="I449" s="278"/>
      <c r="J449" s="278"/>
      <c r="K449" s="278"/>
      <c r="L449" s="278"/>
      <c r="M449" s="278"/>
      <c r="N449" s="278"/>
    </row>
    <row r="450" spans="1:14">
      <c r="A450" s="307"/>
      <c r="B450" s="278"/>
      <c r="C450" s="278"/>
      <c r="D450" s="278"/>
      <c r="E450" s="278"/>
      <c r="F450" s="278"/>
      <c r="G450" s="278"/>
      <c r="H450" s="278"/>
      <c r="I450" s="278"/>
      <c r="J450" s="278"/>
      <c r="K450" s="278"/>
      <c r="L450" s="278"/>
      <c r="M450" s="278"/>
      <c r="N450" s="278"/>
    </row>
    <row r="451" spans="1:14">
      <c r="A451" s="307"/>
      <c r="B451" s="278"/>
      <c r="C451" s="278"/>
      <c r="D451" s="278"/>
      <c r="E451" s="278"/>
      <c r="F451" s="278"/>
      <c r="G451" s="278"/>
      <c r="H451" s="278"/>
      <c r="I451" s="278"/>
      <c r="J451" s="278"/>
      <c r="K451" s="278"/>
      <c r="L451" s="278"/>
      <c r="M451" s="278"/>
      <c r="N451" s="278"/>
    </row>
    <row r="452" spans="1:14">
      <c r="A452" s="307"/>
      <c r="B452" s="278"/>
      <c r="C452" s="278"/>
      <c r="D452" s="278"/>
      <c r="E452" s="278"/>
      <c r="F452" s="278"/>
      <c r="G452" s="278"/>
      <c r="H452" s="278"/>
      <c r="I452" s="278"/>
      <c r="J452" s="278"/>
      <c r="K452" s="278"/>
      <c r="L452" s="278"/>
      <c r="M452" s="278"/>
      <c r="N452" s="278"/>
    </row>
    <row r="453" spans="1:14">
      <c r="A453" s="307"/>
      <c r="B453" s="278"/>
      <c r="C453" s="278"/>
      <c r="D453" s="278"/>
      <c r="E453" s="278"/>
      <c r="F453" s="278"/>
      <c r="G453" s="278"/>
      <c r="H453" s="278"/>
      <c r="I453" s="278"/>
      <c r="J453" s="278"/>
      <c r="K453" s="278"/>
      <c r="L453" s="278"/>
      <c r="M453" s="278"/>
      <c r="N453" s="278"/>
    </row>
    <row r="454" spans="1:14">
      <c r="A454" s="307"/>
      <c r="B454" s="278"/>
      <c r="C454" s="278"/>
      <c r="D454" s="278"/>
      <c r="E454" s="278"/>
      <c r="F454" s="278"/>
      <c r="G454" s="278"/>
      <c r="H454" s="278"/>
      <c r="I454" s="278"/>
      <c r="J454" s="278"/>
      <c r="K454" s="278"/>
      <c r="L454" s="278"/>
      <c r="M454" s="278"/>
      <c r="N454" s="278"/>
    </row>
    <row r="455" spans="1:14">
      <c r="A455" s="307"/>
      <c r="B455" s="278"/>
      <c r="C455" s="278"/>
      <c r="D455" s="278"/>
      <c r="E455" s="278"/>
      <c r="F455" s="278"/>
      <c r="G455" s="278"/>
      <c r="H455" s="278"/>
      <c r="I455" s="278"/>
      <c r="J455" s="278"/>
      <c r="K455" s="278"/>
      <c r="L455" s="278"/>
      <c r="M455" s="278"/>
      <c r="N455" s="278"/>
    </row>
    <row r="456" spans="1:14">
      <c r="A456" s="307"/>
      <c r="B456" s="278"/>
      <c r="C456" s="278"/>
      <c r="D456" s="278"/>
      <c r="E456" s="278"/>
      <c r="F456" s="278"/>
      <c r="G456" s="278"/>
      <c r="H456" s="278"/>
      <c r="I456" s="278"/>
      <c r="J456" s="278"/>
      <c r="K456" s="278"/>
      <c r="L456" s="278"/>
      <c r="M456" s="278"/>
      <c r="N456" s="278"/>
    </row>
    <row r="457" spans="1:14">
      <c r="A457" s="307"/>
      <c r="B457" s="278"/>
      <c r="C457" s="278"/>
      <c r="D457" s="278"/>
      <c r="E457" s="278"/>
      <c r="F457" s="278"/>
      <c r="G457" s="278"/>
      <c r="H457" s="278"/>
      <c r="I457" s="278"/>
      <c r="J457" s="278"/>
      <c r="K457" s="278"/>
      <c r="L457" s="278"/>
      <c r="M457" s="278"/>
      <c r="N457" s="278"/>
    </row>
    <row r="458" spans="1:14">
      <c r="A458" s="307"/>
      <c r="B458" s="278"/>
      <c r="C458" s="278"/>
      <c r="D458" s="278"/>
      <c r="E458" s="278"/>
      <c r="F458" s="278"/>
      <c r="G458" s="278"/>
      <c r="H458" s="278"/>
      <c r="I458" s="278"/>
      <c r="J458" s="278"/>
      <c r="K458" s="278"/>
      <c r="L458" s="278"/>
      <c r="M458" s="278"/>
      <c r="N458" s="278"/>
    </row>
    <row r="459" spans="1:14">
      <c r="A459" s="307"/>
      <c r="B459" s="278"/>
      <c r="C459" s="278"/>
      <c r="D459" s="278"/>
      <c r="E459" s="278"/>
      <c r="F459" s="278"/>
      <c r="G459" s="278"/>
      <c r="H459" s="278"/>
      <c r="I459" s="278"/>
      <c r="J459" s="278"/>
      <c r="K459" s="278"/>
      <c r="L459" s="278"/>
      <c r="M459" s="278"/>
      <c r="N459" s="278"/>
    </row>
    <row r="460" spans="1:14">
      <c r="A460" s="307"/>
      <c r="B460" s="278"/>
      <c r="C460" s="278"/>
      <c r="D460" s="278"/>
      <c r="E460" s="278"/>
      <c r="F460" s="278"/>
      <c r="G460" s="278"/>
      <c r="H460" s="278"/>
      <c r="I460" s="278"/>
      <c r="J460" s="278"/>
      <c r="K460" s="278"/>
      <c r="L460" s="278"/>
      <c r="M460" s="278"/>
      <c r="N460" s="278"/>
    </row>
    <row r="461" spans="1:14">
      <c r="A461" s="307"/>
      <c r="B461" s="278"/>
      <c r="C461" s="278"/>
      <c r="D461" s="278"/>
      <c r="E461" s="278"/>
      <c r="F461" s="278"/>
      <c r="G461" s="278"/>
      <c r="H461" s="278"/>
      <c r="I461" s="278"/>
      <c r="J461" s="278"/>
      <c r="K461" s="278"/>
      <c r="L461" s="278"/>
      <c r="M461" s="278"/>
      <c r="N461" s="278"/>
    </row>
    <row r="462" spans="1:14">
      <c r="A462" s="307"/>
      <c r="B462" s="278"/>
      <c r="C462" s="278"/>
      <c r="D462" s="278"/>
      <c r="E462" s="278"/>
      <c r="F462" s="278"/>
      <c r="G462" s="278"/>
      <c r="H462" s="278"/>
      <c r="I462" s="278"/>
      <c r="J462" s="278"/>
      <c r="K462" s="278"/>
      <c r="L462" s="278"/>
      <c r="M462" s="278"/>
      <c r="N462" s="278"/>
    </row>
    <row r="463" spans="1:14">
      <c r="A463" s="307"/>
      <c r="B463" s="278"/>
      <c r="C463" s="278"/>
      <c r="D463" s="278"/>
      <c r="E463" s="278"/>
      <c r="F463" s="278"/>
      <c r="G463" s="278"/>
      <c r="H463" s="278"/>
      <c r="I463" s="278"/>
      <c r="J463" s="278"/>
      <c r="K463" s="278"/>
      <c r="L463" s="278"/>
      <c r="M463" s="278"/>
      <c r="N463" s="278"/>
    </row>
    <row r="464" spans="1:14">
      <c r="A464" s="307"/>
      <c r="B464" s="278"/>
      <c r="C464" s="278"/>
      <c r="D464" s="278"/>
      <c r="E464" s="278"/>
      <c r="F464" s="278"/>
      <c r="G464" s="278"/>
      <c r="H464" s="278"/>
      <c r="I464" s="278"/>
      <c r="J464" s="278"/>
      <c r="K464" s="278"/>
      <c r="L464" s="278"/>
      <c r="M464" s="278"/>
      <c r="N464" s="278"/>
    </row>
    <row r="465" spans="1:14">
      <c r="A465" s="307"/>
      <c r="B465" s="278"/>
      <c r="C465" s="278"/>
      <c r="D465" s="278"/>
      <c r="E465" s="278"/>
      <c r="F465" s="278"/>
      <c r="G465" s="278"/>
      <c r="H465" s="278"/>
      <c r="I465" s="278"/>
      <c r="J465" s="278"/>
      <c r="K465" s="278"/>
      <c r="L465" s="278"/>
      <c r="M465" s="278"/>
      <c r="N465" s="278"/>
    </row>
    <row r="466" spans="1:14">
      <c r="A466" s="307"/>
      <c r="B466" s="278"/>
      <c r="C466" s="278"/>
      <c r="D466" s="278"/>
      <c r="E466" s="278"/>
      <c r="F466" s="278"/>
      <c r="G466" s="278"/>
      <c r="H466" s="278"/>
      <c r="I466" s="278"/>
      <c r="J466" s="278"/>
      <c r="K466" s="278"/>
      <c r="L466" s="278"/>
      <c r="M466" s="278"/>
      <c r="N466" s="278"/>
    </row>
    <row r="467" spans="1:14">
      <c r="A467" s="307"/>
      <c r="B467" s="278"/>
      <c r="C467" s="278"/>
      <c r="D467" s="278"/>
      <c r="E467" s="278"/>
      <c r="F467" s="278"/>
      <c r="G467" s="278"/>
      <c r="H467" s="278"/>
      <c r="I467" s="278"/>
      <c r="J467" s="278"/>
      <c r="K467" s="278"/>
      <c r="L467" s="278"/>
      <c r="M467" s="278"/>
      <c r="N467" s="278"/>
    </row>
    <row r="468" spans="1:14">
      <c r="A468" s="307"/>
      <c r="B468" s="278"/>
      <c r="C468" s="278"/>
      <c r="D468" s="278"/>
      <c r="E468" s="278"/>
      <c r="F468" s="278"/>
      <c r="G468" s="278"/>
      <c r="H468" s="278"/>
      <c r="I468" s="278"/>
      <c r="J468" s="278"/>
      <c r="K468" s="278"/>
      <c r="L468" s="278"/>
      <c r="M468" s="278"/>
      <c r="N468" s="278"/>
    </row>
    <row r="469" spans="1:14">
      <c r="A469" s="307"/>
      <c r="B469" s="278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8"/>
    </row>
    <row r="470" spans="1:14">
      <c r="A470" s="307"/>
      <c r="B470" s="278"/>
      <c r="C470" s="278"/>
      <c r="D470" s="278"/>
      <c r="E470" s="278"/>
      <c r="F470" s="278"/>
      <c r="G470" s="278"/>
      <c r="H470" s="278"/>
      <c r="I470" s="278"/>
      <c r="J470" s="278"/>
      <c r="K470" s="278"/>
      <c r="L470" s="278"/>
      <c r="M470" s="278"/>
      <c r="N470" s="278"/>
    </row>
    <row r="471" spans="1:14">
      <c r="A471" s="307"/>
      <c r="B471" s="278"/>
      <c r="C471" s="278"/>
      <c r="D471" s="278"/>
      <c r="E471" s="278"/>
      <c r="F471" s="278"/>
      <c r="G471" s="278"/>
      <c r="H471" s="278"/>
      <c r="I471" s="278"/>
      <c r="J471" s="278"/>
      <c r="K471" s="278"/>
      <c r="L471" s="278"/>
      <c r="M471" s="278"/>
      <c r="N471" s="278"/>
    </row>
    <row r="472" spans="1:14">
      <c r="A472" s="307"/>
      <c r="B472" s="278"/>
      <c r="C472" s="278"/>
      <c r="D472" s="278"/>
      <c r="E472" s="278"/>
      <c r="F472" s="278"/>
      <c r="G472" s="278"/>
      <c r="H472" s="278"/>
      <c r="I472" s="278"/>
      <c r="J472" s="278"/>
      <c r="K472" s="278"/>
      <c r="L472" s="278"/>
      <c r="M472" s="278"/>
      <c r="N472" s="278"/>
    </row>
    <row r="473" spans="1:14">
      <c r="A473" s="307"/>
      <c r="B473" s="278"/>
      <c r="C473" s="278"/>
      <c r="D473" s="278"/>
      <c r="E473" s="278"/>
      <c r="F473" s="278"/>
      <c r="G473" s="278"/>
      <c r="H473" s="278"/>
      <c r="I473" s="278"/>
      <c r="J473" s="278"/>
      <c r="K473" s="278"/>
      <c r="L473" s="278"/>
      <c r="M473" s="278"/>
      <c r="N473" s="278"/>
    </row>
    <row r="474" spans="1:14">
      <c r="A474" s="307"/>
      <c r="B474" s="278"/>
      <c r="C474" s="278"/>
      <c r="D474" s="278"/>
      <c r="E474" s="278"/>
      <c r="F474" s="278"/>
      <c r="G474" s="278"/>
      <c r="H474" s="278"/>
      <c r="I474" s="278"/>
      <c r="J474" s="278"/>
      <c r="K474" s="278"/>
      <c r="L474" s="278"/>
      <c r="M474" s="278"/>
      <c r="N474" s="278"/>
    </row>
    <row r="475" spans="1:14">
      <c r="A475" s="307"/>
      <c r="B475" s="278"/>
      <c r="C475" s="278"/>
      <c r="D475" s="278"/>
      <c r="E475" s="278"/>
      <c r="F475" s="278"/>
      <c r="G475" s="278"/>
      <c r="H475" s="278"/>
      <c r="I475" s="278"/>
      <c r="J475" s="278"/>
      <c r="K475" s="278"/>
      <c r="L475" s="278"/>
      <c r="M475" s="278"/>
      <c r="N475" s="278"/>
    </row>
    <row r="476" spans="1:14">
      <c r="A476" s="307"/>
      <c r="B476" s="278"/>
      <c r="C476" s="278"/>
      <c r="D476" s="278"/>
      <c r="E476" s="278"/>
      <c r="F476" s="278"/>
      <c r="G476" s="278"/>
      <c r="H476" s="278"/>
      <c r="I476" s="278"/>
      <c r="J476" s="278"/>
      <c r="K476" s="278"/>
      <c r="L476" s="278"/>
      <c r="M476" s="278"/>
      <c r="N476" s="278"/>
    </row>
    <row r="477" spans="1:14">
      <c r="A477" s="307"/>
      <c r="B477" s="278"/>
      <c r="C477" s="278"/>
      <c r="D477" s="278"/>
      <c r="E477" s="278"/>
      <c r="F477" s="278"/>
      <c r="G477" s="278"/>
      <c r="H477" s="278"/>
      <c r="I477" s="278"/>
      <c r="J477" s="278"/>
      <c r="K477" s="278"/>
      <c r="L477" s="278"/>
      <c r="M477" s="278"/>
      <c r="N477" s="278"/>
    </row>
    <row r="478" spans="1:14">
      <c r="A478" s="307"/>
      <c r="B478" s="278"/>
      <c r="C478" s="278"/>
      <c r="D478" s="278"/>
      <c r="E478" s="278"/>
      <c r="F478" s="278"/>
      <c r="G478" s="278"/>
      <c r="H478" s="278"/>
      <c r="I478" s="278"/>
      <c r="J478" s="278"/>
      <c r="K478" s="278"/>
      <c r="L478" s="278"/>
      <c r="M478" s="278"/>
      <c r="N478" s="278"/>
    </row>
    <row r="479" spans="1:14">
      <c r="A479" s="307"/>
      <c r="B479" s="278"/>
      <c r="C479" s="278"/>
      <c r="D479" s="278"/>
      <c r="E479" s="278"/>
      <c r="F479" s="278"/>
      <c r="G479" s="278"/>
      <c r="H479" s="278"/>
      <c r="I479" s="278"/>
      <c r="J479" s="278"/>
      <c r="K479" s="278"/>
      <c r="L479" s="278"/>
      <c r="M479" s="278"/>
      <c r="N479" s="278"/>
    </row>
    <row r="480" spans="1:14">
      <c r="A480" s="307"/>
      <c r="B480" s="278"/>
      <c r="C480" s="278"/>
      <c r="D480" s="278"/>
      <c r="E480" s="278"/>
      <c r="F480" s="278"/>
      <c r="G480" s="278"/>
      <c r="H480" s="278"/>
      <c r="I480" s="278"/>
      <c r="J480" s="278"/>
      <c r="K480" s="278"/>
      <c r="L480" s="278"/>
      <c r="M480" s="278"/>
      <c r="N480" s="278"/>
    </row>
    <row r="481" spans="1:14">
      <c r="A481" s="307"/>
      <c r="B481" s="278"/>
      <c r="C481" s="278"/>
      <c r="D481" s="278"/>
      <c r="E481" s="278"/>
      <c r="F481" s="278"/>
      <c r="G481" s="278"/>
      <c r="H481" s="278"/>
      <c r="I481" s="278"/>
      <c r="J481" s="278"/>
      <c r="K481" s="278"/>
      <c r="L481" s="278"/>
      <c r="M481" s="278"/>
      <c r="N481" s="278"/>
    </row>
    <row r="482" spans="1:14">
      <c r="A482" s="307"/>
      <c r="B482" s="278"/>
      <c r="C482" s="278"/>
      <c r="D482" s="278"/>
      <c r="E482" s="278"/>
      <c r="F482" s="278"/>
      <c r="G482" s="278"/>
      <c r="H482" s="278"/>
      <c r="I482" s="278"/>
      <c r="J482" s="278"/>
      <c r="K482" s="278"/>
      <c r="L482" s="278"/>
      <c r="M482" s="278"/>
      <c r="N482" s="278"/>
    </row>
    <row r="483" spans="1:14">
      <c r="A483" s="307"/>
      <c r="B483" s="278"/>
      <c r="C483" s="278"/>
      <c r="D483" s="278"/>
      <c r="E483" s="278"/>
      <c r="F483" s="278"/>
      <c r="G483" s="278"/>
      <c r="H483" s="278"/>
      <c r="I483" s="278"/>
      <c r="J483" s="278"/>
      <c r="K483" s="278"/>
      <c r="L483" s="278"/>
      <c r="M483" s="278"/>
      <c r="N483" s="278"/>
    </row>
    <row r="484" spans="1:14">
      <c r="A484" s="307"/>
      <c r="B484" s="278"/>
      <c r="C484" s="278"/>
      <c r="D484" s="278"/>
      <c r="E484" s="278"/>
      <c r="F484" s="278"/>
      <c r="G484" s="278"/>
      <c r="H484" s="278"/>
      <c r="I484" s="278"/>
      <c r="J484" s="278"/>
      <c r="K484" s="278"/>
      <c r="L484" s="278"/>
      <c r="M484" s="278"/>
      <c r="N484" s="278"/>
    </row>
    <row r="485" spans="1:14">
      <c r="A485" s="307"/>
      <c r="B485" s="278"/>
      <c r="C485" s="278"/>
      <c r="D485" s="278"/>
      <c r="E485" s="278"/>
      <c r="F485" s="278"/>
      <c r="G485" s="278"/>
      <c r="H485" s="278"/>
      <c r="I485" s="278"/>
      <c r="J485" s="278"/>
      <c r="K485" s="278"/>
      <c r="L485" s="278"/>
      <c r="M485" s="278"/>
      <c r="N485" s="278"/>
    </row>
    <row r="486" spans="1:14">
      <c r="A486" s="307"/>
      <c r="B486" s="278"/>
      <c r="C486" s="278"/>
      <c r="D486" s="278"/>
      <c r="E486" s="278"/>
      <c r="F486" s="278"/>
      <c r="G486" s="278"/>
      <c r="H486" s="278"/>
      <c r="I486" s="278"/>
      <c r="J486" s="278"/>
      <c r="K486" s="278"/>
      <c r="L486" s="278"/>
      <c r="M486" s="278"/>
      <c r="N486" s="278"/>
    </row>
    <row r="487" spans="1:14">
      <c r="A487" s="307"/>
      <c r="B487" s="278"/>
      <c r="C487" s="278"/>
      <c r="D487" s="278"/>
      <c r="E487" s="278"/>
      <c r="F487" s="278"/>
      <c r="G487" s="278"/>
      <c r="H487" s="278"/>
      <c r="I487" s="278"/>
      <c r="J487" s="278"/>
      <c r="K487" s="278"/>
      <c r="L487" s="278"/>
      <c r="M487" s="278"/>
      <c r="N487" s="278"/>
    </row>
    <row r="488" spans="1:14">
      <c r="A488" s="307"/>
      <c r="B488" s="278"/>
      <c r="C488" s="278"/>
      <c r="D488" s="278"/>
      <c r="E488" s="278"/>
      <c r="F488" s="278"/>
      <c r="G488" s="278"/>
      <c r="H488" s="278"/>
      <c r="I488" s="278"/>
      <c r="J488" s="278"/>
      <c r="K488" s="278"/>
      <c r="L488" s="278"/>
      <c r="M488" s="278"/>
      <c r="N488" s="278"/>
    </row>
    <row r="489" spans="1:14">
      <c r="A489" s="307"/>
      <c r="B489" s="278"/>
      <c r="C489" s="278"/>
      <c r="D489" s="278"/>
      <c r="E489" s="278"/>
      <c r="F489" s="278"/>
      <c r="G489" s="278"/>
      <c r="H489" s="278"/>
      <c r="I489" s="278"/>
      <c r="J489" s="278"/>
      <c r="K489" s="278"/>
      <c r="L489" s="278"/>
      <c r="M489" s="278"/>
      <c r="N489" s="278"/>
    </row>
    <row r="490" spans="1:14">
      <c r="A490" s="307"/>
      <c r="B490" s="278"/>
      <c r="C490" s="278"/>
      <c r="D490" s="278"/>
      <c r="E490" s="278"/>
      <c r="F490" s="278"/>
      <c r="G490" s="278"/>
      <c r="H490" s="278"/>
      <c r="I490" s="278"/>
      <c r="J490" s="278"/>
      <c r="K490" s="278"/>
      <c r="L490" s="278"/>
      <c r="M490" s="278"/>
      <c r="N490" s="278"/>
    </row>
    <row r="491" spans="1:14">
      <c r="A491" s="307"/>
      <c r="B491" s="278"/>
      <c r="C491" s="278"/>
      <c r="D491" s="278"/>
      <c r="E491" s="278"/>
      <c r="F491" s="278"/>
      <c r="G491" s="278"/>
      <c r="H491" s="278"/>
      <c r="I491" s="278"/>
      <c r="J491" s="278"/>
      <c r="K491" s="278"/>
      <c r="L491" s="278"/>
      <c r="M491" s="278"/>
      <c r="N491" s="278"/>
    </row>
    <row r="492" spans="1:14">
      <c r="A492" s="307"/>
      <c r="B492" s="278"/>
      <c r="C492" s="278"/>
      <c r="D492" s="278"/>
      <c r="E492" s="278"/>
      <c r="F492" s="278"/>
      <c r="G492" s="278"/>
      <c r="H492" s="278"/>
      <c r="I492" s="278"/>
      <c r="J492" s="278"/>
      <c r="K492" s="278"/>
      <c r="L492" s="278"/>
      <c r="M492" s="278"/>
      <c r="N492" s="278"/>
    </row>
    <row r="493" spans="1:14">
      <c r="A493" s="307"/>
      <c r="B493" s="278"/>
      <c r="C493" s="278"/>
      <c r="D493" s="278"/>
      <c r="E493" s="278"/>
      <c r="F493" s="278"/>
      <c r="G493" s="278"/>
      <c r="H493" s="278"/>
      <c r="I493" s="278"/>
      <c r="J493" s="278"/>
      <c r="K493" s="278"/>
      <c r="L493" s="278"/>
      <c r="M493" s="278"/>
      <c r="N493" s="278"/>
    </row>
    <row r="494" spans="1:14">
      <c r="A494" s="307"/>
      <c r="B494" s="278"/>
      <c r="C494" s="278"/>
      <c r="D494" s="278"/>
      <c r="E494" s="278"/>
      <c r="F494" s="278"/>
      <c r="G494" s="278"/>
      <c r="H494" s="278"/>
      <c r="I494" s="278"/>
      <c r="J494" s="278"/>
      <c r="K494" s="278"/>
      <c r="L494" s="278"/>
      <c r="M494" s="278"/>
      <c r="N494" s="278"/>
    </row>
    <row r="495" spans="1:14">
      <c r="A495" s="307"/>
      <c r="B495" s="278"/>
      <c r="C495" s="278"/>
      <c r="D495" s="278"/>
      <c r="E495" s="278"/>
      <c r="F495" s="278"/>
      <c r="G495" s="278"/>
      <c r="H495" s="278"/>
      <c r="I495" s="278"/>
      <c r="J495" s="278"/>
      <c r="K495" s="278"/>
      <c r="L495" s="278"/>
      <c r="M495" s="278"/>
      <c r="N495" s="278"/>
    </row>
    <row r="496" spans="1:14">
      <c r="A496" s="307"/>
      <c r="B496" s="278"/>
      <c r="C496" s="278"/>
      <c r="D496" s="278"/>
      <c r="E496" s="278"/>
      <c r="F496" s="278"/>
      <c r="G496" s="278"/>
      <c r="H496" s="278"/>
      <c r="I496" s="278"/>
      <c r="J496" s="278"/>
      <c r="K496" s="278"/>
      <c r="L496" s="278"/>
      <c r="M496" s="278"/>
      <c r="N496" s="278"/>
    </row>
    <row r="497" spans="1:14">
      <c r="A497" s="307"/>
      <c r="B497" s="278"/>
      <c r="C497" s="278"/>
      <c r="D497" s="278"/>
      <c r="E497" s="278"/>
      <c r="F497" s="278"/>
      <c r="G497" s="278"/>
      <c r="H497" s="278"/>
      <c r="I497" s="278"/>
      <c r="J497" s="278"/>
      <c r="K497" s="278"/>
      <c r="L497" s="278"/>
      <c r="M497" s="278"/>
      <c r="N497" s="278"/>
    </row>
    <row r="498" spans="1:14">
      <c r="A498" s="307"/>
      <c r="B498" s="278"/>
      <c r="C498" s="278"/>
      <c r="D498" s="278"/>
      <c r="E498" s="278"/>
      <c r="F498" s="278"/>
      <c r="G498" s="278"/>
      <c r="H498" s="278"/>
      <c r="I498" s="278"/>
      <c r="J498" s="278"/>
      <c r="K498" s="278"/>
      <c r="L498" s="278"/>
      <c r="M498" s="278"/>
      <c r="N498" s="278"/>
    </row>
    <row r="499" spans="1:14">
      <c r="A499" s="307"/>
      <c r="B499" s="278"/>
      <c r="C499" s="278"/>
      <c r="D499" s="278"/>
      <c r="E499" s="278"/>
      <c r="F499" s="278"/>
      <c r="G499" s="278"/>
      <c r="H499" s="278"/>
      <c r="I499" s="278"/>
      <c r="J499" s="278"/>
      <c r="K499" s="278"/>
      <c r="L499" s="278"/>
      <c r="M499" s="278"/>
      <c r="N499" s="278"/>
    </row>
    <row r="500" spans="1:14">
      <c r="A500" s="307"/>
      <c r="B500" s="278"/>
      <c r="C500" s="278"/>
      <c r="D500" s="278"/>
      <c r="E500" s="278"/>
      <c r="F500" s="278"/>
      <c r="G500" s="278"/>
      <c r="H500" s="278"/>
      <c r="I500" s="278"/>
      <c r="J500" s="278"/>
      <c r="K500" s="278"/>
      <c r="L500" s="278"/>
      <c r="M500" s="278"/>
      <c r="N500" s="278"/>
    </row>
    <row r="501" spans="1:14">
      <c r="A501" s="307"/>
      <c r="B501" s="278"/>
      <c r="C501" s="278"/>
      <c r="D501" s="278"/>
      <c r="E501" s="278"/>
      <c r="F501" s="278"/>
      <c r="G501" s="278"/>
      <c r="H501" s="278"/>
      <c r="I501" s="278"/>
      <c r="J501" s="278"/>
      <c r="K501" s="278"/>
      <c r="L501" s="278"/>
      <c r="M501" s="278"/>
      <c r="N501" s="278"/>
    </row>
    <row r="502" spans="1:14">
      <c r="A502" s="307"/>
      <c r="B502" s="278"/>
      <c r="C502" s="278"/>
      <c r="D502" s="278"/>
      <c r="E502" s="278"/>
      <c r="F502" s="278"/>
      <c r="G502" s="278"/>
      <c r="H502" s="278"/>
      <c r="I502" s="278"/>
      <c r="J502" s="278"/>
      <c r="K502" s="278"/>
      <c r="L502" s="278"/>
      <c r="M502" s="278"/>
      <c r="N502" s="278"/>
    </row>
    <row r="503" spans="1:14">
      <c r="A503" s="307"/>
      <c r="B503" s="278"/>
      <c r="C503" s="278"/>
      <c r="D503" s="278"/>
      <c r="E503" s="278"/>
      <c r="F503" s="278"/>
      <c r="G503" s="278"/>
      <c r="H503" s="278"/>
      <c r="I503" s="278"/>
      <c r="J503" s="278"/>
      <c r="K503" s="278"/>
      <c r="L503" s="278"/>
      <c r="M503" s="278"/>
      <c r="N503" s="278"/>
    </row>
    <row r="504" spans="1:14">
      <c r="A504" s="307"/>
      <c r="B504" s="278"/>
      <c r="C504" s="278"/>
      <c r="D504" s="278"/>
      <c r="E504" s="278"/>
      <c r="F504" s="278"/>
      <c r="G504" s="278"/>
      <c r="H504" s="278"/>
      <c r="I504" s="278"/>
      <c r="J504" s="278"/>
      <c r="K504" s="278"/>
      <c r="L504" s="278"/>
      <c r="M504" s="278"/>
      <c r="N504" s="278"/>
    </row>
    <row r="505" spans="1:14">
      <c r="A505" s="307"/>
      <c r="B505" s="278"/>
      <c r="C505" s="278"/>
      <c r="D505" s="278"/>
      <c r="E505" s="278"/>
      <c r="F505" s="278"/>
      <c r="G505" s="278"/>
      <c r="H505" s="278"/>
      <c r="I505" s="278"/>
      <c r="J505" s="278"/>
      <c r="K505" s="278"/>
      <c r="L505" s="278"/>
      <c r="M505" s="278"/>
      <c r="N505" s="278"/>
    </row>
    <row r="506" spans="1:14">
      <c r="A506" s="307"/>
      <c r="B506" s="278"/>
      <c r="C506" s="278"/>
      <c r="D506" s="278"/>
      <c r="E506" s="278"/>
      <c r="F506" s="278"/>
      <c r="G506" s="278"/>
      <c r="H506" s="278"/>
      <c r="I506" s="278"/>
      <c r="J506" s="278"/>
      <c r="K506" s="278"/>
      <c r="L506" s="278"/>
      <c r="M506" s="278"/>
      <c r="N506" s="278"/>
    </row>
    <row r="507" spans="1:14">
      <c r="A507" s="307"/>
      <c r="B507" s="278"/>
      <c r="C507" s="278"/>
      <c r="D507" s="278"/>
      <c r="E507" s="278"/>
      <c r="F507" s="278"/>
      <c r="G507" s="278"/>
      <c r="H507" s="278"/>
      <c r="I507" s="278"/>
      <c r="J507" s="278"/>
      <c r="K507" s="278"/>
      <c r="L507" s="278"/>
      <c r="M507" s="278"/>
      <c r="N507" s="278"/>
    </row>
    <row r="508" spans="1:14">
      <c r="A508" s="307"/>
      <c r="B508" s="278"/>
      <c r="C508" s="278"/>
      <c r="D508" s="278"/>
      <c r="E508" s="278"/>
      <c r="F508" s="278"/>
      <c r="G508" s="278"/>
      <c r="H508" s="278"/>
      <c r="I508" s="278"/>
      <c r="J508" s="278"/>
      <c r="K508" s="278"/>
      <c r="L508" s="278"/>
      <c r="M508" s="278"/>
      <c r="N508" s="278"/>
    </row>
    <row r="509" spans="1:14">
      <c r="A509" s="307"/>
      <c r="B509" s="278"/>
      <c r="C509" s="278"/>
      <c r="D509" s="278"/>
      <c r="E509" s="278"/>
      <c r="F509" s="278"/>
      <c r="G509" s="278"/>
      <c r="H509" s="278"/>
      <c r="I509" s="278"/>
      <c r="J509" s="278"/>
      <c r="K509" s="278"/>
      <c r="L509" s="278"/>
      <c r="M509" s="278"/>
      <c r="N509" s="278"/>
    </row>
    <row r="510" spans="1:14">
      <c r="A510" s="307"/>
      <c r="B510" s="278"/>
      <c r="C510" s="278"/>
      <c r="D510" s="278"/>
      <c r="E510" s="278"/>
      <c r="F510" s="278"/>
      <c r="G510" s="278"/>
      <c r="H510" s="278"/>
      <c r="I510" s="278"/>
      <c r="J510" s="278"/>
      <c r="K510" s="278"/>
      <c r="L510" s="278"/>
      <c r="M510" s="278"/>
      <c r="N510" s="278"/>
    </row>
    <row r="511" spans="1:14">
      <c r="A511" s="307"/>
      <c r="B511" s="278"/>
      <c r="C511" s="278"/>
      <c r="D511" s="278"/>
      <c r="E511" s="278"/>
      <c r="F511" s="278"/>
      <c r="G511" s="278"/>
      <c r="H511" s="278"/>
      <c r="I511" s="278"/>
      <c r="J511" s="278"/>
      <c r="K511" s="278"/>
      <c r="L511" s="278"/>
      <c r="M511" s="278"/>
      <c r="N511" s="278"/>
    </row>
    <row r="512" spans="1:14">
      <c r="A512" s="307"/>
      <c r="B512" s="278"/>
      <c r="C512" s="278"/>
      <c r="D512" s="278"/>
      <c r="E512" s="278"/>
      <c r="F512" s="278"/>
      <c r="G512" s="278"/>
      <c r="H512" s="278"/>
      <c r="I512" s="278"/>
      <c r="J512" s="278"/>
      <c r="K512" s="278"/>
      <c r="L512" s="278"/>
      <c r="M512" s="278"/>
      <c r="N512" s="278"/>
    </row>
    <row r="513" spans="1:14">
      <c r="A513" s="307"/>
      <c r="B513" s="278"/>
      <c r="C513" s="278"/>
      <c r="D513" s="278"/>
      <c r="E513" s="278"/>
      <c r="F513" s="278"/>
      <c r="G513" s="278"/>
      <c r="H513" s="278"/>
      <c r="I513" s="278"/>
      <c r="J513" s="278"/>
      <c r="K513" s="278"/>
      <c r="L513" s="278"/>
      <c r="M513" s="278"/>
      <c r="N513" s="278"/>
    </row>
    <row r="514" spans="1:14">
      <c r="A514" s="307"/>
      <c r="B514" s="278"/>
      <c r="C514" s="278"/>
      <c r="D514" s="278"/>
      <c r="E514" s="278"/>
      <c r="F514" s="278"/>
      <c r="G514" s="278"/>
      <c r="H514" s="278"/>
      <c r="I514" s="278"/>
      <c r="J514" s="278"/>
      <c r="K514" s="278"/>
      <c r="L514" s="278"/>
      <c r="M514" s="278"/>
      <c r="N514" s="278"/>
    </row>
    <row r="515" spans="1:14">
      <c r="A515" s="307"/>
      <c r="B515" s="278"/>
      <c r="C515" s="278"/>
      <c r="D515" s="278"/>
      <c r="E515" s="278"/>
      <c r="F515" s="278"/>
      <c r="G515" s="278"/>
      <c r="H515" s="278"/>
      <c r="I515" s="278"/>
      <c r="J515" s="278"/>
      <c r="K515" s="278"/>
      <c r="L515" s="278"/>
      <c r="M515" s="278"/>
      <c r="N515" s="278"/>
    </row>
    <row r="516" spans="1:14">
      <c r="A516" s="307"/>
      <c r="B516" s="278"/>
      <c r="C516" s="278"/>
      <c r="D516" s="278"/>
      <c r="E516" s="278"/>
      <c r="F516" s="278"/>
      <c r="G516" s="278"/>
      <c r="H516" s="278"/>
      <c r="I516" s="278"/>
      <c r="J516" s="278"/>
      <c r="K516" s="278"/>
      <c r="L516" s="278"/>
      <c r="M516" s="278"/>
      <c r="N516" s="278"/>
    </row>
    <row r="517" spans="1:14">
      <c r="A517" s="307"/>
      <c r="B517" s="278"/>
      <c r="C517" s="278"/>
      <c r="D517" s="278"/>
      <c r="E517" s="278"/>
      <c r="F517" s="278"/>
      <c r="G517" s="278"/>
      <c r="H517" s="278"/>
      <c r="I517" s="278"/>
      <c r="J517" s="278"/>
      <c r="K517" s="278"/>
      <c r="L517" s="278"/>
      <c r="M517" s="278"/>
      <c r="N517" s="278"/>
    </row>
    <row r="518" spans="1:14">
      <c r="A518" s="307"/>
      <c r="B518" s="278"/>
      <c r="C518" s="278"/>
      <c r="D518" s="278"/>
      <c r="E518" s="278"/>
      <c r="F518" s="278"/>
      <c r="G518" s="278"/>
      <c r="H518" s="278"/>
      <c r="I518" s="278"/>
      <c r="J518" s="278"/>
      <c r="K518" s="278"/>
      <c r="L518" s="278"/>
      <c r="M518" s="278"/>
      <c r="N518" s="278"/>
    </row>
    <row r="519" spans="1:14">
      <c r="A519" s="307"/>
      <c r="B519" s="278"/>
      <c r="C519" s="278"/>
      <c r="D519" s="278"/>
      <c r="E519" s="278"/>
      <c r="F519" s="278"/>
      <c r="G519" s="278"/>
      <c r="H519" s="278"/>
      <c r="I519" s="278"/>
      <c r="J519" s="278"/>
      <c r="K519" s="278"/>
      <c r="L519" s="278"/>
      <c r="M519" s="278"/>
      <c r="N519" s="278"/>
    </row>
    <row r="520" spans="1:14">
      <c r="A520" s="307"/>
      <c r="B520" s="278"/>
      <c r="C520" s="278"/>
      <c r="D520" s="278"/>
      <c r="E520" s="278"/>
      <c r="F520" s="278"/>
      <c r="G520" s="278"/>
      <c r="H520" s="278"/>
      <c r="I520" s="278"/>
      <c r="J520" s="278"/>
      <c r="K520" s="278"/>
      <c r="L520" s="278"/>
      <c r="M520" s="278"/>
      <c r="N520" s="278"/>
    </row>
    <row r="521" spans="1:14">
      <c r="A521" s="307"/>
      <c r="B521" s="278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8"/>
    </row>
    <row r="522" spans="1:14">
      <c r="A522" s="307"/>
      <c r="B522" s="278"/>
      <c r="C522" s="278"/>
      <c r="D522" s="278"/>
      <c r="E522" s="278"/>
      <c r="F522" s="278"/>
      <c r="G522" s="278"/>
      <c r="H522" s="278"/>
      <c r="I522" s="278"/>
      <c r="J522" s="278"/>
      <c r="K522" s="278"/>
      <c r="L522" s="278"/>
      <c r="M522" s="278"/>
      <c r="N522" s="278"/>
    </row>
    <row r="523" spans="1:14">
      <c r="A523" s="307"/>
      <c r="B523" s="278"/>
      <c r="C523" s="278"/>
      <c r="D523" s="278"/>
      <c r="E523" s="278"/>
      <c r="F523" s="278"/>
      <c r="G523" s="278"/>
      <c r="H523" s="278"/>
      <c r="I523" s="278"/>
      <c r="J523" s="278"/>
      <c r="K523" s="278"/>
      <c r="L523" s="278"/>
      <c r="M523" s="278"/>
      <c r="N523" s="278"/>
    </row>
    <row r="524" spans="1:14">
      <c r="A524" s="307"/>
      <c r="B524" s="278"/>
      <c r="C524" s="278"/>
      <c r="D524" s="278"/>
      <c r="E524" s="278"/>
      <c r="F524" s="278"/>
      <c r="G524" s="278"/>
      <c r="H524" s="278"/>
      <c r="I524" s="278"/>
      <c r="J524" s="278"/>
      <c r="K524" s="278"/>
      <c r="L524" s="278"/>
      <c r="M524" s="278"/>
      <c r="N524" s="278"/>
    </row>
    <row r="525" spans="1:14">
      <c r="A525" s="307"/>
      <c r="B525" s="278"/>
      <c r="C525" s="278"/>
      <c r="D525" s="278"/>
      <c r="E525" s="278"/>
      <c r="F525" s="278"/>
      <c r="G525" s="278"/>
      <c r="H525" s="278"/>
      <c r="I525" s="278"/>
      <c r="J525" s="278"/>
      <c r="K525" s="278"/>
      <c r="L525" s="278"/>
      <c r="M525" s="278"/>
      <c r="N525" s="278"/>
    </row>
    <row r="526" spans="1:14">
      <c r="A526" s="307"/>
      <c r="B526" s="278"/>
      <c r="C526" s="278"/>
      <c r="D526" s="278"/>
      <c r="E526" s="278"/>
      <c r="F526" s="278"/>
      <c r="G526" s="278"/>
      <c r="H526" s="278"/>
      <c r="I526" s="278"/>
      <c r="J526" s="278"/>
      <c r="K526" s="278"/>
      <c r="L526" s="278"/>
      <c r="M526" s="278"/>
      <c r="N526" s="278"/>
    </row>
    <row r="527" spans="1:14">
      <c r="A527" s="307"/>
      <c r="B527" s="278"/>
      <c r="C527" s="278"/>
      <c r="D527" s="278"/>
      <c r="E527" s="278"/>
      <c r="F527" s="278"/>
      <c r="G527" s="278"/>
      <c r="H527" s="278"/>
      <c r="I527" s="278"/>
      <c r="J527" s="278"/>
      <c r="K527" s="278"/>
      <c r="L527" s="278"/>
      <c r="M527" s="278"/>
      <c r="N527" s="278"/>
    </row>
    <row r="528" spans="1:14">
      <c r="A528" s="307"/>
      <c r="B528" s="278"/>
      <c r="C528" s="278"/>
      <c r="D528" s="278"/>
      <c r="E528" s="278"/>
      <c r="F528" s="278"/>
      <c r="G528" s="278"/>
      <c r="H528" s="278"/>
      <c r="I528" s="278"/>
      <c r="J528" s="278"/>
      <c r="K528" s="278"/>
      <c r="L528" s="278"/>
      <c r="M528" s="278"/>
      <c r="N528" s="278"/>
    </row>
    <row r="529" spans="1:14">
      <c r="A529" s="307"/>
      <c r="B529" s="278"/>
      <c r="C529" s="278"/>
      <c r="D529" s="278"/>
      <c r="E529" s="278"/>
      <c r="F529" s="278"/>
      <c r="G529" s="278"/>
      <c r="H529" s="278"/>
      <c r="I529" s="278"/>
      <c r="J529" s="278"/>
      <c r="K529" s="278"/>
      <c r="L529" s="278"/>
      <c r="M529" s="278"/>
      <c r="N529" s="278"/>
    </row>
    <row r="530" spans="1:14">
      <c r="A530" s="307"/>
      <c r="B530" s="278"/>
      <c r="C530" s="278"/>
      <c r="D530" s="278"/>
      <c r="E530" s="278"/>
      <c r="F530" s="278"/>
      <c r="G530" s="278"/>
      <c r="H530" s="278"/>
      <c r="I530" s="278"/>
      <c r="J530" s="278"/>
      <c r="K530" s="278"/>
      <c r="L530" s="278"/>
      <c r="M530" s="278"/>
      <c r="N530" s="278"/>
    </row>
    <row r="531" spans="1:14">
      <c r="A531" s="307"/>
      <c r="B531" s="278"/>
      <c r="C531" s="278"/>
      <c r="D531" s="278"/>
      <c r="E531" s="278"/>
      <c r="F531" s="278"/>
      <c r="G531" s="278"/>
      <c r="H531" s="278"/>
      <c r="I531" s="278"/>
      <c r="J531" s="278"/>
      <c r="K531" s="278"/>
      <c r="L531" s="278"/>
      <c r="M531" s="278"/>
      <c r="N531" s="278"/>
    </row>
    <row r="532" spans="1:14">
      <c r="A532" s="307"/>
      <c r="B532" s="278"/>
      <c r="C532" s="278"/>
      <c r="D532" s="278"/>
      <c r="E532" s="278"/>
      <c r="F532" s="278"/>
      <c r="G532" s="278"/>
      <c r="H532" s="278"/>
      <c r="I532" s="278"/>
      <c r="J532" s="278"/>
      <c r="K532" s="278"/>
      <c r="L532" s="278"/>
      <c r="M532" s="278"/>
      <c r="N532" s="278"/>
    </row>
    <row r="533" spans="1:14">
      <c r="A533" s="307"/>
      <c r="B533" s="278"/>
      <c r="C533" s="278"/>
      <c r="D533" s="278"/>
      <c r="E533" s="278"/>
      <c r="F533" s="278"/>
      <c r="G533" s="278"/>
      <c r="H533" s="278"/>
      <c r="I533" s="278"/>
      <c r="J533" s="278"/>
      <c r="K533" s="278"/>
      <c r="L533" s="278"/>
      <c r="M533" s="278"/>
      <c r="N533" s="278"/>
    </row>
    <row r="534" spans="1:14">
      <c r="A534" s="307"/>
      <c r="B534" s="278"/>
      <c r="C534" s="278"/>
      <c r="D534" s="278"/>
      <c r="E534" s="278"/>
      <c r="F534" s="278"/>
      <c r="G534" s="278"/>
      <c r="H534" s="278"/>
      <c r="I534" s="278"/>
      <c r="J534" s="278"/>
      <c r="K534" s="278"/>
      <c r="L534" s="278"/>
      <c r="M534" s="278"/>
      <c r="N534" s="278"/>
    </row>
    <row r="535" spans="1:14">
      <c r="A535" s="307"/>
      <c r="B535" s="278"/>
      <c r="C535" s="278"/>
      <c r="D535" s="278"/>
      <c r="E535" s="278"/>
      <c r="F535" s="278"/>
      <c r="G535" s="278"/>
      <c r="H535" s="278"/>
      <c r="I535" s="278"/>
      <c r="J535" s="278"/>
      <c r="K535" s="278"/>
      <c r="L535" s="278"/>
      <c r="M535" s="278"/>
      <c r="N535" s="278"/>
    </row>
    <row r="536" spans="1:14">
      <c r="A536" s="307"/>
      <c r="B536" s="278"/>
      <c r="C536" s="278"/>
      <c r="D536" s="278"/>
      <c r="E536" s="278"/>
      <c r="F536" s="278"/>
      <c r="G536" s="278"/>
      <c r="H536" s="278"/>
      <c r="I536" s="278"/>
      <c r="J536" s="278"/>
      <c r="K536" s="278"/>
      <c r="L536" s="278"/>
      <c r="M536" s="278"/>
      <c r="N536" s="278"/>
    </row>
    <row r="537" spans="1:14">
      <c r="A537" s="307"/>
      <c r="B537" s="278"/>
      <c r="C537" s="278"/>
      <c r="D537" s="278"/>
      <c r="E537" s="278"/>
      <c r="F537" s="278"/>
      <c r="G537" s="278"/>
      <c r="H537" s="278"/>
      <c r="I537" s="278"/>
      <c r="J537" s="278"/>
      <c r="K537" s="278"/>
      <c r="L537" s="278"/>
      <c r="M537" s="278"/>
      <c r="N537" s="278"/>
    </row>
    <row r="538" spans="1:14">
      <c r="A538" s="307"/>
      <c r="B538" s="278"/>
      <c r="C538" s="278"/>
      <c r="D538" s="278"/>
      <c r="E538" s="278"/>
      <c r="F538" s="278"/>
      <c r="G538" s="278"/>
      <c r="H538" s="278"/>
      <c r="I538" s="278"/>
      <c r="J538" s="278"/>
      <c r="K538" s="278"/>
      <c r="L538" s="278"/>
      <c r="M538" s="278"/>
      <c r="N538" s="278"/>
    </row>
    <row r="539" spans="1:14">
      <c r="A539" s="307"/>
      <c r="B539" s="278"/>
      <c r="C539" s="278"/>
      <c r="D539" s="278"/>
      <c r="E539" s="278"/>
      <c r="F539" s="278"/>
      <c r="G539" s="278"/>
      <c r="H539" s="278"/>
      <c r="I539" s="278"/>
      <c r="J539" s="278"/>
      <c r="K539" s="278"/>
      <c r="L539" s="278"/>
      <c r="M539" s="278"/>
      <c r="N539" s="278"/>
    </row>
    <row r="540" spans="1:14">
      <c r="A540" s="307"/>
      <c r="B540" s="278"/>
      <c r="C540" s="278"/>
      <c r="D540" s="278"/>
      <c r="E540" s="278"/>
      <c r="F540" s="278"/>
      <c r="G540" s="278"/>
      <c r="H540" s="278"/>
      <c r="I540" s="278"/>
      <c r="J540" s="278"/>
      <c r="K540" s="278"/>
      <c r="L540" s="278"/>
      <c r="M540" s="278"/>
      <c r="N540" s="278"/>
    </row>
    <row r="541" spans="1:14">
      <c r="A541" s="307"/>
      <c r="B541" s="278"/>
      <c r="C541" s="278"/>
      <c r="D541" s="278"/>
      <c r="E541" s="278"/>
      <c r="F541" s="278"/>
      <c r="G541" s="278"/>
      <c r="H541" s="278"/>
      <c r="I541" s="278"/>
      <c r="J541" s="278"/>
      <c r="K541" s="278"/>
      <c r="L541" s="278"/>
      <c r="M541" s="278"/>
      <c r="N541" s="278"/>
    </row>
    <row r="542" spans="1:14">
      <c r="A542" s="307"/>
      <c r="B542" s="278"/>
      <c r="C542" s="278"/>
      <c r="D542" s="278"/>
      <c r="E542" s="278"/>
      <c r="F542" s="278"/>
      <c r="G542" s="278"/>
      <c r="H542" s="278"/>
      <c r="I542" s="278"/>
      <c r="J542" s="278"/>
      <c r="K542" s="278"/>
      <c r="L542" s="278"/>
      <c r="M542" s="278"/>
      <c r="N542" s="278"/>
    </row>
    <row r="543" spans="1:14">
      <c r="A543" s="307"/>
      <c r="B543" s="278"/>
      <c r="C543" s="278"/>
      <c r="D543" s="278"/>
      <c r="E543" s="278"/>
      <c r="F543" s="278"/>
      <c r="G543" s="278"/>
      <c r="H543" s="278"/>
      <c r="I543" s="278"/>
      <c r="J543" s="278"/>
      <c r="K543" s="278"/>
      <c r="L543" s="278"/>
      <c r="M543" s="278"/>
      <c r="N543" s="278"/>
    </row>
    <row r="544" spans="1:14">
      <c r="A544" s="307"/>
      <c r="B544" s="278"/>
      <c r="C544" s="278"/>
      <c r="D544" s="278"/>
      <c r="E544" s="278"/>
      <c r="F544" s="278"/>
      <c r="G544" s="278"/>
      <c r="H544" s="278"/>
      <c r="I544" s="278"/>
      <c r="J544" s="278"/>
      <c r="K544" s="278"/>
      <c r="L544" s="278"/>
      <c r="M544" s="278"/>
      <c r="N544" s="278"/>
    </row>
    <row r="545" spans="1:14">
      <c r="A545" s="307"/>
      <c r="B545" s="278"/>
      <c r="C545" s="278"/>
      <c r="D545" s="278"/>
      <c r="E545" s="278"/>
      <c r="F545" s="278"/>
      <c r="G545" s="278"/>
      <c r="H545" s="278"/>
      <c r="I545" s="278"/>
      <c r="J545" s="278"/>
      <c r="K545" s="278"/>
      <c r="L545" s="278"/>
      <c r="M545" s="278"/>
      <c r="N545" s="278"/>
    </row>
    <row r="546" spans="1:14">
      <c r="A546" s="307"/>
      <c r="B546" s="278"/>
      <c r="C546" s="278"/>
      <c r="D546" s="278"/>
      <c r="E546" s="278"/>
      <c r="F546" s="278"/>
      <c r="G546" s="278"/>
      <c r="H546" s="278"/>
      <c r="I546" s="278"/>
      <c r="J546" s="278"/>
      <c r="K546" s="278"/>
      <c r="L546" s="278"/>
      <c r="M546" s="278"/>
      <c r="N546" s="278"/>
    </row>
    <row r="547" spans="1:14">
      <c r="A547" s="307"/>
      <c r="B547" s="278"/>
      <c r="C547" s="278"/>
      <c r="D547" s="278"/>
      <c r="E547" s="278"/>
      <c r="F547" s="278"/>
      <c r="G547" s="278"/>
      <c r="H547" s="278"/>
      <c r="I547" s="278"/>
      <c r="J547" s="278"/>
      <c r="K547" s="278"/>
      <c r="L547" s="278"/>
      <c r="M547" s="278"/>
      <c r="N547" s="278"/>
    </row>
    <row r="548" spans="1:14">
      <c r="A548" s="307"/>
      <c r="B548" s="278"/>
      <c r="C548" s="278"/>
      <c r="D548" s="278"/>
      <c r="E548" s="278"/>
      <c r="F548" s="278"/>
      <c r="G548" s="278"/>
      <c r="H548" s="278"/>
      <c r="I548" s="278"/>
      <c r="J548" s="278"/>
      <c r="K548" s="278"/>
      <c r="L548" s="278"/>
      <c r="M548" s="278"/>
      <c r="N548" s="278"/>
    </row>
    <row r="549" spans="1:14">
      <c r="A549" s="307"/>
      <c r="B549" s="278"/>
      <c r="C549" s="278"/>
      <c r="D549" s="278"/>
      <c r="E549" s="278"/>
      <c r="F549" s="278"/>
      <c r="G549" s="278"/>
      <c r="H549" s="278"/>
      <c r="I549" s="278"/>
      <c r="J549" s="278"/>
      <c r="K549" s="278"/>
      <c r="L549" s="278"/>
      <c r="M549" s="278"/>
      <c r="N549" s="278"/>
    </row>
    <row r="550" spans="1:14">
      <c r="A550" s="307"/>
      <c r="B550" s="278"/>
      <c r="C550" s="278"/>
      <c r="D550" s="278"/>
      <c r="E550" s="278"/>
      <c r="F550" s="278"/>
      <c r="G550" s="278"/>
      <c r="H550" s="278"/>
      <c r="I550" s="278"/>
      <c r="J550" s="278"/>
      <c r="K550" s="278"/>
      <c r="L550" s="278"/>
      <c r="M550" s="278"/>
      <c r="N550" s="278"/>
    </row>
    <row r="551" spans="1:14">
      <c r="A551" s="307"/>
      <c r="B551" s="278"/>
      <c r="C551" s="278"/>
      <c r="D551" s="278"/>
      <c r="E551" s="278"/>
      <c r="F551" s="278"/>
      <c r="G551" s="278"/>
      <c r="H551" s="278"/>
      <c r="I551" s="278"/>
      <c r="J551" s="278"/>
      <c r="K551" s="278"/>
      <c r="L551" s="278"/>
      <c r="M551" s="278"/>
      <c r="N551" s="278"/>
    </row>
    <row r="552" spans="1:14">
      <c r="A552" s="307"/>
      <c r="B552" s="278"/>
      <c r="C552" s="278"/>
      <c r="D552" s="278"/>
      <c r="E552" s="278"/>
      <c r="F552" s="278"/>
      <c r="G552" s="278"/>
      <c r="H552" s="278"/>
      <c r="I552" s="278"/>
      <c r="J552" s="278"/>
      <c r="K552" s="278"/>
      <c r="L552" s="278"/>
      <c r="M552" s="278"/>
      <c r="N552" s="278"/>
    </row>
    <row r="553" spans="1:14">
      <c r="A553" s="307"/>
      <c r="B553" s="278"/>
      <c r="C553" s="278"/>
      <c r="D553" s="278"/>
      <c r="E553" s="278"/>
      <c r="F553" s="278"/>
      <c r="G553" s="278"/>
      <c r="H553" s="278"/>
      <c r="I553" s="278"/>
      <c r="J553" s="278"/>
      <c r="K553" s="278"/>
      <c r="L553" s="278"/>
      <c r="M553" s="278"/>
      <c r="N553" s="278"/>
    </row>
    <row r="554" spans="1:14">
      <c r="A554" s="307"/>
      <c r="B554" s="278"/>
      <c r="C554" s="278"/>
      <c r="D554" s="278"/>
      <c r="E554" s="278"/>
      <c r="F554" s="278"/>
      <c r="G554" s="278"/>
      <c r="H554" s="278"/>
      <c r="I554" s="278"/>
      <c r="J554" s="278"/>
      <c r="K554" s="278"/>
      <c r="L554" s="278"/>
      <c r="M554" s="278"/>
      <c r="N554" s="278"/>
    </row>
    <row r="555" spans="1:14">
      <c r="A555" s="307"/>
      <c r="B555" s="278"/>
      <c r="C555" s="278"/>
      <c r="D555" s="278"/>
      <c r="E555" s="278"/>
      <c r="F555" s="278"/>
      <c r="G555" s="278"/>
      <c r="H555" s="278"/>
      <c r="I555" s="278"/>
      <c r="J555" s="278"/>
      <c r="K555" s="278"/>
      <c r="L555" s="278"/>
      <c r="M555" s="278"/>
      <c r="N555" s="278"/>
    </row>
    <row r="556" spans="1:14">
      <c r="A556" s="307"/>
      <c r="B556" s="278"/>
      <c r="C556" s="278"/>
      <c r="D556" s="278"/>
      <c r="E556" s="278"/>
      <c r="F556" s="278"/>
      <c r="G556" s="278"/>
      <c r="H556" s="278"/>
      <c r="I556" s="278"/>
      <c r="J556" s="278"/>
      <c r="K556" s="278"/>
      <c r="L556" s="278"/>
      <c r="M556" s="278"/>
      <c r="N556" s="278"/>
    </row>
    <row r="557" spans="1:14">
      <c r="A557" s="307"/>
      <c r="B557" s="278"/>
      <c r="C557" s="278"/>
      <c r="D557" s="278"/>
      <c r="E557" s="278"/>
      <c r="F557" s="278"/>
      <c r="G557" s="278"/>
      <c r="H557" s="278"/>
      <c r="I557" s="278"/>
      <c r="J557" s="278"/>
      <c r="K557" s="278"/>
      <c r="L557" s="278"/>
      <c r="M557" s="278"/>
      <c r="N557" s="278"/>
    </row>
    <row r="558" spans="1:14">
      <c r="A558" s="307"/>
      <c r="B558" s="278"/>
      <c r="C558" s="278"/>
      <c r="D558" s="278"/>
      <c r="E558" s="278"/>
      <c r="F558" s="278"/>
      <c r="G558" s="278"/>
      <c r="H558" s="278"/>
      <c r="I558" s="278"/>
      <c r="J558" s="278"/>
      <c r="K558" s="278"/>
      <c r="L558" s="278"/>
      <c r="M558" s="278"/>
      <c r="N558" s="278"/>
    </row>
    <row r="559" spans="1:14">
      <c r="A559" s="307"/>
      <c r="B559" s="278"/>
      <c r="C559" s="278"/>
      <c r="D559" s="278"/>
      <c r="E559" s="278"/>
      <c r="F559" s="278"/>
      <c r="G559" s="278"/>
      <c r="H559" s="278"/>
      <c r="I559" s="278"/>
      <c r="J559" s="278"/>
      <c r="K559" s="278"/>
      <c r="L559" s="278"/>
      <c r="M559" s="278"/>
      <c r="N559" s="278"/>
    </row>
    <row r="560" spans="1:14">
      <c r="A560" s="307"/>
      <c r="B560" s="278"/>
      <c r="C560" s="278"/>
      <c r="D560" s="278"/>
      <c r="E560" s="278"/>
      <c r="F560" s="278"/>
      <c r="G560" s="278"/>
      <c r="H560" s="278"/>
      <c r="I560" s="278"/>
      <c r="J560" s="278"/>
      <c r="K560" s="278"/>
      <c r="L560" s="278"/>
      <c r="M560" s="278"/>
      <c r="N560" s="278"/>
    </row>
    <row r="561" spans="1:14">
      <c r="A561" s="307"/>
      <c r="B561" s="278"/>
      <c r="C561" s="278"/>
      <c r="D561" s="278"/>
      <c r="E561" s="278"/>
      <c r="F561" s="278"/>
      <c r="G561" s="278"/>
      <c r="H561" s="278"/>
      <c r="I561" s="278"/>
      <c r="J561" s="278"/>
      <c r="K561" s="278"/>
      <c r="L561" s="278"/>
      <c r="M561" s="278"/>
      <c r="N561" s="278"/>
    </row>
    <row r="562" spans="1:14">
      <c r="A562" s="307"/>
      <c r="B562" s="278"/>
      <c r="C562" s="278"/>
      <c r="D562" s="278"/>
      <c r="E562" s="278"/>
      <c r="F562" s="278"/>
      <c r="G562" s="278"/>
      <c r="H562" s="278"/>
      <c r="I562" s="278"/>
      <c r="J562" s="278"/>
      <c r="K562" s="278"/>
      <c r="L562" s="278"/>
      <c r="M562" s="278"/>
      <c r="N562" s="278"/>
    </row>
    <row r="563" spans="1:14">
      <c r="A563" s="307"/>
      <c r="B563" s="278"/>
      <c r="C563" s="278"/>
      <c r="D563" s="278"/>
      <c r="E563" s="278"/>
      <c r="F563" s="278"/>
      <c r="G563" s="278"/>
      <c r="H563" s="278"/>
      <c r="I563" s="278"/>
      <c r="J563" s="278"/>
      <c r="K563" s="278"/>
      <c r="L563" s="278"/>
      <c r="M563" s="278"/>
      <c r="N563" s="278"/>
    </row>
    <row r="564" spans="1:14">
      <c r="A564" s="307"/>
      <c r="B564" s="278"/>
      <c r="C564" s="278"/>
      <c r="D564" s="278"/>
      <c r="E564" s="278"/>
      <c r="F564" s="278"/>
      <c r="G564" s="278"/>
      <c r="H564" s="278"/>
      <c r="I564" s="278"/>
      <c r="J564" s="278"/>
      <c r="K564" s="278"/>
      <c r="L564" s="278"/>
      <c r="M564" s="278"/>
      <c r="N564" s="278"/>
    </row>
    <row r="565" spans="1:14">
      <c r="A565" s="307"/>
      <c r="B565" s="278"/>
      <c r="C565" s="278"/>
      <c r="D565" s="278"/>
      <c r="E565" s="278"/>
      <c r="F565" s="278"/>
      <c r="G565" s="278"/>
      <c r="H565" s="278"/>
      <c r="I565" s="278"/>
      <c r="J565" s="278"/>
      <c r="K565" s="278"/>
      <c r="L565" s="278"/>
      <c r="M565" s="278"/>
      <c r="N565" s="278"/>
    </row>
    <row r="566" spans="1:14">
      <c r="A566" s="307"/>
      <c r="B566" s="278"/>
      <c r="C566" s="278"/>
      <c r="D566" s="278"/>
      <c r="E566" s="278"/>
      <c r="F566" s="278"/>
      <c r="G566" s="278"/>
      <c r="H566" s="278"/>
      <c r="I566" s="278"/>
      <c r="J566" s="278"/>
      <c r="K566" s="278"/>
      <c r="L566" s="278"/>
      <c r="M566" s="278"/>
      <c r="N566" s="278"/>
    </row>
    <row r="567" spans="1:14">
      <c r="A567" s="307"/>
      <c r="B567" s="278"/>
      <c r="C567" s="278"/>
      <c r="D567" s="278"/>
      <c r="E567" s="278"/>
      <c r="F567" s="278"/>
      <c r="G567" s="278"/>
      <c r="H567" s="278"/>
      <c r="I567" s="278"/>
      <c r="J567" s="278"/>
      <c r="K567" s="278"/>
      <c r="L567" s="278"/>
      <c r="M567" s="278"/>
      <c r="N567" s="278"/>
    </row>
    <row r="568" spans="1:14">
      <c r="A568" s="307"/>
      <c r="B568" s="278"/>
      <c r="C568" s="278"/>
      <c r="D568" s="278"/>
      <c r="E568" s="278"/>
      <c r="F568" s="278"/>
      <c r="G568" s="278"/>
      <c r="H568" s="278"/>
      <c r="I568" s="278"/>
      <c r="J568" s="278"/>
      <c r="K568" s="278"/>
      <c r="L568" s="278"/>
      <c r="M568" s="278"/>
      <c r="N568" s="278"/>
    </row>
    <row r="569" spans="1:14">
      <c r="A569" s="307"/>
      <c r="B569" s="278"/>
      <c r="C569" s="278"/>
      <c r="D569" s="278"/>
      <c r="E569" s="278"/>
      <c r="F569" s="278"/>
      <c r="G569" s="278"/>
      <c r="H569" s="278"/>
      <c r="I569" s="278"/>
      <c r="J569" s="278"/>
      <c r="K569" s="278"/>
      <c r="L569" s="278"/>
      <c r="M569" s="278"/>
      <c r="N569" s="278"/>
    </row>
    <row r="570" spans="1:14">
      <c r="A570" s="307"/>
      <c r="B570" s="278"/>
      <c r="C570" s="278"/>
      <c r="D570" s="278"/>
      <c r="E570" s="278"/>
      <c r="F570" s="278"/>
      <c r="G570" s="278"/>
      <c r="H570" s="278"/>
      <c r="I570" s="278"/>
      <c r="J570" s="278"/>
      <c r="K570" s="278"/>
      <c r="L570" s="278"/>
      <c r="M570" s="278"/>
      <c r="N570" s="278"/>
    </row>
    <row r="571" spans="1:14">
      <c r="A571" s="307"/>
      <c r="B571" s="278"/>
      <c r="C571" s="278"/>
      <c r="D571" s="278"/>
      <c r="E571" s="278"/>
      <c r="F571" s="278"/>
      <c r="G571" s="278"/>
      <c r="H571" s="278"/>
      <c r="I571" s="278"/>
      <c r="J571" s="278"/>
      <c r="K571" s="278"/>
      <c r="L571" s="278"/>
      <c r="M571" s="278"/>
      <c r="N571" s="278"/>
    </row>
    <row r="572" spans="1:14">
      <c r="A572" s="307"/>
      <c r="B572" s="278"/>
      <c r="C572" s="278"/>
      <c r="D572" s="278"/>
      <c r="E572" s="278"/>
      <c r="F572" s="278"/>
      <c r="G572" s="278"/>
      <c r="H572" s="278"/>
      <c r="I572" s="278"/>
      <c r="J572" s="278"/>
      <c r="K572" s="278"/>
      <c r="L572" s="278"/>
      <c r="M572" s="278"/>
      <c r="N572" s="278"/>
    </row>
    <row r="573" spans="1:14">
      <c r="A573" s="307"/>
      <c r="B573" s="278"/>
      <c r="C573" s="278"/>
      <c r="D573" s="278"/>
      <c r="E573" s="278"/>
      <c r="F573" s="278"/>
      <c r="G573" s="278"/>
      <c r="H573" s="278"/>
      <c r="I573" s="278"/>
      <c r="J573" s="278"/>
      <c r="K573" s="278"/>
      <c r="L573" s="278"/>
      <c r="M573" s="278"/>
      <c r="N573" s="278"/>
    </row>
    <row r="574" spans="1:14">
      <c r="A574" s="307"/>
      <c r="B574" s="278"/>
      <c r="C574" s="278"/>
      <c r="D574" s="278"/>
      <c r="E574" s="278"/>
      <c r="F574" s="278"/>
      <c r="G574" s="278"/>
      <c r="H574" s="278"/>
      <c r="I574" s="278"/>
      <c r="J574" s="278"/>
      <c r="K574" s="278"/>
      <c r="L574" s="278"/>
      <c r="M574" s="278"/>
      <c r="N574" s="278"/>
    </row>
    <row r="575" spans="1:14">
      <c r="A575" s="307"/>
      <c r="B575" s="278"/>
      <c r="C575" s="278"/>
      <c r="D575" s="278"/>
      <c r="E575" s="278"/>
      <c r="F575" s="278"/>
      <c r="G575" s="278"/>
      <c r="H575" s="278"/>
      <c r="I575" s="278"/>
      <c r="J575" s="278"/>
      <c r="K575" s="278"/>
      <c r="L575" s="278"/>
      <c r="M575" s="278"/>
      <c r="N575" s="278"/>
    </row>
    <row r="576" spans="1:14">
      <c r="A576" s="307"/>
      <c r="B576" s="278"/>
      <c r="C576" s="278"/>
      <c r="D576" s="278"/>
      <c r="E576" s="278"/>
      <c r="F576" s="278"/>
      <c r="G576" s="278"/>
      <c r="H576" s="278"/>
      <c r="I576" s="278"/>
      <c r="J576" s="278"/>
      <c r="K576" s="278"/>
      <c r="L576" s="278"/>
      <c r="M576" s="278"/>
      <c r="N576" s="278"/>
    </row>
    <row r="577" spans="1:14">
      <c r="A577" s="307"/>
      <c r="B577" s="278"/>
      <c r="C577" s="278"/>
      <c r="D577" s="278"/>
      <c r="E577" s="278"/>
      <c r="F577" s="278"/>
      <c r="G577" s="278"/>
      <c r="H577" s="278"/>
      <c r="I577" s="278"/>
      <c r="J577" s="278"/>
      <c r="K577" s="278"/>
      <c r="L577" s="278"/>
      <c r="M577" s="278"/>
      <c r="N577" s="278"/>
    </row>
    <row r="578" spans="1:14">
      <c r="A578" s="307"/>
      <c r="B578" s="278"/>
      <c r="C578" s="278"/>
      <c r="D578" s="278"/>
      <c r="E578" s="278"/>
      <c r="F578" s="278"/>
      <c r="G578" s="278"/>
      <c r="H578" s="278"/>
      <c r="I578" s="278"/>
      <c r="J578" s="278"/>
      <c r="K578" s="278"/>
      <c r="L578" s="278"/>
      <c r="M578" s="278"/>
      <c r="N578" s="278"/>
    </row>
    <row r="579" spans="1:14">
      <c r="A579" s="307"/>
      <c r="B579" s="278"/>
      <c r="C579" s="278"/>
      <c r="D579" s="278"/>
      <c r="E579" s="278"/>
      <c r="F579" s="278"/>
      <c r="G579" s="278"/>
      <c r="H579" s="278"/>
      <c r="I579" s="278"/>
      <c r="J579" s="278"/>
      <c r="K579" s="278"/>
      <c r="L579" s="278"/>
      <c r="M579" s="278"/>
      <c r="N579" s="278"/>
    </row>
    <row r="580" spans="1:14">
      <c r="A580" s="307"/>
      <c r="B580" s="278"/>
      <c r="C580" s="278"/>
      <c r="D580" s="278"/>
      <c r="E580" s="278"/>
      <c r="F580" s="278"/>
      <c r="G580" s="278"/>
      <c r="H580" s="278"/>
      <c r="I580" s="278"/>
      <c r="J580" s="278"/>
      <c r="K580" s="278"/>
      <c r="L580" s="278"/>
      <c r="M580" s="278"/>
      <c r="N580" s="278"/>
    </row>
    <row r="581" spans="1:14">
      <c r="A581" s="307"/>
      <c r="B581" s="278"/>
      <c r="C581" s="278"/>
      <c r="D581" s="278"/>
      <c r="E581" s="278"/>
      <c r="F581" s="278"/>
      <c r="G581" s="278"/>
      <c r="H581" s="278"/>
      <c r="I581" s="278"/>
      <c r="J581" s="278"/>
      <c r="K581" s="278"/>
      <c r="L581" s="278"/>
      <c r="M581" s="278"/>
      <c r="N581" s="278"/>
    </row>
    <row r="582" spans="1:14">
      <c r="A582" s="307"/>
      <c r="B582" s="278"/>
      <c r="C582" s="278"/>
      <c r="D582" s="278"/>
      <c r="E582" s="278"/>
      <c r="F582" s="278"/>
      <c r="G582" s="278"/>
      <c r="H582" s="278"/>
      <c r="I582" s="278"/>
      <c r="J582" s="278"/>
      <c r="K582" s="278"/>
      <c r="L582" s="278"/>
      <c r="M582" s="278"/>
      <c r="N582" s="278"/>
    </row>
    <row r="583" spans="1:14">
      <c r="A583" s="307"/>
      <c r="B583" s="278"/>
      <c r="C583" s="278"/>
      <c r="D583" s="278"/>
      <c r="E583" s="278"/>
      <c r="F583" s="278"/>
      <c r="G583" s="278"/>
      <c r="H583" s="278"/>
      <c r="I583" s="278"/>
      <c r="J583" s="278"/>
      <c r="K583" s="278"/>
      <c r="L583" s="278"/>
      <c r="M583" s="278"/>
      <c r="N583" s="278"/>
    </row>
    <row r="584" spans="1:14">
      <c r="A584" s="307"/>
      <c r="B584" s="278"/>
      <c r="C584" s="278"/>
      <c r="D584" s="278"/>
      <c r="E584" s="278"/>
      <c r="F584" s="278"/>
      <c r="G584" s="278"/>
      <c r="H584" s="278"/>
      <c r="I584" s="278"/>
      <c r="J584" s="278"/>
      <c r="K584" s="278"/>
      <c r="L584" s="278"/>
      <c r="M584" s="278"/>
      <c r="N584" s="278"/>
    </row>
    <row r="585" spans="1:14">
      <c r="A585" s="307"/>
      <c r="B585" s="278"/>
      <c r="C585" s="278"/>
      <c r="D585" s="278"/>
      <c r="E585" s="278"/>
      <c r="F585" s="278"/>
      <c r="G585" s="278"/>
      <c r="H585" s="278"/>
      <c r="I585" s="278"/>
      <c r="J585" s="278"/>
      <c r="K585" s="278"/>
      <c r="L585" s="278"/>
      <c r="M585" s="278"/>
      <c r="N585" s="278"/>
    </row>
    <row r="586" spans="1:14">
      <c r="A586" s="307"/>
      <c r="B586" s="278"/>
      <c r="C586" s="278"/>
      <c r="D586" s="278"/>
      <c r="E586" s="278"/>
      <c r="F586" s="278"/>
      <c r="G586" s="278"/>
      <c r="H586" s="278"/>
      <c r="I586" s="278"/>
      <c r="J586" s="278"/>
      <c r="K586" s="278"/>
      <c r="L586" s="278"/>
      <c r="M586" s="278"/>
      <c r="N586" s="278"/>
    </row>
    <row r="587" spans="1:14">
      <c r="A587" s="307"/>
      <c r="B587" s="278"/>
      <c r="C587" s="278"/>
      <c r="D587" s="278"/>
      <c r="E587" s="278"/>
      <c r="F587" s="278"/>
      <c r="G587" s="278"/>
      <c r="H587" s="278"/>
      <c r="I587" s="278"/>
      <c r="J587" s="278"/>
      <c r="K587" s="278"/>
      <c r="L587" s="278"/>
      <c r="M587" s="278"/>
      <c r="N587" s="278"/>
    </row>
    <row r="588" spans="1:14">
      <c r="A588" s="307"/>
      <c r="B588" s="278"/>
      <c r="C588" s="278"/>
      <c r="D588" s="278"/>
      <c r="E588" s="278"/>
      <c r="F588" s="278"/>
      <c r="G588" s="278"/>
      <c r="H588" s="278"/>
      <c r="I588" s="278"/>
      <c r="J588" s="278"/>
      <c r="K588" s="278"/>
      <c r="L588" s="278"/>
      <c r="M588" s="278"/>
      <c r="N588" s="278"/>
    </row>
    <row r="589" spans="1:14">
      <c r="A589" s="307"/>
      <c r="B589" s="278"/>
      <c r="C589" s="278"/>
      <c r="D589" s="278"/>
      <c r="E589" s="278"/>
      <c r="F589" s="278"/>
      <c r="G589" s="278"/>
      <c r="H589" s="278"/>
      <c r="I589" s="278"/>
      <c r="J589" s="278"/>
      <c r="K589" s="278"/>
      <c r="L589" s="278"/>
      <c r="M589" s="278"/>
      <c r="N589" s="278"/>
    </row>
    <row r="590" spans="1:14">
      <c r="A590" s="307"/>
      <c r="B590" s="278"/>
      <c r="C590" s="278"/>
      <c r="D590" s="278"/>
      <c r="E590" s="278"/>
      <c r="F590" s="278"/>
      <c r="G590" s="278"/>
      <c r="H590" s="278"/>
      <c r="I590" s="278"/>
      <c r="J590" s="278"/>
      <c r="K590" s="278"/>
      <c r="L590" s="278"/>
      <c r="M590" s="278"/>
      <c r="N590" s="278"/>
    </row>
    <row r="591" spans="1:14">
      <c r="A591" s="307"/>
      <c r="B591" s="278"/>
      <c r="C591" s="278"/>
      <c r="D591" s="278"/>
      <c r="E591" s="278"/>
      <c r="F591" s="278"/>
      <c r="G591" s="278"/>
      <c r="H591" s="278"/>
      <c r="I591" s="278"/>
      <c r="J591" s="278"/>
      <c r="K591" s="278"/>
      <c r="L591" s="278"/>
      <c r="M591" s="278"/>
      <c r="N591" s="278"/>
    </row>
    <row r="592" spans="1:14">
      <c r="A592" s="307"/>
      <c r="B592" s="278"/>
      <c r="C592" s="278"/>
      <c r="D592" s="278"/>
      <c r="E592" s="278"/>
      <c r="F592" s="278"/>
      <c r="G592" s="278"/>
      <c r="H592" s="278"/>
      <c r="I592" s="278"/>
      <c r="J592" s="278"/>
      <c r="K592" s="278"/>
      <c r="L592" s="278"/>
      <c r="M592" s="278"/>
      <c r="N592" s="278"/>
    </row>
    <row r="593" spans="1:14">
      <c r="A593" s="307"/>
      <c r="B593" s="278"/>
      <c r="C593" s="278"/>
      <c r="D593" s="278"/>
      <c r="E593" s="278"/>
      <c r="F593" s="278"/>
      <c r="G593" s="278"/>
      <c r="H593" s="278"/>
      <c r="I593" s="278"/>
      <c r="J593" s="278"/>
      <c r="K593" s="278"/>
      <c r="L593" s="278"/>
      <c r="M593" s="278"/>
      <c r="N593" s="278"/>
    </row>
    <row r="594" spans="1:14">
      <c r="A594" s="307"/>
      <c r="B594" s="278"/>
      <c r="C594" s="278"/>
      <c r="D594" s="278"/>
      <c r="E594" s="278"/>
      <c r="F594" s="278"/>
      <c r="G594" s="278"/>
      <c r="H594" s="278"/>
      <c r="I594" s="278"/>
      <c r="J594" s="278"/>
      <c r="K594" s="278"/>
      <c r="L594" s="278"/>
      <c r="M594" s="278"/>
      <c r="N594" s="278"/>
    </row>
    <row r="595" spans="1:14">
      <c r="A595" s="307"/>
      <c r="B595" s="278"/>
      <c r="C595" s="278"/>
      <c r="D595" s="278"/>
      <c r="E595" s="278"/>
      <c r="F595" s="278"/>
      <c r="G595" s="278"/>
      <c r="H595" s="278"/>
      <c r="I595" s="278"/>
      <c r="J595" s="278"/>
      <c r="K595" s="278"/>
      <c r="L595" s="278"/>
      <c r="M595" s="278"/>
      <c r="N595" s="278"/>
    </row>
    <row r="596" spans="1:14">
      <c r="A596" s="307"/>
      <c r="B596" s="278"/>
      <c r="C596" s="278"/>
      <c r="D596" s="278"/>
      <c r="E596" s="278"/>
      <c r="F596" s="278"/>
      <c r="G596" s="278"/>
      <c r="H596" s="278"/>
      <c r="I596" s="278"/>
      <c r="J596" s="278"/>
      <c r="K596" s="278"/>
      <c r="L596" s="278"/>
      <c r="M596" s="278"/>
      <c r="N596" s="278"/>
    </row>
    <row r="597" spans="1:14">
      <c r="A597" s="307"/>
      <c r="B597" s="278"/>
      <c r="C597" s="278"/>
      <c r="D597" s="278"/>
      <c r="E597" s="278"/>
      <c r="F597" s="278"/>
      <c r="G597" s="278"/>
      <c r="H597" s="278"/>
      <c r="I597" s="278"/>
      <c r="J597" s="278"/>
      <c r="K597" s="278"/>
      <c r="L597" s="278"/>
      <c r="M597" s="278"/>
      <c r="N597" s="278"/>
    </row>
    <row r="598" spans="1:14">
      <c r="A598" s="307"/>
      <c r="B598" s="278"/>
      <c r="C598" s="278"/>
      <c r="D598" s="278"/>
      <c r="E598" s="278"/>
      <c r="F598" s="278"/>
      <c r="G598" s="278"/>
      <c r="H598" s="278"/>
      <c r="I598" s="278"/>
      <c r="J598" s="278"/>
      <c r="K598" s="278"/>
      <c r="L598" s="278"/>
      <c r="M598" s="278"/>
      <c r="N598" s="278"/>
    </row>
    <row r="599" spans="1:14">
      <c r="A599" s="307"/>
      <c r="B599" s="278"/>
      <c r="C599" s="278"/>
      <c r="D599" s="278"/>
      <c r="E599" s="278"/>
      <c r="F599" s="278"/>
      <c r="G599" s="278"/>
      <c r="H599" s="278"/>
      <c r="I599" s="278"/>
      <c r="J599" s="278"/>
      <c r="K599" s="278"/>
      <c r="L599" s="278"/>
      <c r="M599" s="278"/>
      <c r="N599" s="278"/>
    </row>
    <row r="600" spans="1:14">
      <c r="A600" s="307"/>
      <c r="B600" s="278"/>
      <c r="C600" s="278"/>
      <c r="D600" s="278"/>
      <c r="E600" s="278"/>
      <c r="F600" s="278"/>
      <c r="G600" s="278"/>
      <c r="H600" s="278"/>
      <c r="I600" s="278"/>
      <c r="J600" s="278"/>
      <c r="K600" s="278"/>
      <c r="L600" s="278"/>
      <c r="M600" s="278"/>
      <c r="N600" s="278"/>
    </row>
    <row r="601" spans="1:14">
      <c r="A601" s="307"/>
      <c r="B601" s="278"/>
      <c r="C601" s="278"/>
      <c r="D601" s="278"/>
      <c r="E601" s="278"/>
      <c r="F601" s="278"/>
      <c r="G601" s="278"/>
      <c r="H601" s="278"/>
      <c r="I601" s="278"/>
      <c r="J601" s="278"/>
      <c r="K601" s="278"/>
      <c r="L601" s="278"/>
      <c r="M601" s="278"/>
      <c r="N601" s="278"/>
    </row>
    <row r="602" spans="1:14">
      <c r="A602" s="307"/>
      <c r="B602" s="278"/>
      <c r="C602" s="278"/>
      <c r="D602" s="278"/>
      <c r="E602" s="278"/>
      <c r="F602" s="278"/>
      <c r="G602" s="278"/>
      <c r="H602" s="278"/>
      <c r="I602" s="278"/>
      <c r="J602" s="278"/>
      <c r="K602" s="278"/>
      <c r="L602" s="278"/>
      <c r="M602" s="278"/>
      <c r="N602" s="278"/>
    </row>
    <row r="603" spans="1:14">
      <c r="A603" s="307"/>
      <c r="B603" s="278"/>
      <c r="C603" s="278"/>
      <c r="D603" s="278"/>
      <c r="E603" s="278"/>
      <c r="F603" s="278"/>
      <c r="G603" s="278"/>
      <c r="H603" s="278"/>
      <c r="I603" s="278"/>
      <c r="J603" s="278"/>
      <c r="K603" s="278"/>
      <c r="L603" s="278"/>
      <c r="M603" s="278"/>
      <c r="N603" s="278"/>
    </row>
    <row r="604" spans="1:14">
      <c r="A604" s="307"/>
      <c r="B604" s="278"/>
      <c r="C604" s="278"/>
      <c r="D604" s="278"/>
      <c r="E604" s="278"/>
      <c r="F604" s="278"/>
      <c r="G604" s="278"/>
      <c r="H604" s="278"/>
      <c r="I604" s="278"/>
      <c r="J604" s="278"/>
      <c r="K604" s="278"/>
      <c r="L604" s="278"/>
      <c r="M604" s="278"/>
      <c r="N604" s="278"/>
    </row>
    <row r="605" spans="1:14">
      <c r="A605" s="307"/>
      <c r="B605" s="278"/>
      <c r="C605" s="278"/>
      <c r="D605" s="278"/>
      <c r="E605" s="278"/>
      <c r="F605" s="278"/>
      <c r="G605" s="278"/>
      <c r="H605" s="278"/>
      <c r="I605" s="278"/>
      <c r="J605" s="278"/>
      <c r="K605" s="278"/>
      <c r="L605" s="278"/>
      <c r="M605" s="278"/>
      <c r="N605" s="278"/>
    </row>
    <row r="606" spans="1:14">
      <c r="A606" s="307"/>
      <c r="B606" s="278"/>
      <c r="C606" s="278"/>
      <c r="D606" s="278"/>
      <c r="E606" s="278"/>
      <c r="F606" s="278"/>
      <c r="G606" s="278"/>
      <c r="H606" s="278"/>
      <c r="I606" s="278"/>
      <c r="J606" s="278"/>
      <c r="K606" s="278"/>
      <c r="L606" s="278"/>
      <c r="M606" s="278"/>
      <c r="N606" s="278"/>
    </row>
    <row r="607" spans="1:14">
      <c r="A607" s="307"/>
      <c r="B607" s="278"/>
      <c r="C607" s="278"/>
      <c r="D607" s="278"/>
      <c r="E607" s="278"/>
      <c r="F607" s="278"/>
      <c r="G607" s="278"/>
      <c r="H607" s="278"/>
      <c r="I607" s="278"/>
      <c r="J607" s="278"/>
      <c r="K607" s="278"/>
      <c r="L607" s="278"/>
      <c r="M607" s="278"/>
      <c r="N607" s="278"/>
    </row>
    <row r="608" spans="1:14">
      <c r="A608" s="307"/>
      <c r="B608" s="278"/>
      <c r="C608" s="278"/>
      <c r="D608" s="278"/>
      <c r="E608" s="278"/>
      <c r="F608" s="278"/>
      <c r="G608" s="278"/>
      <c r="H608" s="278"/>
      <c r="I608" s="278"/>
      <c r="J608" s="278"/>
      <c r="K608" s="278"/>
      <c r="L608" s="278"/>
      <c r="M608" s="278"/>
      <c r="N608" s="278"/>
    </row>
    <row r="609" spans="1:14">
      <c r="A609" s="307"/>
      <c r="B609" s="278"/>
      <c r="C609" s="278"/>
      <c r="D609" s="278"/>
      <c r="E609" s="278"/>
      <c r="F609" s="278"/>
      <c r="G609" s="278"/>
      <c r="H609" s="278"/>
      <c r="I609" s="278"/>
      <c r="J609" s="278"/>
      <c r="K609" s="278"/>
      <c r="L609" s="278"/>
      <c r="M609" s="278"/>
      <c r="N609" s="278"/>
    </row>
    <row r="610" spans="1:14">
      <c r="A610" s="307"/>
      <c r="B610" s="278"/>
      <c r="C610" s="278"/>
      <c r="D610" s="278"/>
      <c r="E610" s="278"/>
      <c r="F610" s="278"/>
      <c r="G610" s="278"/>
      <c r="H610" s="278"/>
      <c r="I610" s="278"/>
      <c r="J610" s="278"/>
      <c r="K610" s="278"/>
      <c r="L610" s="278"/>
      <c r="M610" s="278"/>
      <c r="N610" s="278"/>
    </row>
    <row r="611" spans="1:14">
      <c r="A611" s="307"/>
      <c r="B611" s="278"/>
      <c r="C611" s="278"/>
      <c r="D611" s="278"/>
      <c r="E611" s="278"/>
      <c r="F611" s="278"/>
      <c r="G611" s="278"/>
      <c r="H611" s="278"/>
      <c r="I611" s="278"/>
      <c r="J611" s="278"/>
      <c r="K611" s="278"/>
      <c r="L611" s="278"/>
      <c r="M611" s="278"/>
      <c r="N611" s="278"/>
    </row>
    <row r="612" spans="1:14">
      <c r="A612" s="307"/>
      <c r="B612" s="278"/>
      <c r="C612" s="278"/>
      <c r="D612" s="278"/>
      <c r="E612" s="278"/>
      <c r="F612" s="278"/>
      <c r="G612" s="278"/>
      <c r="H612" s="278"/>
      <c r="I612" s="278"/>
      <c r="J612" s="278"/>
      <c r="K612" s="278"/>
      <c r="L612" s="278"/>
      <c r="M612" s="278"/>
      <c r="N612" s="278"/>
    </row>
    <row r="613" spans="1:14">
      <c r="A613" s="307"/>
      <c r="B613" s="278"/>
      <c r="C613" s="278"/>
      <c r="D613" s="278"/>
      <c r="E613" s="278"/>
      <c r="F613" s="278"/>
      <c r="G613" s="278"/>
      <c r="H613" s="278"/>
      <c r="I613" s="278"/>
      <c r="J613" s="278"/>
      <c r="K613" s="278"/>
      <c r="L613" s="278"/>
      <c r="M613" s="278"/>
      <c r="N613" s="278"/>
    </row>
    <row r="614" spans="1:14">
      <c r="A614" s="307"/>
      <c r="B614" s="278"/>
      <c r="C614" s="278"/>
      <c r="D614" s="278"/>
      <c r="E614" s="278"/>
      <c r="F614" s="278"/>
      <c r="G614" s="278"/>
      <c r="H614" s="278"/>
      <c r="I614" s="278"/>
      <c r="J614" s="278"/>
      <c r="K614" s="278"/>
      <c r="L614" s="278"/>
      <c r="M614" s="278"/>
      <c r="N614" s="278"/>
    </row>
    <row r="615" spans="1:14">
      <c r="A615" s="307"/>
      <c r="B615" s="278"/>
      <c r="C615" s="278"/>
      <c r="D615" s="278"/>
      <c r="E615" s="278"/>
      <c r="F615" s="278"/>
      <c r="G615" s="278"/>
      <c r="H615" s="278"/>
      <c r="I615" s="278"/>
      <c r="J615" s="278"/>
      <c r="K615" s="278"/>
      <c r="L615" s="278"/>
      <c r="M615" s="278"/>
      <c r="N615" s="278"/>
    </row>
    <row r="616" spans="1:14">
      <c r="A616" s="307"/>
      <c r="B616" s="278"/>
      <c r="C616" s="278"/>
      <c r="D616" s="278"/>
      <c r="E616" s="278"/>
      <c r="F616" s="278"/>
      <c r="G616" s="278"/>
      <c r="H616" s="278"/>
      <c r="I616" s="278"/>
      <c r="J616" s="278"/>
      <c r="K616" s="278"/>
      <c r="L616" s="278"/>
      <c r="M616" s="278"/>
      <c r="N616" s="278"/>
    </row>
    <row r="617" spans="1:14">
      <c r="A617" s="307"/>
      <c r="B617" s="278"/>
      <c r="C617" s="278"/>
      <c r="D617" s="278"/>
      <c r="E617" s="278"/>
      <c r="F617" s="278"/>
      <c r="G617" s="278"/>
      <c r="H617" s="278"/>
      <c r="I617" s="278"/>
      <c r="J617" s="278"/>
      <c r="K617" s="278"/>
      <c r="L617" s="278"/>
      <c r="M617" s="278"/>
      <c r="N617" s="278"/>
    </row>
    <row r="618" spans="1:14">
      <c r="A618" s="307"/>
      <c r="B618" s="278"/>
      <c r="C618" s="278"/>
      <c r="D618" s="278"/>
      <c r="E618" s="278"/>
      <c r="F618" s="278"/>
      <c r="G618" s="278"/>
      <c r="H618" s="278"/>
      <c r="I618" s="278"/>
      <c r="J618" s="278"/>
      <c r="K618" s="278"/>
      <c r="L618" s="278"/>
      <c r="M618" s="278"/>
      <c r="N618" s="278"/>
    </row>
    <row r="619" spans="1:14">
      <c r="A619" s="307"/>
      <c r="B619" s="278"/>
      <c r="C619" s="278"/>
      <c r="D619" s="278"/>
      <c r="E619" s="278"/>
      <c r="F619" s="278"/>
      <c r="G619" s="278"/>
      <c r="H619" s="278"/>
      <c r="I619" s="278"/>
      <c r="J619" s="278"/>
      <c r="K619" s="278"/>
      <c r="L619" s="278"/>
      <c r="M619" s="278"/>
      <c r="N619" s="278"/>
    </row>
    <row r="620" spans="1:14">
      <c r="A620" s="307"/>
      <c r="B620" s="278"/>
      <c r="C620" s="278"/>
      <c r="D620" s="278"/>
      <c r="E620" s="278"/>
      <c r="F620" s="278"/>
      <c r="G620" s="278"/>
      <c r="H620" s="278"/>
      <c r="I620" s="278"/>
      <c r="J620" s="278"/>
      <c r="K620" s="278"/>
      <c r="L620" s="278"/>
      <c r="M620" s="278"/>
      <c r="N620" s="278"/>
    </row>
    <row r="621" spans="1:14">
      <c r="A621" s="307"/>
      <c r="B621" s="278"/>
      <c r="C621" s="278"/>
      <c r="D621" s="278"/>
      <c r="E621" s="278"/>
      <c r="F621" s="278"/>
      <c r="G621" s="278"/>
      <c r="H621" s="278"/>
      <c r="I621" s="278"/>
      <c r="J621" s="278"/>
      <c r="K621" s="278"/>
      <c r="L621" s="278"/>
      <c r="M621" s="278"/>
      <c r="N621" s="278"/>
    </row>
    <row r="622" spans="1:14">
      <c r="A622" s="307"/>
      <c r="B622" s="278"/>
      <c r="C622" s="278"/>
      <c r="D622" s="278"/>
      <c r="E622" s="278"/>
      <c r="F622" s="278"/>
      <c r="G622" s="278"/>
      <c r="H622" s="278"/>
      <c r="I622" s="278"/>
      <c r="J622" s="278"/>
      <c r="K622" s="278"/>
      <c r="L622" s="278"/>
      <c r="M622" s="278"/>
      <c r="N622" s="278"/>
    </row>
    <row r="623" spans="1:14">
      <c r="A623" s="307"/>
      <c r="B623" s="278"/>
      <c r="C623" s="278"/>
      <c r="D623" s="278"/>
      <c r="E623" s="278"/>
      <c r="F623" s="278"/>
      <c r="G623" s="278"/>
      <c r="H623" s="278"/>
      <c r="I623" s="278"/>
      <c r="J623" s="278"/>
      <c r="K623" s="278"/>
      <c r="L623" s="278"/>
      <c r="M623" s="278"/>
      <c r="N623" s="278"/>
    </row>
    <row r="624" spans="1:14">
      <c r="A624" s="307"/>
      <c r="B624" s="278"/>
      <c r="C624" s="278"/>
      <c r="D624" s="278"/>
      <c r="E624" s="278"/>
      <c r="F624" s="278"/>
      <c r="G624" s="278"/>
      <c r="H624" s="278"/>
      <c r="I624" s="278"/>
      <c r="J624" s="278"/>
      <c r="K624" s="278"/>
      <c r="L624" s="278"/>
      <c r="M624" s="278"/>
      <c r="N624" s="278"/>
    </row>
    <row r="625" spans="1:14">
      <c r="A625" s="307"/>
      <c r="B625" s="278"/>
      <c r="C625" s="278"/>
      <c r="D625" s="278"/>
      <c r="E625" s="278"/>
      <c r="F625" s="278"/>
      <c r="G625" s="278"/>
      <c r="H625" s="278"/>
      <c r="I625" s="278"/>
      <c r="J625" s="278"/>
      <c r="K625" s="278"/>
      <c r="L625" s="278"/>
      <c r="M625" s="278"/>
      <c r="N625" s="278"/>
    </row>
    <row r="626" spans="1:14">
      <c r="A626" s="307"/>
      <c r="B626" s="278"/>
      <c r="C626" s="278"/>
      <c r="D626" s="278"/>
      <c r="E626" s="278"/>
      <c r="F626" s="278"/>
      <c r="G626" s="278"/>
      <c r="H626" s="278"/>
      <c r="I626" s="278"/>
      <c r="J626" s="278"/>
      <c r="K626" s="278"/>
      <c r="L626" s="278"/>
      <c r="M626" s="278"/>
      <c r="N626" s="278"/>
    </row>
    <row r="627" spans="1:14">
      <c r="A627" s="307"/>
      <c r="B627" s="278"/>
      <c r="C627" s="278"/>
      <c r="D627" s="278"/>
      <c r="E627" s="278"/>
      <c r="F627" s="278"/>
      <c r="G627" s="278"/>
      <c r="H627" s="278"/>
      <c r="I627" s="278"/>
      <c r="J627" s="278"/>
      <c r="K627" s="278"/>
      <c r="L627" s="278"/>
      <c r="M627" s="278"/>
      <c r="N627" s="278"/>
    </row>
    <row r="628" spans="1:14">
      <c r="A628" s="307"/>
      <c r="B628" s="278"/>
      <c r="C628" s="278"/>
      <c r="D628" s="278"/>
      <c r="E628" s="278"/>
      <c r="F628" s="278"/>
      <c r="G628" s="278"/>
      <c r="H628" s="278"/>
      <c r="I628" s="278"/>
      <c r="J628" s="278"/>
      <c r="K628" s="278"/>
      <c r="L628" s="278"/>
      <c r="M628" s="278"/>
      <c r="N628" s="278"/>
    </row>
    <row r="629" spans="1:14">
      <c r="A629" s="307"/>
      <c r="B629" s="278"/>
      <c r="C629" s="278"/>
      <c r="D629" s="278"/>
      <c r="E629" s="278"/>
      <c r="F629" s="278"/>
      <c r="G629" s="278"/>
      <c r="H629" s="278"/>
      <c r="I629" s="278"/>
      <c r="J629" s="278"/>
      <c r="K629" s="278"/>
      <c r="L629" s="278"/>
      <c r="M629" s="278"/>
      <c r="N629" s="278"/>
    </row>
    <row r="630" spans="1:14">
      <c r="A630" s="307"/>
      <c r="B630" s="278"/>
      <c r="C630" s="278"/>
      <c r="D630" s="278"/>
      <c r="E630" s="278"/>
      <c r="F630" s="278"/>
      <c r="G630" s="278"/>
      <c r="H630" s="278"/>
      <c r="I630" s="278"/>
      <c r="J630" s="278"/>
      <c r="K630" s="278"/>
      <c r="L630" s="278"/>
      <c r="M630" s="278"/>
      <c r="N630" s="278"/>
    </row>
    <row r="631" spans="1:14">
      <c r="A631" s="307"/>
      <c r="B631" s="278"/>
      <c r="C631" s="278"/>
      <c r="D631" s="278"/>
      <c r="E631" s="278"/>
      <c r="F631" s="278"/>
      <c r="G631" s="278"/>
      <c r="H631" s="278"/>
      <c r="I631" s="278"/>
      <c r="J631" s="278"/>
      <c r="K631" s="278"/>
      <c r="L631" s="278"/>
      <c r="M631" s="278"/>
      <c r="N631" s="278"/>
    </row>
    <row r="632" spans="1:14">
      <c r="A632" s="307"/>
      <c r="B632" s="278"/>
      <c r="C632" s="278"/>
      <c r="D632" s="278"/>
      <c r="E632" s="278"/>
      <c r="F632" s="278"/>
      <c r="G632" s="278"/>
      <c r="H632" s="278"/>
      <c r="I632" s="278"/>
      <c r="J632" s="278"/>
      <c r="K632" s="278"/>
      <c r="L632" s="278"/>
      <c r="M632" s="278"/>
      <c r="N632" s="278"/>
    </row>
    <row r="633" spans="1:14">
      <c r="A633" s="307"/>
      <c r="B633" s="278"/>
      <c r="C633" s="278"/>
      <c r="D633" s="278"/>
      <c r="E633" s="278"/>
      <c r="F633" s="278"/>
      <c r="G633" s="278"/>
      <c r="H633" s="278"/>
      <c r="I633" s="278"/>
      <c r="J633" s="278"/>
      <c r="K633" s="278"/>
      <c r="L633" s="278"/>
      <c r="M633" s="278"/>
      <c r="N633" s="278"/>
    </row>
    <row r="634" spans="1:14">
      <c r="A634" s="307"/>
      <c r="B634" s="278"/>
      <c r="C634" s="278"/>
      <c r="D634" s="278"/>
      <c r="E634" s="278"/>
      <c r="F634" s="278"/>
      <c r="G634" s="278"/>
      <c r="H634" s="278"/>
      <c r="I634" s="278"/>
      <c r="J634" s="278"/>
      <c r="K634" s="278"/>
      <c r="L634" s="278"/>
      <c r="M634" s="278"/>
      <c r="N634" s="278"/>
    </row>
    <row r="635" spans="1:14">
      <c r="A635" s="307"/>
      <c r="B635" s="278"/>
      <c r="C635" s="278"/>
      <c r="D635" s="278"/>
      <c r="E635" s="278"/>
      <c r="F635" s="278"/>
      <c r="G635" s="278"/>
      <c r="H635" s="278"/>
      <c r="I635" s="278"/>
      <c r="J635" s="278"/>
      <c r="K635" s="278"/>
      <c r="L635" s="278"/>
      <c r="M635" s="278"/>
      <c r="N635" s="278"/>
    </row>
    <row r="636" spans="1:14">
      <c r="A636" s="307"/>
      <c r="B636" s="278"/>
      <c r="C636" s="278"/>
      <c r="D636" s="278"/>
      <c r="E636" s="278"/>
      <c r="F636" s="278"/>
      <c r="G636" s="278"/>
      <c r="H636" s="278"/>
      <c r="I636" s="278"/>
      <c r="J636" s="278"/>
      <c r="K636" s="278"/>
      <c r="L636" s="278"/>
      <c r="M636" s="278"/>
      <c r="N636" s="278"/>
    </row>
    <row r="637" spans="1:14">
      <c r="A637" s="307"/>
      <c r="B637" s="278"/>
      <c r="C637" s="278"/>
      <c r="D637" s="278"/>
      <c r="E637" s="278"/>
      <c r="F637" s="278"/>
      <c r="G637" s="278"/>
      <c r="H637" s="278"/>
      <c r="I637" s="278"/>
      <c r="J637" s="278"/>
      <c r="K637" s="278"/>
      <c r="L637" s="278"/>
      <c r="M637" s="278"/>
      <c r="N637" s="278"/>
    </row>
    <row r="638" spans="1:14">
      <c r="A638" s="307"/>
      <c r="B638" s="278"/>
      <c r="C638" s="278"/>
      <c r="D638" s="278"/>
      <c r="E638" s="278"/>
      <c r="F638" s="278"/>
      <c r="G638" s="278"/>
      <c r="H638" s="278"/>
      <c r="I638" s="278"/>
      <c r="J638" s="278"/>
      <c r="K638" s="278"/>
      <c r="L638" s="278"/>
      <c r="M638" s="278"/>
      <c r="N638" s="278"/>
    </row>
    <row r="639" spans="1:14">
      <c r="A639" s="307"/>
      <c r="B639" s="278"/>
      <c r="C639" s="278"/>
      <c r="D639" s="278"/>
      <c r="E639" s="278"/>
      <c r="F639" s="278"/>
      <c r="G639" s="278"/>
      <c r="H639" s="278"/>
      <c r="I639" s="278"/>
      <c r="J639" s="278"/>
      <c r="K639" s="278"/>
      <c r="L639" s="278"/>
      <c r="M639" s="278"/>
      <c r="N639" s="278"/>
    </row>
    <row r="640" spans="1:14">
      <c r="A640" s="307"/>
      <c r="B640" s="278"/>
      <c r="C640" s="278"/>
      <c r="D640" s="278"/>
      <c r="E640" s="278"/>
      <c r="F640" s="278"/>
      <c r="G640" s="278"/>
      <c r="H640" s="278"/>
      <c r="I640" s="278"/>
      <c r="J640" s="278"/>
      <c r="K640" s="278"/>
      <c r="L640" s="278"/>
      <c r="M640" s="278"/>
      <c r="N640" s="278"/>
    </row>
    <row r="641" spans="1:14">
      <c r="A641" s="307"/>
      <c r="B641" s="278"/>
      <c r="C641" s="278"/>
      <c r="D641" s="278"/>
      <c r="E641" s="278"/>
      <c r="F641" s="278"/>
      <c r="G641" s="278"/>
      <c r="H641" s="278"/>
      <c r="I641" s="278"/>
      <c r="J641" s="278"/>
      <c r="K641" s="278"/>
      <c r="L641" s="278"/>
      <c r="M641" s="278"/>
      <c r="N641" s="278"/>
    </row>
    <row r="642" spans="1:14">
      <c r="A642" s="307"/>
      <c r="B642" s="278"/>
      <c r="C642" s="278"/>
      <c r="D642" s="278"/>
      <c r="E642" s="278"/>
      <c r="F642" s="278"/>
      <c r="G642" s="278"/>
      <c r="H642" s="278"/>
      <c r="I642" s="278"/>
      <c r="J642" s="278"/>
      <c r="K642" s="278"/>
      <c r="L642" s="278"/>
      <c r="M642" s="278"/>
      <c r="N642" s="278"/>
    </row>
    <row r="643" spans="1:14">
      <c r="A643" s="307"/>
      <c r="B643" s="278"/>
      <c r="C643" s="278"/>
      <c r="D643" s="278"/>
      <c r="E643" s="278"/>
      <c r="F643" s="278"/>
      <c r="G643" s="278"/>
      <c r="H643" s="278"/>
      <c r="I643" s="278"/>
      <c r="J643" s="278"/>
      <c r="K643" s="278"/>
      <c r="L643" s="278"/>
      <c r="M643" s="278"/>
      <c r="N643" s="278"/>
    </row>
    <row r="644" spans="1:14">
      <c r="A644" s="307"/>
      <c r="B644" s="278"/>
      <c r="C644" s="278"/>
      <c r="D644" s="278"/>
      <c r="E644" s="278"/>
      <c r="F644" s="278"/>
      <c r="G644" s="278"/>
      <c r="H644" s="278"/>
      <c r="I644" s="278"/>
      <c r="J644" s="278"/>
      <c r="K644" s="278"/>
      <c r="L644" s="278"/>
      <c r="M644" s="278"/>
      <c r="N644" s="278"/>
    </row>
    <row r="645" spans="1:14">
      <c r="A645" s="307"/>
      <c r="B645" s="278"/>
      <c r="C645" s="278"/>
      <c r="D645" s="278"/>
      <c r="E645" s="278"/>
      <c r="F645" s="278"/>
      <c r="G645" s="278"/>
      <c r="H645" s="278"/>
      <c r="I645" s="278"/>
      <c r="J645" s="278"/>
      <c r="K645" s="278"/>
      <c r="L645" s="278"/>
      <c r="M645" s="278"/>
      <c r="N645" s="278"/>
    </row>
    <row r="646" spans="1:14">
      <c r="A646" s="307"/>
      <c r="B646" s="278"/>
      <c r="C646" s="278"/>
      <c r="D646" s="278"/>
      <c r="E646" s="278"/>
      <c r="F646" s="278"/>
      <c r="G646" s="278"/>
      <c r="H646" s="278"/>
      <c r="I646" s="278"/>
      <c r="J646" s="278"/>
      <c r="K646" s="278"/>
      <c r="L646" s="278"/>
      <c r="M646" s="278"/>
      <c r="N646" s="278"/>
    </row>
    <row r="647" spans="1:14">
      <c r="A647" s="307"/>
      <c r="B647" s="278"/>
      <c r="C647" s="278"/>
      <c r="D647" s="278"/>
      <c r="E647" s="278"/>
      <c r="F647" s="278"/>
      <c r="G647" s="278"/>
      <c r="H647" s="278"/>
      <c r="I647" s="278"/>
      <c r="J647" s="278"/>
      <c r="K647" s="278"/>
      <c r="L647" s="278"/>
      <c r="M647" s="278"/>
      <c r="N647" s="278"/>
    </row>
    <row r="648" spans="1:14">
      <c r="A648" s="307"/>
      <c r="B648" s="278"/>
      <c r="C648" s="278"/>
      <c r="D648" s="278"/>
      <c r="E648" s="278"/>
      <c r="F648" s="278"/>
      <c r="G648" s="278"/>
      <c r="H648" s="278"/>
      <c r="I648" s="278"/>
      <c r="J648" s="278"/>
      <c r="K648" s="278"/>
      <c r="L648" s="278"/>
      <c r="M648" s="278"/>
      <c r="N648" s="278"/>
    </row>
    <row r="649" spans="1:14">
      <c r="A649" s="307"/>
      <c r="B649" s="278"/>
      <c r="C649" s="278"/>
      <c r="D649" s="278"/>
      <c r="E649" s="278"/>
      <c r="F649" s="278"/>
      <c r="G649" s="278"/>
      <c r="H649" s="278"/>
      <c r="I649" s="278"/>
      <c r="J649" s="278"/>
      <c r="K649" s="278"/>
      <c r="L649" s="278"/>
      <c r="M649" s="278"/>
      <c r="N649" s="278"/>
    </row>
    <row r="650" spans="1:14">
      <c r="A650" s="307"/>
      <c r="B650" s="278"/>
      <c r="C650" s="278"/>
      <c r="D650" s="278"/>
      <c r="E650" s="278"/>
      <c r="F650" s="278"/>
      <c r="G650" s="278"/>
      <c r="H650" s="278"/>
      <c r="I650" s="278"/>
      <c r="J650" s="278"/>
      <c r="K650" s="278"/>
      <c r="L650" s="278"/>
      <c r="M650" s="278"/>
      <c r="N650" s="278"/>
    </row>
    <row r="651" spans="1:14">
      <c r="A651" s="307"/>
      <c r="B651" s="278"/>
      <c r="C651" s="278"/>
      <c r="D651" s="278"/>
      <c r="E651" s="278"/>
      <c r="F651" s="278"/>
      <c r="G651" s="278"/>
      <c r="H651" s="278"/>
      <c r="I651" s="278"/>
      <c r="J651" s="278"/>
      <c r="K651" s="278"/>
      <c r="L651" s="278"/>
      <c r="M651" s="278"/>
      <c r="N651" s="278"/>
    </row>
    <row r="652" spans="1:14">
      <c r="A652" s="307"/>
      <c r="B652" s="278"/>
      <c r="C652" s="278"/>
      <c r="D652" s="278"/>
      <c r="E652" s="278"/>
      <c r="F652" s="278"/>
      <c r="G652" s="278"/>
      <c r="H652" s="278"/>
      <c r="I652" s="278"/>
      <c r="J652" s="278"/>
      <c r="K652" s="278"/>
      <c r="L652" s="278"/>
      <c r="M652" s="278"/>
      <c r="N652" s="278"/>
    </row>
    <row r="653" spans="1:14">
      <c r="A653" s="307"/>
      <c r="B653" s="278"/>
      <c r="C653" s="278"/>
      <c r="D653" s="278"/>
      <c r="E653" s="278"/>
      <c r="F653" s="278"/>
      <c r="G653" s="278"/>
      <c r="H653" s="278"/>
      <c r="I653" s="278"/>
      <c r="J653" s="278"/>
      <c r="K653" s="278"/>
      <c r="L653" s="278"/>
      <c r="M653" s="278"/>
      <c r="N653" s="278"/>
    </row>
    <row r="654" spans="1:14">
      <c r="A654" s="307"/>
      <c r="B654" s="278"/>
      <c r="C654" s="278"/>
      <c r="D654" s="278"/>
      <c r="E654" s="278"/>
      <c r="F654" s="278"/>
      <c r="G654" s="278"/>
      <c r="H654" s="278"/>
      <c r="I654" s="278"/>
      <c r="J654" s="278"/>
      <c r="K654" s="278"/>
      <c r="L654" s="278"/>
      <c r="M654" s="278"/>
      <c r="N654" s="278"/>
    </row>
    <row r="655" spans="1:14">
      <c r="A655" s="307"/>
      <c r="B655" s="278"/>
      <c r="C655" s="278"/>
      <c r="D655" s="278"/>
      <c r="E655" s="278"/>
      <c r="F655" s="278"/>
      <c r="G655" s="278"/>
      <c r="H655" s="278"/>
      <c r="I655" s="278"/>
      <c r="J655" s="278"/>
      <c r="K655" s="278"/>
      <c r="L655" s="278"/>
      <c r="M655" s="278"/>
      <c r="N655" s="278"/>
    </row>
    <row r="656" spans="1:14">
      <c r="A656" s="307"/>
      <c r="B656" s="278"/>
      <c r="C656" s="278"/>
      <c r="D656" s="278"/>
      <c r="E656" s="278"/>
      <c r="F656" s="278"/>
      <c r="G656" s="278"/>
      <c r="H656" s="278"/>
      <c r="I656" s="278"/>
      <c r="J656" s="278"/>
      <c r="K656" s="278"/>
      <c r="L656" s="278"/>
      <c r="M656" s="278"/>
      <c r="N656" s="278"/>
    </row>
    <row r="657" spans="1:14">
      <c r="A657" s="307"/>
      <c r="B657" s="278"/>
      <c r="C657" s="278"/>
      <c r="D657" s="278"/>
      <c r="E657" s="278"/>
      <c r="F657" s="278"/>
      <c r="G657" s="278"/>
      <c r="H657" s="278"/>
      <c r="I657" s="278"/>
      <c r="J657" s="278"/>
      <c r="K657" s="278"/>
      <c r="L657" s="278"/>
      <c r="M657" s="278"/>
      <c r="N657" s="278"/>
    </row>
    <row r="658" spans="1:14">
      <c r="A658" s="307"/>
      <c r="B658" s="278"/>
      <c r="C658" s="278"/>
      <c r="D658" s="278"/>
      <c r="E658" s="278"/>
      <c r="F658" s="278"/>
      <c r="G658" s="278"/>
      <c r="H658" s="278"/>
      <c r="I658" s="278"/>
      <c r="J658" s="278"/>
      <c r="K658" s="278"/>
      <c r="L658" s="278"/>
      <c r="M658" s="278"/>
      <c r="N658" s="278"/>
    </row>
    <row r="659" spans="1:14">
      <c r="A659" s="307"/>
      <c r="B659" s="278"/>
      <c r="C659" s="278"/>
      <c r="D659" s="278"/>
      <c r="E659" s="278"/>
      <c r="F659" s="278"/>
      <c r="G659" s="278"/>
      <c r="H659" s="278"/>
      <c r="I659" s="278"/>
      <c r="J659" s="278"/>
      <c r="K659" s="278"/>
      <c r="L659" s="278"/>
      <c r="M659" s="278"/>
      <c r="N659" s="278"/>
    </row>
    <row r="660" spans="1:14">
      <c r="A660" s="307"/>
      <c r="B660" s="278"/>
      <c r="C660" s="278"/>
      <c r="D660" s="278"/>
      <c r="E660" s="278"/>
      <c r="F660" s="278"/>
      <c r="G660" s="278"/>
      <c r="H660" s="278"/>
      <c r="I660" s="278"/>
      <c r="J660" s="278"/>
      <c r="K660" s="278"/>
      <c r="L660" s="278"/>
      <c r="M660" s="278"/>
      <c r="N660" s="278"/>
    </row>
    <row r="661" spans="1:14">
      <c r="A661" s="307"/>
      <c r="B661" s="278"/>
      <c r="C661" s="278"/>
      <c r="D661" s="278"/>
      <c r="E661" s="278"/>
      <c r="F661" s="278"/>
      <c r="G661" s="278"/>
      <c r="H661" s="278"/>
      <c r="I661" s="278"/>
      <c r="J661" s="278"/>
      <c r="K661" s="278"/>
      <c r="L661" s="278"/>
      <c r="M661" s="278"/>
      <c r="N661" s="278"/>
    </row>
    <row r="662" spans="1:14">
      <c r="A662" s="307"/>
      <c r="B662" s="278"/>
      <c r="C662" s="278"/>
      <c r="D662" s="278"/>
      <c r="E662" s="278"/>
      <c r="F662" s="278"/>
      <c r="G662" s="278"/>
      <c r="H662" s="278"/>
      <c r="I662" s="278"/>
      <c r="J662" s="278"/>
      <c r="K662" s="278"/>
      <c r="L662" s="278"/>
      <c r="M662" s="278"/>
      <c r="N662" s="278"/>
    </row>
    <row r="663" spans="1:14">
      <c r="A663" s="307"/>
      <c r="B663" s="278"/>
      <c r="C663" s="278"/>
      <c r="D663" s="278"/>
      <c r="E663" s="278"/>
      <c r="F663" s="278"/>
      <c r="G663" s="278"/>
      <c r="H663" s="278"/>
      <c r="I663" s="278"/>
      <c r="J663" s="278"/>
      <c r="K663" s="278"/>
      <c r="L663" s="278"/>
      <c r="M663" s="278"/>
      <c r="N663" s="278"/>
    </row>
    <row r="664" spans="1:14">
      <c r="A664" s="307"/>
      <c r="B664" s="278"/>
      <c r="C664" s="278"/>
      <c r="D664" s="278"/>
      <c r="E664" s="278"/>
      <c r="F664" s="278"/>
      <c r="G664" s="278"/>
      <c r="H664" s="278"/>
      <c r="I664" s="278"/>
      <c r="J664" s="278"/>
      <c r="K664" s="278"/>
      <c r="L664" s="278"/>
      <c r="M664" s="278"/>
      <c r="N664" s="278"/>
    </row>
    <row r="665" spans="1:14">
      <c r="A665" s="307"/>
      <c r="B665" s="278"/>
      <c r="C665" s="278"/>
      <c r="D665" s="278"/>
      <c r="E665" s="278"/>
      <c r="F665" s="278"/>
      <c r="G665" s="278"/>
      <c r="H665" s="278"/>
      <c r="I665" s="278"/>
      <c r="J665" s="278"/>
      <c r="K665" s="278"/>
      <c r="L665" s="278"/>
      <c r="M665" s="278"/>
      <c r="N665" s="278"/>
    </row>
    <row r="666" spans="1:14">
      <c r="A666" s="307"/>
      <c r="B666" s="278"/>
      <c r="C666" s="278"/>
      <c r="D666" s="278"/>
      <c r="E666" s="278"/>
      <c r="F666" s="278"/>
      <c r="G666" s="278"/>
      <c r="H666" s="278"/>
      <c r="I666" s="278"/>
      <c r="J666" s="278"/>
      <c r="K666" s="278"/>
      <c r="L666" s="278"/>
      <c r="M666" s="278"/>
      <c r="N666" s="278"/>
    </row>
    <row r="667" spans="1:14">
      <c r="A667" s="307"/>
      <c r="B667" s="278"/>
      <c r="C667" s="278"/>
      <c r="D667" s="278"/>
      <c r="E667" s="278"/>
      <c r="F667" s="278"/>
      <c r="G667" s="278"/>
      <c r="H667" s="278"/>
      <c r="I667" s="278"/>
      <c r="J667" s="278"/>
      <c r="K667" s="278"/>
      <c r="L667" s="278"/>
      <c r="M667" s="278"/>
      <c r="N667" s="278"/>
    </row>
    <row r="668" spans="1:14">
      <c r="A668" s="307"/>
      <c r="B668" s="278"/>
      <c r="C668" s="278"/>
      <c r="D668" s="278"/>
      <c r="E668" s="278"/>
      <c r="F668" s="278"/>
      <c r="G668" s="278"/>
      <c r="H668" s="278"/>
      <c r="I668" s="278"/>
      <c r="J668" s="278"/>
      <c r="K668" s="278"/>
      <c r="L668" s="278"/>
      <c r="M668" s="278"/>
      <c r="N668" s="278"/>
    </row>
    <row r="669" spans="1:14">
      <c r="A669" s="307"/>
      <c r="B669" s="278"/>
      <c r="C669" s="278"/>
      <c r="D669" s="278"/>
      <c r="E669" s="278"/>
      <c r="F669" s="278"/>
      <c r="G669" s="278"/>
      <c r="H669" s="278"/>
      <c r="I669" s="278"/>
      <c r="J669" s="278"/>
      <c r="K669" s="278"/>
      <c r="L669" s="278"/>
      <c r="M669" s="278"/>
      <c r="N669" s="278"/>
    </row>
    <row r="670" spans="1:14">
      <c r="A670" s="307"/>
      <c r="B670" s="278"/>
      <c r="C670" s="278"/>
      <c r="D670" s="278"/>
      <c r="E670" s="278"/>
      <c r="F670" s="278"/>
      <c r="G670" s="278"/>
      <c r="H670" s="278"/>
      <c r="I670" s="278"/>
      <c r="J670" s="278"/>
      <c r="K670" s="278"/>
      <c r="L670" s="278"/>
      <c r="M670" s="278"/>
      <c r="N670" s="278"/>
    </row>
    <row r="671" spans="1:14">
      <c r="A671" s="307"/>
      <c r="B671" s="278"/>
      <c r="C671" s="278"/>
      <c r="D671" s="278"/>
      <c r="E671" s="278"/>
      <c r="F671" s="278"/>
      <c r="G671" s="278"/>
      <c r="H671" s="278"/>
      <c r="I671" s="278"/>
      <c r="J671" s="278"/>
      <c r="K671" s="278"/>
      <c r="L671" s="278"/>
      <c r="M671" s="278"/>
      <c r="N671" s="278"/>
    </row>
    <row r="672" spans="1:14">
      <c r="A672" s="307"/>
      <c r="B672" s="278"/>
      <c r="C672" s="278"/>
      <c r="D672" s="278"/>
      <c r="E672" s="278"/>
      <c r="F672" s="278"/>
      <c r="G672" s="278"/>
      <c r="H672" s="278"/>
      <c r="I672" s="278"/>
      <c r="J672" s="278"/>
      <c r="K672" s="278"/>
      <c r="L672" s="278"/>
      <c r="M672" s="278"/>
      <c r="N672" s="278"/>
    </row>
    <row r="673" spans="1:14">
      <c r="A673" s="307"/>
      <c r="B673" s="278"/>
      <c r="C673" s="278"/>
      <c r="D673" s="278"/>
      <c r="E673" s="278"/>
      <c r="F673" s="278"/>
      <c r="G673" s="278"/>
      <c r="H673" s="278"/>
      <c r="I673" s="278"/>
      <c r="J673" s="278"/>
      <c r="K673" s="278"/>
      <c r="L673" s="278"/>
      <c r="M673" s="278"/>
      <c r="N673" s="278"/>
    </row>
    <row r="674" spans="1:14">
      <c r="A674" s="307"/>
      <c r="B674" s="278"/>
      <c r="C674" s="278"/>
      <c r="D674" s="278"/>
      <c r="E674" s="278"/>
      <c r="F674" s="278"/>
      <c r="G674" s="278"/>
      <c r="H674" s="278"/>
      <c r="I674" s="278"/>
      <c r="J674" s="278"/>
      <c r="K674" s="278"/>
      <c r="L674" s="278"/>
      <c r="M674" s="278"/>
      <c r="N674" s="278"/>
    </row>
    <row r="675" spans="1:14">
      <c r="A675" s="307"/>
      <c r="B675" s="278"/>
      <c r="C675" s="278"/>
      <c r="D675" s="278"/>
      <c r="E675" s="278"/>
      <c r="F675" s="278"/>
      <c r="G675" s="278"/>
      <c r="H675" s="278"/>
      <c r="I675" s="278"/>
      <c r="J675" s="278"/>
      <c r="K675" s="278"/>
      <c r="L675" s="278"/>
      <c r="M675" s="278"/>
      <c r="N675" s="278"/>
    </row>
    <row r="676" spans="1:14">
      <c r="A676" s="307"/>
      <c r="B676" s="278"/>
      <c r="C676" s="278"/>
      <c r="D676" s="278"/>
      <c r="E676" s="278"/>
      <c r="F676" s="278"/>
      <c r="G676" s="278"/>
      <c r="H676" s="278"/>
      <c r="I676" s="278"/>
      <c r="J676" s="278"/>
      <c r="K676" s="278"/>
      <c r="L676" s="278"/>
      <c r="M676" s="278"/>
      <c r="N676" s="278"/>
    </row>
    <row r="677" spans="1:14">
      <c r="A677" s="307"/>
      <c r="B677" s="278"/>
      <c r="C677" s="278"/>
      <c r="D677" s="278"/>
      <c r="E677" s="278"/>
      <c r="F677" s="278"/>
      <c r="G677" s="278"/>
      <c r="H677" s="278"/>
      <c r="I677" s="278"/>
      <c r="J677" s="278"/>
      <c r="K677" s="278"/>
      <c r="L677" s="278"/>
      <c r="M677" s="278"/>
      <c r="N677" s="278"/>
    </row>
    <row r="678" spans="1:14">
      <c r="A678" s="307"/>
      <c r="B678" s="278"/>
      <c r="C678" s="278"/>
      <c r="D678" s="278"/>
      <c r="E678" s="278"/>
      <c r="F678" s="278"/>
      <c r="G678" s="278"/>
      <c r="H678" s="278"/>
      <c r="I678" s="278"/>
      <c r="J678" s="278"/>
      <c r="K678" s="278"/>
      <c r="L678" s="278"/>
      <c r="M678" s="278"/>
      <c r="N678" s="278"/>
    </row>
    <row r="679" spans="1:14">
      <c r="A679" s="307"/>
      <c r="B679" s="278"/>
      <c r="C679" s="278"/>
      <c r="D679" s="278"/>
      <c r="E679" s="278"/>
      <c r="F679" s="278"/>
      <c r="G679" s="278"/>
      <c r="H679" s="278"/>
      <c r="I679" s="278"/>
      <c r="J679" s="278"/>
      <c r="K679" s="278"/>
      <c r="L679" s="278"/>
      <c r="M679" s="278"/>
      <c r="N679" s="278"/>
    </row>
    <row r="680" spans="1:14">
      <c r="A680" s="307"/>
      <c r="B680" s="278"/>
      <c r="C680" s="278"/>
      <c r="D680" s="278"/>
      <c r="E680" s="278"/>
      <c r="F680" s="278"/>
      <c r="G680" s="278"/>
      <c r="H680" s="278"/>
      <c r="I680" s="278"/>
      <c r="J680" s="278"/>
      <c r="K680" s="278"/>
      <c r="L680" s="278"/>
      <c r="M680" s="278"/>
      <c r="N680" s="278"/>
    </row>
    <row r="681" spans="1:14">
      <c r="A681" s="307"/>
      <c r="B681" s="278"/>
      <c r="C681" s="278"/>
      <c r="D681" s="278"/>
      <c r="E681" s="278"/>
      <c r="F681" s="278"/>
      <c r="G681" s="278"/>
      <c r="H681" s="278"/>
      <c r="I681" s="278"/>
      <c r="J681" s="278"/>
      <c r="K681" s="278"/>
      <c r="L681" s="278"/>
      <c r="M681" s="278"/>
      <c r="N681" s="278"/>
    </row>
    <row r="682" spans="1:14">
      <c r="A682" s="307"/>
      <c r="B682" s="278"/>
      <c r="C682" s="278"/>
      <c r="D682" s="278"/>
      <c r="E682" s="278"/>
      <c r="F682" s="278"/>
      <c r="G682" s="278"/>
      <c r="H682" s="278"/>
      <c r="I682" s="278"/>
      <c r="J682" s="278"/>
      <c r="K682" s="278"/>
      <c r="L682" s="278"/>
      <c r="M682" s="278"/>
      <c r="N682" s="278"/>
    </row>
    <row r="683" spans="1:14">
      <c r="A683" s="307"/>
      <c r="B683" s="278"/>
      <c r="C683" s="278"/>
      <c r="D683" s="278"/>
      <c r="E683" s="278"/>
      <c r="F683" s="278"/>
      <c r="G683" s="278"/>
      <c r="H683" s="278"/>
      <c r="I683" s="278"/>
      <c r="J683" s="278"/>
      <c r="K683" s="278"/>
      <c r="L683" s="278"/>
      <c r="M683" s="278"/>
      <c r="N683" s="278"/>
    </row>
    <row r="684" spans="1:14">
      <c r="A684" s="307"/>
      <c r="B684" s="278"/>
      <c r="C684" s="278"/>
      <c r="D684" s="278"/>
      <c r="E684" s="278"/>
      <c r="F684" s="278"/>
      <c r="G684" s="278"/>
      <c r="H684" s="278"/>
      <c r="I684" s="278"/>
      <c r="J684" s="278"/>
      <c r="K684" s="278"/>
      <c r="L684" s="278"/>
      <c r="M684" s="278"/>
      <c r="N684" s="278"/>
    </row>
    <row r="685" spans="1:14">
      <c r="A685" s="307"/>
      <c r="B685" s="278"/>
      <c r="C685" s="278"/>
      <c r="D685" s="278"/>
      <c r="E685" s="278"/>
      <c r="F685" s="278"/>
      <c r="G685" s="278"/>
      <c r="H685" s="278"/>
      <c r="I685" s="278"/>
      <c r="J685" s="278"/>
      <c r="K685" s="278"/>
      <c r="L685" s="278"/>
      <c r="M685" s="278"/>
      <c r="N685" s="278"/>
    </row>
    <row r="686" spans="1:14">
      <c r="A686" s="307"/>
      <c r="B686" s="278"/>
      <c r="C686" s="278"/>
      <c r="D686" s="278"/>
      <c r="E686" s="278"/>
      <c r="F686" s="278"/>
      <c r="G686" s="278"/>
      <c r="H686" s="278"/>
      <c r="I686" s="278"/>
      <c r="J686" s="278"/>
      <c r="K686" s="278"/>
      <c r="L686" s="278"/>
      <c r="M686" s="278"/>
      <c r="N686" s="278"/>
    </row>
    <row r="687" spans="1:14">
      <c r="A687" s="307"/>
      <c r="B687" s="278"/>
      <c r="C687" s="278"/>
      <c r="D687" s="278"/>
      <c r="E687" s="278"/>
      <c r="F687" s="278"/>
      <c r="G687" s="278"/>
      <c r="H687" s="278"/>
      <c r="I687" s="278"/>
      <c r="J687" s="278"/>
      <c r="K687" s="278"/>
      <c r="L687" s="278"/>
      <c r="M687" s="278"/>
      <c r="N687" s="278"/>
    </row>
    <row r="688" spans="1:14">
      <c r="A688" s="307"/>
      <c r="B688" s="278"/>
      <c r="C688" s="278"/>
      <c r="D688" s="278"/>
      <c r="E688" s="278"/>
      <c r="F688" s="278"/>
      <c r="G688" s="278"/>
      <c r="H688" s="278"/>
      <c r="I688" s="278"/>
      <c r="J688" s="278"/>
      <c r="K688" s="278"/>
      <c r="L688" s="278"/>
      <c r="M688" s="278"/>
      <c r="N688" s="278"/>
    </row>
    <row r="689" spans="1:14">
      <c r="A689" s="307"/>
      <c r="B689" s="278"/>
      <c r="C689" s="278"/>
      <c r="D689" s="278"/>
      <c r="E689" s="278"/>
      <c r="F689" s="278"/>
      <c r="G689" s="278"/>
      <c r="H689" s="278"/>
      <c r="I689" s="278"/>
      <c r="J689" s="278"/>
      <c r="K689" s="278"/>
      <c r="L689" s="278"/>
      <c r="M689" s="278"/>
      <c r="N689" s="278"/>
    </row>
    <row r="690" spans="1:14">
      <c r="A690" s="307"/>
      <c r="B690" s="278"/>
      <c r="C690" s="278"/>
      <c r="D690" s="278"/>
      <c r="E690" s="278"/>
      <c r="F690" s="278"/>
      <c r="G690" s="278"/>
      <c r="H690" s="278"/>
      <c r="I690" s="278"/>
      <c r="J690" s="278"/>
      <c r="K690" s="278"/>
      <c r="L690" s="278"/>
      <c r="M690" s="278"/>
      <c r="N690" s="278"/>
    </row>
    <row r="691" spans="1:14">
      <c r="A691" s="307"/>
      <c r="B691" s="278"/>
      <c r="C691" s="278"/>
      <c r="D691" s="278"/>
      <c r="E691" s="278"/>
      <c r="F691" s="278"/>
      <c r="G691" s="278"/>
      <c r="H691" s="278"/>
      <c r="I691" s="278"/>
      <c r="J691" s="278"/>
      <c r="K691" s="278"/>
      <c r="L691" s="278"/>
      <c r="M691" s="278"/>
      <c r="N691" s="278"/>
    </row>
    <row r="692" spans="1:14">
      <c r="A692" s="307"/>
      <c r="B692" s="278"/>
      <c r="C692" s="278"/>
      <c r="D692" s="278"/>
      <c r="E692" s="278"/>
      <c r="F692" s="278"/>
      <c r="G692" s="278"/>
      <c r="H692" s="278"/>
      <c r="I692" s="278"/>
      <c r="J692" s="278"/>
      <c r="K692" s="278"/>
      <c r="L692" s="278"/>
      <c r="M692" s="278"/>
      <c r="N692" s="278"/>
    </row>
    <row r="693" spans="1:14">
      <c r="A693" s="307"/>
      <c r="B693" s="278"/>
      <c r="C693" s="278"/>
      <c r="D693" s="278"/>
      <c r="E693" s="278"/>
      <c r="F693" s="278"/>
      <c r="G693" s="278"/>
      <c r="H693" s="278"/>
      <c r="I693" s="278"/>
      <c r="J693" s="278"/>
      <c r="K693" s="278"/>
      <c r="L693" s="278"/>
      <c r="M693" s="278"/>
      <c r="N693" s="278"/>
    </row>
    <row r="694" spans="1:14">
      <c r="A694" s="307"/>
      <c r="B694" s="278"/>
      <c r="C694" s="278"/>
      <c r="D694" s="278"/>
      <c r="E694" s="278"/>
      <c r="F694" s="278"/>
      <c r="G694" s="278"/>
      <c r="H694" s="278"/>
      <c r="I694" s="278"/>
      <c r="J694" s="278"/>
      <c r="K694" s="278"/>
      <c r="L694" s="278"/>
      <c r="M694" s="278"/>
      <c r="N694" s="278"/>
    </row>
    <row r="695" spans="1:14">
      <c r="A695" s="307"/>
      <c r="B695" s="278"/>
      <c r="C695" s="278"/>
      <c r="D695" s="278"/>
      <c r="E695" s="278"/>
      <c r="F695" s="278"/>
      <c r="G695" s="278"/>
      <c r="H695" s="278"/>
      <c r="I695" s="278"/>
      <c r="J695" s="278"/>
      <c r="K695" s="278"/>
      <c r="L695" s="278"/>
      <c r="M695" s="278"/>
      <c r="N695" s="278"/>
    </row>
    <row r="696" spans="1:14">
      <c r="A696" s="307"/>
      <c r="B696" s="278"/>
      <c r="C696" s="278"/>
      <c r="D696" s="278"/>
      <c r="E696" s="278"/>
      <c r="F696" s="278"/>
      <c r="G696" s="278"/>
      <c r="H696" s="278"/>
      <c r="I696" s="278"/>
      <c r="J696" s="278"/>
      <c r="K696" s="278"/>
      <c r="L696" s="278"/>
      <c r="M696" s="278"/>
      <c r="N696" s="278"/>
    </row>
    <row r="697" spans="1:14">
      <c r="A697" s="307"/>
      <c r="B697" s="278"/>
      <c r="C697" s="278"/>
      <c r="D697" s="278"/>
      <c r="E697" s="278"/>
      <c r="F697" s="278"/>
      <c r="G697" s="278"/>
      <c r="H697" s="278"/>
      <c r="I697" s="278"/>
      <c r="J697" s="278"/>
      <c r="K697" s="278"/>
      <c r="L697" s="278"/>
      <c r="M697" s="278"/>
      <c r="N697" s="278"/>
    </row>
    <row r="698" spans="1:14">
      <c r="A698" s="307"/>
      <c r="B698" s="278"/>
      <c r="C698" s="278"/>
      <c r="D698" s="278"/>
      <c r="E698" s="278"/>
      <c r="F698" s="278"/>
      <c r="G698" s="278"/>
      <c r="H698" s="278"/>
      <c r="I698" s="278"/>
      <c r="J698" s="278"/>
      <c r="K698" s="278"/>
      <c r="L698" s="278"/>
      <c r="M698" s="278"/>
      <c r="N698" s="278"/>
    </row>
    <row r="699" spans="1:14">
      <c r="A699" s="307"/>
      <c r="B699" s="278"/>
      <c r="C699" s="278"/>
      <c r="D699" s="278"/>
      <c r="E699" s="278"/>
      <c r="F699" s="278"/>
      <c r="G699" s="278"/>
      <c r="H699" s="278"/>
      <c r="I699" s="278"/>
      <c r="J699" s="278"/>
      <c r="K699" s="278"/>
      <c r="L699" s="278"/>
      <c r="M699" s="278"/>
      <c r="N699" s="278"/>
    </row>
    <row r="700" spans="1:14">
      <c r="A700" s="307"/>
      <c r="B700" s="278"/>
      <c r="C700" s="278"/>
      <c r="D700" s="278"/>
      <c r="E700" s="278"/>
      <c r="F700" s="278"/>
      <c r="G700" s="278"/>
      <c r="H700" s="278"/>
      <c r="I700" s="278"/>
      <c r="J700" s="278"/>
      <c r="K700" s="278"/>
      <c r="L700" s="278"/>
      <c r="M700" s="278"/>
      <c r="N700" s="278"/>
    </row>
    <row r="701" spans="1:14">
      <c r="A701" s="307"/>
      <c r="B701" s="278"/>
      <c r="C701" s="278"/>
      <c r="D701" s="278"/>
      <c r="E701" s="278"/>
      <c r="F701" s="278"/>
      <c r="G701" s="278"/>
      <c r="H701" s="278"/>
      <c r="I701" s="278"/>
      <c r="J701" s="278"/>
      <c r="K701" s="278"/>
      <c r="L701" s="278"/>
      <c r="M701" s="278"/>
      <c r="N701" s="278"/>
    </row>
    <row r="702" spans="1:14">
      <c r="A702" s="307"/>
      <c r="B702" s="278"/>
      <c r="C702" s="278"/>
      <c r="D702" s="278"/>
      <c r="E702" s="278"/>
      <c r="F702" s="278"/>
      <c r="G702" s="278"/>
      <c r="H702" s="278"/>
      <c r="I702" s="278"/>
      <c r="J702" s="278"/>
      <c r="K702" s="278"/>
      <c r="L702" s="278"/>
      <c r="M702" s="278"/>
      <c r="N702" s="278"/>
    </row>
    <row r="703" spans="1:14">
      <c r="A703" s="307"/>
      <c r="B703" s="278"/>
      <c r="C703" s="278"/>
      <c r="D703" s="278"/>
      <c r="E703" s="278"/>
      <c r="F703" s="278"/>
      <c r="G703" s="278"/>
      <c r="H703" s="278"/>
      <c r="I703" s="278"/>
      <c r="J703" s="278"/>
      <c r="K703" s="278"/>
      <c r="L703" s="278"/>
      <c r="M703" s="278"/>
      <c r="N703" s="278"/>
    </row>
    <row r="704" spans="1:14">
      <c r="A704" s="307"/>
      <c r="B704" s="278"/>
      <c r="C704" s="278"/>
      <c r="D704" s="278"/>
      <c r="E704" s="278"/>
      <c r="F704" s="278"/>
      <c r="G704" s="278"/>
      <c r="H704" s="278"/>
      <c r="I704" s="278"/>
      <c r="J704" s="278"/>
      <c r="K704" s="278"/>
      <c r="L704" s="278"/>
      <c r="M704" s="278"/>
      <c r="N704" s="278"/>
    </row>
    <row r="705" spans="1:14">
      <c r="A705" s="307"/>
      <c r="B705" s="278"/>
      <c r="C705" s="278"/>
      <c r="D705" s="278"/>
      <c r="E705" s="278"/>
      <c r="F705" s="278"/>
      <c r="G705" s="278"/>
      <c r="H705" s="278"/>
      <c r="I705" s="278"/>
      <c r="J705" s="278"/>
      <c r="K705" s="278"/>
      <c r="L705" s="278"/>
      <c r="M705" s="278"/>
      <c r="N705" s="278"/>
    </row>
    <row r="706" spans="1:14">
      <c r="A706" s="307"/>
      <c r="B706" s="278"/>
      <c r="C706" s="278"/>
      <c r="D706" s="278"/>
      <c r="E706" s="278"/>
      <c r="F706" s="278"/>
      <c r="G706" s="278"/>
      <c r="H706" s="278"/>
      <c r="I706" s="278"/>
      <c r="J706" s="278"/>
      <c r="K706" s="278"/>
      <c r="L706" s="278"/>
      <c r="M706" s="278"/>
      <c r="N706" s="278"/>
    </row>
    <row r="707" spans="1:14">
      <c r="A707" s="307"/>
      <c r="B707" s="278"/>
      <c r="C707" s="278"/>
      <c r="D707" s="278"/>
      <c r="E707" s="278"/>
      <c r="F707" s="278"/>
      <c r="G707" s="278"/>
      <c r="H707" s="278"/>
      <c r="I707" s="278"/>
      <c r="J707" s="278"/>
      <c r="K707" s="278"/>
      <c r="L707" s="278"/>
      <c r="M707" s="278"/>
      <c r="N707" s="278"/>
    </row>
    <row r="708" spans="1:14">
      <c r="A708" s="307"/>
      <c r="B708" s="278"/>
      <c r="C708" s="278"/>
      <c r="D708" s="278"/>
      <c r="E708" s="278"/>
      <c r="F708" s="278"/>
      <c r="G708" s="278"/>
      <c r="H708" s="278"/>
      <c r="I708" s="278"/>
      <c r="J708" s="278"/>
      <c r="K708" s="278"/>
      <c r="L708" s="278"/>
      <c r="M708" s="278"/>
      <c r="N708" s="278"/>
    </row>
    <row r="709" spans="1:14">
      <c r="A709" s="307"/>
      <c r="B709" s="278"/>
      <c r="C709" s="278"/>
      <c r="D709" s="278"/>
      <c r="E709" s="278"/>
      <c r="F709" s="278"/>
      <c r="G709" s="278"/>
      <c r="H709" s="278"/>
      <c r="I709" s="278"/>
      <c r="J709" s="278"/>
      <c r="K709" s="278"/>
      <c r="L709" s="278"/>
      <c r="M709" s="278"/>
      <c r="N709" s="278"/>
    </row>
    <row r="710" spans="1:14">
      <c r="A710" s="307"/>
      <c r="B710" s="278"/>
      <c r="C710" s="278"/>
      <c r="D710" s="278"/>
      <c r="E710" s="278"/>
      <c r="F710" s="278"/>
      <c r="G710" s="278"/>
      <c r="H710" s="278"/>
      <c r="I710" s="278"/>
      <c r="J710" s="278"/>
      <c r="K710" s="278"/>
      <c r="L710" s="278"/>
      <c r="M710" s="278"/>
      <c r="N710" s="278"/>
    </row>
    <row r="711" spans="1:14">
      <c r="A711" s="307"/>
      <c r="B711" s="278"/>
      <c r="C711" s="278"/>
      <c r="D711" s="278"/>
      <c r="E711" s="278"/>
      <c r="F711" s="278"/>
      <c r="G711" s="278"/>
      <c r="H711" s="278"/>
      <c r="I711" s="278"/>
      <c r="J711" s="278"/>
      <c r="K711" s="278"/>
      <c r="L711" s="278"/>
      <c r="M711" s="278"/>
      <c r="N711" s="278"/>
    </row>
    <row r="712" spans="1:14">
      <c r="A712" s="307"/>
      <c r="B712" s="278"/>
      <c r="C712" s="278"/>
      <c r="D712" s="278"/>
      <c r="E712" s="278"/>
      <c r="F712" s="278"/>
      <c r="G712" s="278"/>
      <c r="H712" s="278"/>
      <c r="I712" s="278"/>
      <c r="J712" s="278"/>
      <c r="K712" s="278"/>
      <c r="L712" s="278"/>
      <c r="M712" s="278"/>
      <c r="N712" s="278"/>
    </row>
    <row r="713" spans="1:14">
      <c r="A713" s="307"/>
      <c r="B713" s="278"/>
      <c r="C713" s="278"/>
      <c r="D713" s="278"/>
      <c r="E713" s="278"/>
      <c r="F713" s="278"/>
      <c r="G713" s="278"/>
      <c r="H713" s="278"/>
      <c r="I713" s="278"/>
      <c r="J713" s="278"/>
      <c r="K713" s="278"/>
      <c r="L713" s="278"/>
      <c r="M713" s="278"/>
      <c r="N713" s="278"/>
    </row>
    <row r="714" spans="1:14">
      <c r="A714" s="307"/>
      <c r="B714" s="278"/>
      <c r="C714" s="278"/>
      <c r="D714" s="278"/>
      <c r="E714" s="278"/>
      <c r="F714" s="278"/>
      <c r="G714" s="278"/>
      <c r="H714" s="278"/>
      <c r="I714" s="278"/>
      <c r="J714" s="278"/>
      <c r="K714" s="278"/>
      <c r="L714" s="278"/>
      <c r="M714" s="278"/>
      <c r="N714" s="278"/>
    </row>
    <row r="715" spans="1:14">
      <c r="A715" s="307"/>
      <c r="B715" s="278"/>
      <c r="C715" s="278"/>
      <c r="D715" s="278"/>
      <c r="E715" s="278"/>
      <c r="F715" s="278"/>
      <c r="G715" s="278"/>
      <c r="H715" s="278"/>
      <c r="I715" s="278"/>
      <c r="J715" s="278"/>
      <c r="K715" s="278"/>
      <c r="L715" s="278"/>
      <c r="M715" s="278"/>
      <c r="N715" s="278"/>
    </row>
    <row r="716" spans="1:14">
      <c r="A716" s="307"/>
      <c r="B716" s="278"/>
      <c r="C716" s="278"/>
      <c r="D716" s="278"/>
      <c r="E716" s="278"/>
      <c r="F716" s="278"/>
      <c r="G716" s="278"/>
      <c r="H716" s="278"/>
      <c r="I716" s="278"/>
      <c r="J716" s="278"/>
      <c r="K716" s="278"/>
      <c r="L716" s="278"/>
      <c r="M716" s="278"/>
      <c r="N716" s="278"/>
    </row>
    <row r="717" spans="1:14">
      <c r="A717" s="307"/>
      <c r="B717" s="278"/>
      <c r="C717" s="278"/>
      <c r="D717" s="278"/>
      <c r="E717" s="278"/>
      <c r="F717" s="278"/>
      <c r="G717" s="278"/>
      <c r="H717" s="278"/>
      <c r="I717" s="278"/>
      <c r="J717" s="278"/>
      <c r="K717" s="278"/>
      <c r="L717" s="278"/>
      <c r="M717" s="278"/>
      <c r="N717" s="278"/>
    </row>
    <row r="718" spans="1:14">
      <c r="A718" s="307"/>
      <c r="B718" s="278"/>
      <c r="C718" s="278"/>
      <c r="D718" s="278"/>
      <c r="E718" s="278"/>
      <c r="F718" s="278"/>
      <c r="G718" s="278"/>
      <c r="H718" s="278"/>
      <c r="I718" s="278"/>
      <c r="J718" s="278"/>
      <c r="K718" s="278"/>
      <c r="L718" s="278"/>
      <c r="M718" s="278"/>
      <c r="N718" s="278"/>
    </row>
    <row r="719" spans="1:14">
      <c r="A719" s="307"/>
      <c r="B719" s="278"/>
      <c r="C719" s="278"/>
      <c r="D719" s="278"/>
      <c r="E719" s="278"/>
      <c r="F719" s="278"/>
      <c r="G719" s="278"/>
      <c r="H719" s="278"/>
      <c r="I719" s="278"/>
      <c r="J719" s="278"/>
      <c r="K719" s="278"/>
      <c r="L719" s="278"/>
      <c r="M719" s="278"/>
      <c r="N719" s="278"/>
    </row>
    <row r="720" spans="1:14">
      <c r="A720" s="307"/>
      <c r="B720" s="278"/>
      <c r="C720" s="278"/>
      <c r="D720" s="278"/>
      <c r="E720" s="278"/>
      <c r="F720" s="278"/>
      <c r="G720" s="278"/>
      <c r="H720" s="278"/>
      <c r="I720" s="278"/>
      <c r="J720" s="278"/>
      <c r="K720" s="278"/>
      <c r="L720" s="278"/>
      <c r="M720" s="278"/>
      <c r="N720" s="278"/>
    </row>
    <row r="721" spans="1:14">
      <c r="A721" s="307"/>
      <c r="B721" s="278"/>
      <c r="C721" s="278"/>
      <c r="D721" s="278"/>
      <c r="E721" s="278"/>
      <c r="F721" s="278"/>
      <c r="G721" s="278"/>
      <c r="H721" s="278"/>
      <c r="I721" s="278"/>
      <c r="J721" s="278"/>
      <c r="K721" s="278"/>
      <c r="L721" s="278"/>
      <c r="M721" s="278"/>
      <c r="N721" s="278"/>
    </row>
    <row r="722" spans="1:14">
      <c r="A722" s="307"/>
      <c r="B722" s="278"/>
      <c r="C722" s="278"/>
      <c r="D722" s="278"/>
      <c r="E722" s="278"/>
      <c r="F722" s="278"/>
      <c r="G722" s="278"/>
      <c r="H722" s="278"/>
      <c r="I722" s="278"/>
      <c r="J722" s="278"/>
      <c r="K722" s="278"/>
      <c r="L722" s="278"/>
      <c r="M722" s="278"/>
      <c r="N722" s="278"/>
    </row>
    <row r="723" spans="1:14">
      <c r="A723" s="307"/>
      <c r="B723" s="278"/>
      <c r="C723" s="278"/>
      <c r="D723" s="278"/>
      <c r="E723" s="278"/>
      <c r="F723" s="278"/>
      <c r="G723" s="278"/>
      <c r="H723" s="278"/>
      <c r="I723" s="278"/>
      <c r="J723" s="278"/>
      <c r="K723" s="278"/>
      <c r="L723" s="278"/>
      <c r="M723" s="278"/>
      <c r="N723" s="278"/>
    </row>
    <row r="724" spans="1:14">
      <c r="A724" s="307"/>
      <c r="B724" s="278"/>
      <c r="C724" s="278"/>
      <c r="D724" s="278"/>
      <c r="E724" s="278"/>
      <c r="F724" s="278"/>
      <c r="G724" s="278"/>
      <c r="H724" s="278"/>
      <c r="I724" s="278"/>
      <c r="J724" s="278"/>
      <c r="K724" s="278"/>
      <c r="L724" s="278"/>
      <c r="M724" s="278"/>
      <c r="N724" s="278"/>
    </row>
    <row r="725" spans="1:14">
      <c r="A725" s="307"/>
      <c r="B725" s="278"/>
      <c r="C725" s="278"/>
      <c r="D725" s="278"/>
      <c r="E725" s="278"/>
      <c r="F725" s="278"/>
      <c r="G725" s="278"/>
      <c r="H725" s="278"/>
      <c r="I725" s="278"/>
      <c r="J725" s="278"/>
      <c r="K725" s="278"/>
      <c r="L725" s="278"/>
      <c r="M725" s="278"/>
      <c r="N725" s="278"/>
    </row>
    <row r="726" spans="1:14">
      <c r="A726" s="307"/>
      <c r="B726" s="278"/>
      <c r="C726" s="278"/>
      <c r="D726" s="278"/>
      <c r="E726" s="278"/>
      <c r="F726" s="278"/>
      <c r="G726" s="278"/>
      <c r="H726" s="278"/>
      <c r="I726" s="278"/>
      <c r="J726" s="278"/>
      <c r="K726" s="278"/>
      <c r="L726" s="278"/>
      <c r="M726" s="278"/>
      <c r="N726" s="278"/>
    </row>
    <row r="727" spans="1:14">
      <c r="A727" s="307"/>
      <c r="B727" s="278"/>
      <c r="C727" s="278"/>
      <c r="D727" s="278"/>
      <c r="E727" s="278"/>
      <c r="F727" s="278"/>
      <c r="G727" s="278"/>
      <c r="H727" s="278"/>
      <c r="I727" s="278"/>
      <c r="J727" s="278"/>
      <c r="K727" s="278"/>
      <c r="L727" s="278"/>
      <c r="M727" s="278"/>
      <c r="N727" s="278"/>
    </row>
    <row r="728" spans="1:14">
      <c r="A728" s="307"/>
      <c r="B728" s="278"/>
      <c r="C728" s="278"/>
      <c r="D728" s="278"/>
      <c r="E728" s="278"/>
      <c r="F728" s="278"/>
      <c r="G728" s="278"/>
      <c r="H728" s="278"/>
      <c r="I728" s="278"/>
      <c r="J728" s="278"/>
      <c r="K728" s="278"/>
      <c r="L728" s="278"/>
      <c r="M728" s="278"/>
      <c r="N728" s="278"/>
    </row>
    <row r="729" spans="1:14">
      <c r="A729" s="307"/>
      <c r="B729" s="278"/>
      <c r="C729" s="278"/>
      <c r="D729" s="278"/>
      <c r="E729" s="278"/>
      <c r="F729" s="278"/>
      <c r="G729" s="278"/>
      <c r="H729" s="278"/>
      <c r="I729" s="278"/>
      <c r="J729" s="278"/>
      <c r="K729" s="278"/>
      <c r="L729" s="278"/>
      <c r="M729" s="278"/>
      <c r="N729" s="278"/>
    </row>
    <row r="730" spans="1:14">
      <c r="A730" s="307"/>
      <c r="B730" s="278"/>
      <c r="C730" s="278"/>
      <c r="D730" s="278"/>
      <c r="E730" s="278"/>
      <c r="F730" s="278"/>
      <c r="G730" s="278"/>
      <c r="H730" s="278"/>
      <c r="I730" s="278"/>
      <c r="J730" s="278"/>
      <c r="K730" s="278"/>
      <c r="L730" s="278"/>
      <c r="M730" s="278"/>
      <c r="N730" s="278"/>
    </row>
    <row r="731" spans="1:14">
      <c r="A731" s="307"/>
      <c r="B731" s="278"/>
      <c r="C731" s="278"/>
      <c r="D731" s="278"/>
      <c r="E731" s="278"/>
      <c r="F731" s="278"/>
      <c r="G731" s="278"/>
      <c r="H731" s="278"/>
      <c r="I731" s="278"/>
      <c r="J731" s="278"/>
      <c r="K731" s="278"/>
      <c r="L731" s="278"/>
      <c r="M731" s="278"/>
      <c r="N731" s="278"/>
    </row>
    <row r="732" spans="1:14">
      <c r="A732" s="307"/>
      <c r="B732" s="278"/>
      <c r="C732" s="278"/>
      <c r="D732" s="278"/>
      <c r="E732" s="278"/>
      <c r="F732" s="278"/>
      <c r="G732" s="278"/>
      <c r="H732" s="278"/>
      <c r="I732" s="278"/>
      <c r="J732" s="278"/>
      <c r="K732" s="278"/>
      <c r="L732" s="278"/>
      <c r="M732" s="278"/>
      <c r="N732" s="278"/>
    </row>
    <row r="733" spans="1:14">
      <c r="A733" s="307"/>
      <c r="B733" s="278"/>
      <c r="C733" s="278"/>
      <c r="D733" s="278"/>
      <c r="E733" s="278"/>
      <c r="F733" s="278"/>
      <c r="G733" s="278"/>
      <c r="H733" s="278"/>
      <c r="I733" s="278"/>
      <c r="J733" s="278"/>
      <c r="K733" s="278"/>
      <c r="L733" s="278"/>
      <c r="M733" s="278"/>
      <c r="N733" s="278"/>
    </row>
    <row r="734" spans="1:14">
      <c r="A734" s="307"/>
      <c r="B734" s="278"/>
      <c r="C734" s="278"/>
      <c r="D734" s="278"/>
      <c r="E734" s="278"/>
      <c r="F734" s="278"/>
      <c r="G734" s="278"/>
      <c r="H734" s="278"/>
      <c r="I734" s="278"/>
      <c r="J734" s="278"/>
      <c r="K734" s="278"/>
      <c r="L734" s="278"/>
      <c r="M734" s="278"/>
      <c r="N734" s="278"/>
    </row>
    <row r="735" spans="1:14">
      <c r="A735" s="307"/>
      <c r="B735" s="278"/>
      <c r="C735" s="278"/>
      <c r="D735" s="278"/>
      <c r="E735" s="278"/>
      <c r="F735" s="278"/>
      <c r="G735" s="278"/>
      <c r="H735" s="278"/>
      <c r="I735" s="278"/>
      <c r="J735" s="278"/>
      <c r="K735" s="278"/>
      <c r="L735" s="278"/>
      <c r="M735" s="278"/>
      <c r="N735" s="278"/>
    </row>
    <row r="736" spans="1:14">
      <c r="A736" s="307"/>
      <c r="B736" s="278"/>
      <c r="C736" s="278"/>
      <c r="D736" s="278"/>
      <c r="E736" s="278"/>
      <c r="F736" s="278"/>
      <c r="G736" s="278"/>
      <c r="H736" s="278"/>
      <c r="I736" s="278"/>
      <c r="J736" s="278"/>
      <c r="K736" s="278"/>
      <c r="L736" s="278"/>
      <c r="M736" s="278"/>
      <c r="N736" s="278"/>
    </row>
    <row r="737" spans="1:14">
      <c r="A737" s="307"/>
      <c r="B737" s="278"/>
      <c r="C737" s="278"/>
      <c r="D737" s="278"/>
      <c r="E737" s="278"/>
      <c r="F737" s="278"/>
      <c r="G737" s="278"/>
      <c r="H737" s="278"/>
      <c r="I737" s="278"/>
      <c r="J737" s="278"/>
      <c r="K737" s="278"/>
      <c r="L737" s="278"/>
      <c r="M737" s="278"/>
      <c r="N737" s="278"/>
    </row>
    <row r="738" spans="1:14">
      <c r="A738" s="307"/>
      <c r="B738" s="278"/>
      <c r="C738" s="278"/>
      <c r="D738" s="278"/>
      <c r="E738" s="278"/>
      <c r="F738" s="278"/>
      <c r="G738" s="278"/>
      <c r="H738" s="278"/>
      <c r="I738" s="278"/>
      <c r="J738" s="278"/>
      <c r="K738" s="278"/>
      <c r="L738" s="278"/>
      <c r="M738" s="278"/>
      <c r="N738" s="278"/>
    </row>
    <row r="739" spans="1:14">
      <c r="A739" s="307"/>
      <c r="B739" s="278"/>
      <c r="C739" s="278"/>
      <c r="D739" s="278"/>
      <c r="E739" s="278"/>
      <c r="F739" s="278"/>
      <c r="G739" s="278"/>
      <c r="H739" s="278"/>
      <c r="I739" s="278"/>
      <c r="J739" s="278"/>
      <c r="K739" s="278"/>
      <c r="L739" s="278"/>
      <c r="M739" s="278"/>
      <c r="N739" s="278"/>
    </row>
    <row r="740" spans="1:14">
      <c r="A740" s="307"/>
      <c r="B740" s="278"/>
      <c r="C740" s="278"/>
      <c r="D740" s="278"/>
      <c r="E740" s="278"/>
      <c r="F740" s="278"/>
      <c r="G740" s="278"/>
      <c r="H740" s="278"/>
      <c r="I740" s="278"/>
      <c r="J740" s="278"/>
      <c r="K740" s="278"/>
      <c r="L740" s="278"/>
      <c r="M740" s="278"/>
      <c r="N740" s="278"/>
    </row>
    <row r="741" spans="1:14">
      <c r="A741" s="307"/>
      <c r="B741" s="278"/>
      <c r="C741" s="278"/>
      <c r="D741" s="278"/>
      <c r="E741" s="278"/>
      <c r="F741" s="278"/>
      <c r="G741" s="278"/>
      <c r="H741" s="278"/>
      <c r="I741" s="278"/>
      <c r="J741" s="278"/>
      <c r="K741" s="278"/>
      <c r="L741" s="278"/>
      <c r="M741" s="278"/>
      <c r="N741" s="278"/>
    </row>
    <row r="742" spans="1:14">
      <c r="A742" s="307"/>
      <c r="B742" s="278"/>
      <c r="C742" s="278"/>
      <c r="D742" s="278"/>
      <c r="E742" s="278"/>
      <c r="F742" s="278"/>
      <c r="G742" s="278"/>
      <c r="H742" s="278"/>
      <c r="I742" s="278"/>
      <c r="J742" s="278"/>
      <c r="K742" s="278"/>
      <c r="L742" s="278"/>
      <c r="M742" s="278"/>
      <c r="N742" s="278"/>
    </row>
    <row r="743" spans="1:14">
      <c r="A743" s="307"/>
      <c r="B743" s="278"/>
      <c r="C743" s="278"/>
      <c r="D743" s="278"/>
      <c r="E743" s="278"/>
      <c r="F743" s="278"/>
      <c r="G743" s="278"/>
      <c r="H743" s="278"/>
      <c r="I743" s="278"/>
      <c r="J743" s="278"/>
      <c r="K743" s="278"/>
      <c r="L743" s="278"/>
      <c r="M743" s="278"/>
      <c r="N743" s="278"/>
    </row>
    <row r="744" spans="1:14">
      <c r="A744" s="307"/>
      <c r="B744" s="278"/>
      <c r="C744" s="278"/>
      <c r="D744" s="278"/>
      <c r="E744" s="278"/>
      <c r="F744" s="278"/>
      <c r="G744" s="278"/>
      <c r="H744" s="278"/>
      <c r="I744" s="278"/>
      <c r="J744" s="278"/>
      <c r="K744" s="278"/>
      <c r="L744" s="278"/>
      <c r="M744" s="278"/>
      <c r="N744" s="278"/>
    </row>
    <row r="745" spans="1:14">
      <c r="A745" s="307"/>
      <c r="B745" s="278"/>
      <c r="C745" s="278"/>
      <c r="D745" s="278"/>
      <c r="E745" s="278"/>
      <c r="F745" s="278"/>
      <c r="G745" s="278"/>
      <c r="H745" s="278"/>
      <c r="I745" s="278"/>
      <c r="J745" s="278"/>
      <c r="K745" s="278"/>
      <c r="L745" s="278"/>
      <c r="M745" s="278"/>
      <c r="N745" s="278"/>
    </row>
    <row r="746" spans="1:14">
      <c r="A746" s="307"/>
      <c r="B746" s="278"/>
      <c r="C746" s="278"/>
      <c r="D746" s="278"/>
      <c r="E746" s="278"/>
      <c r="F746" s="278"/>
      <c r="G746" s="278"/>
      <c r="H746" s="278"/>
      <c r="I746" s="278"/>
      <c r="J746" s="278"/>
      <c r="K746" s="278"/>
      <c r="L746" s="278"/>
      <c r="M746" s="278"/>
      <c r="N746" s="278"/>
    </row>
    <row r="747" spans="1:14">
      <c r="A747" s="307"/>
      <c r="B747" s="278"/>
      <c r="C747" s="278"/>
      <c r="D747" s="278"/>
      <c r="E747" s="278"/>
      <c r="F747" s="278"/>
      <c r="G747" s="278"/>
      <c r="H747" s="278"/>
      <c r="I747" s="278"/>
      <c r="J747" s="278"/>
      <c r="K747" s="278"/>
      <c r="L747" s="278"/>
      <c r="M747" s="278"/>
      <c r="N747" s="278"/>
    </row>
    <row r="748" spans="1:14">
      <c r="A748" s="307"/>
      <c r="B748" s="278"/>
      <c r="C748" s="278"/>
      <c r="D748" s="278"/>
      <c r="E748" s="278"/>
      <c r="F748" s="278"/>
      <c r="G748" s="278"/>
      <c r="H748" s="278"/>
      <c r="I748" s="278"/>
      <c r="J748" s="278"/>
      <c r="K748" s="278"/>
      <c r="L748" s="278"/>
      <c r="M748" s="278"/>
      <c r="N748" s="278"/>
    </row>
    <row r="749" spans="1:14">
      <c r="A749" s="307"/>
      <c r="B749" s="278"/>
      <c r="C749" s="278"/>
      <c r="D749" s="278"/>
      <c r="E749" s="278"/>
      <c r="F749" s="278"/>
      <c r="G749" s="278"/>
      <c r="H749" s="278"/>
      <c r="I749" s="278"/>
      <c r="J749" s="278"/>
      <c r="K749" s="278"/>
      <c r="L749" s="278"/>
      <c r="M749" s="278"/>
      <c r="N749" s="278"/>
    </row>
    <row r="750" spans="1:14">
      <c r="A750" s="307"/>
      <c r="B750" s="278"/>
      <c r="C750" s="278"/>
      <c r="D750" s="278"/>
      <c r="E750" s="278"/>
      <c r="F750" s="278"/>
      <c r="G750" s="278"/>
      <c r="H750" s="278"/>
      <c r="I750" s="278"/>
      <c r="J750" s="278"/>
      <c r="K750" s="278"/>
      <c r="L750" s="278"/>
      <c r="M750" s="278"/>
      <c r="N750" s="278"/>
    </row>
    <row r="751" spans="1:14">
      <c r="A751" s="307"/>
      <c r="B751" s="278"/>
      <c r="C751" s="278"/>
      <c r="D751" s="278"/>
      <c r="E751" s="278"/>
      <c r="F751" s="278"/>
      <c r="G751" s="278"/>
      <c r="H751" s="278"/>
      <c r="I751" s="278"/>
      <c r="J751" s="278"/>
      <c r="K751" s="278"/>
      <c r="L751" s="278"/>
      <c r="M751" s="278"/>
      <c r="N751" s="278"/>
    </row>
    <row r="752" spans="1:14">
      <c r="A752" s="307"/>
      <c r="B752" s="278"/>
      <c r="C752" s="278"/>
      <c r="D752" s="278"/>
      <c r="E752" s="278"/>
      <c r="F752" s="278"/>
      <c r="G752" s="278"/>
      <c r="H752" s="278"/>
      <c r="I752" s="278"/>
      <c r="J752" s="278"/>
      <c r="K752" s="278"/>
      <c r="L752" s="278"/>
      <c r="M752" s="278"/>
      <c r="N752" s="278"/>
    </row>
    <row r="753" spans="1:14">
      <c r="A753" s="307"/>
      <c r="B753" s="278"/>
      <c r="C753" s="278"/>
      <c r="D753" s="278"/>
      <c r="E753" s="278"/>
      <c r="F753" s="278"/>
      <c r="G753" s="278"/>
      <c r="H753" s="278"/>
      <c r="I753" s="278"/>
      <c r="J753" s="278"/>
      <c r="K753" s="278"/>
      <c r="L753" s="278"/>
      <c r="M753" s="278"/>
      <c r="N753" s="278"/>
    </row>
    <row r="754" spans="1:14">
      <c r="A754" s="307"/>
      <c r="B754" s="278"/>
      <c r="C754" s="278"/>
      <c r="D754" s="278"/>
      <c r="E754" s="278"/>
      <c r="F754" s="278"/>
      <c r="G754" s="278"/>
      <c r="H754" s="278"/>
      <c r="I754" s="278"/>
      <c r="J754" s="278"/>
      <c r="K754" s="278"/>
      <c r="L754" s="278"/>
      <c r="M754" s="278"/>
      <c r="N754" s="278"/>
    </row>
    <row r="755" spans="1:14">
      <c r="A755" s="307"/>
      <c r="B755" s="278"/>
      <c r="C755" s="278"/>
      <c r="D755" s="278"/>
      <c r="E755" s="278"/>
      <c r="F755" s="278"/>
      <c r="G755" s="278"/>
      <c r="H755" s="278"/>
      <c r="I755" s="278"/>
      <c r="J755" s="278"/>
      <c r="K755" s="278"/>
      <c r="L755" s="278"/>
      <c r="M755" s="278"/>
      <c r="N755" s="278"/>
    </row>
    <row r="756" spans="1:14">
      <c r="A756" s="307"/>
      <c r="B756" s="278"/>
      <c r="C756" s="278"/>
      <c r="D756" s="278"/>
      <c r="E756" s="278"/>
      <c r="F756" s="278"/>
      <c r="G756" s="278"/>
      <c r="H756" s="278"/>
      <c r="I756" s="278"/>
      <c r="J756" s="278"/>
      <c r="K756" s="278"/>
      <c r="L756" s="278"/>
      <c r="M756" s="278"/>
      <c r="N756" s="278"/>
    </row>
    <row r="757" spans="1:14">
      <c r="A757" s="307"/>
      <c r="B757" s="278"/>
      <c r="C757" s="278"/>
      <c r="D757" s="278"/>
      <c r="E757" s="278"/>
      <c r="F757" s="278"/>
      <c r="G757" s="278"/>
      <c r="H757" s="278"/>
      <c r="I757" s="278"/>
      <c r="J757" s="278"/>
      <c r="K757" s="278"/>
      <c r="L757" s="278"/>
      <c r="M757" s="278"/>
      <c r="N757" s="278"/>
    </row>
    <row r="758" spans="1:14">
      <c r="A758" s="307"/>
      <c r="B758" s="278"/>
      <c r="C758" s="278"/>
      <c r="D758" s="278"/>
      <c r="E758" s="278"/>
      <c r="F758" s="278"/>
      <c r="G758" s="278"/>
      <c r="H758" s="278"/>
      <c r="I758" s="278"/>
      <c r="J758" s="278"/>
      <c r="K758" s="278"/>
      <c r="L758" s="278"/>
      <c r="M758" s="278"/>
      <c r="N758" s="278"/>
    </row>
    <row r="759" spans="1:14">
      <c r="A759" s="307"/>
      <c r="B759" s="278"/>
      <c r="C759" s="278"/>
      <c r="D759" s="278"/>
      <c r="E759" s="278"/>
      <c r="F759" s="278"/>
      <c r="G759" s="278"/>
      <c r="H759" s="278"/>
      <c r="I759" s="278"/>
      <c r="J759" s="278"/>
      <c r="K759" s="278"/>
      <c r="L759" s="278"/>
      <c r="M759" s="278"/>
      <c r="N759" s="278"/>
    </row>
    <row r="760" spans="1:14">
      <c r="A760" s="307"/>
      <c r="B760" s="278"/>
      <c r="C760" s="278"/>
      <c r="D760" s="278"/>
      <c r="E760" s="278"/>
      <c r="F760" s="278"/>
      <c r="G760" s="278"/>
      <c r="H760" s="278"/>
      <c r="I760" s="278"/>
      <c r="J760" s="278"/>
      <c r="K760" s="278"/>
      <c r="L760" s="278"/>
      <c r="M760" s="278"/>
      <c r="N760" s="278"/>
    </row>
    <row r="761" spans="1:14">
      <c r="A761" s="307"/>
      <c r="B761" s="278"/>
      <c r="C761" s="278"/>
      <c r="D761" s="278"/>
      <c r="E761" s="278"/>
      <c r="F761" s="278"/>
      <c r="G761" s="278"/>
      <c r="H761" s="278"/>
      <c r="I761" s="278"/>
      <c r="J761" s="278"/>
      <c r="K761" s="278"/>
      <c r="L761" s="278"/>
      <c r="M761" s="278"/>
      <c r="N761" s="278"/>
    </row>
    <row r="762" spans="1:14">
      <c r="A762" s="307"/>
      <c r="B762" s="278"/>
      <c r="C762" s="278"/>
      <c r="D762" s="278"/>
      <c r="E762" s="278"/>
      <c r="F762" s="278"/>
      <c r="G762" s="278"/>
      <c r="H762" s="278"/>
      <c r="I762" s="278"/>
      <c r="J762" s="278"/>
      <c r="K762" s="278"/>
      <c r="L762" s="278"/>
      <c r="M762" s="278"/>
      <c r="N762" s="278"/>
    </row>
    <row r="763" spans="1:14">
      <c r="A763" s="307"/>
      <c r="B763" s="278"/>
      <c r="C763" s="278"/>
      <c r="D763" s="278"/>
      <c r="E763" s="278"/>
      <c r="F763" s="278"/>
      <c r="G763" s="278"/>
      <c r="H763" s="278"/>
      <c r="I763" s="278"/>
      <c r="J763" s="278"/>
      <c r="K763" s="278"/>
      <c r="L763" s="278"/>
      <c r="M763" s="278"/>
      <c r="N763" s="278"/>
    </row>
    <row r="764" spans="1:14">
      <c r="A764" s="307"/>
      <c r="B764" s="278"/>
      <c r="C764" s="278"/>
      <c r="D764" s="278"/>
      <c r="E764" s="278"/>
      <c r="F764" s="278"/>
      <c r="G764" s="278"/>
      <c r="H764" s="278"/>
      <c r="I764" s="278"/>
      <c r="J764" s="278"/>
      <c r="K764" s="278"/>
      <c r="L764" s="278"/>
      <c r="M764" s="278"/>
      <c r="N764" s="278"/>
    </row>
    <row r="765" spans="1:14">
      <c r="A765" s="307"/>
      <c r="B765" s="278"/>
      <c r="C765" s="278"/>
      <c r="D765" s="278"/>
      <c r="E765" s="278"/>
      <c r="F765" s="278"/>
      <c r="G765" s="278"/>
      <c r="H765" s="278"/>
      <c r="I765" s="278"/>
      <c r="J765" s="278"/>
      <c r="K765" s="278"/>
      <c r="L765" s="278"/>
      <c r="M765" s="278"/>
      <c r="N765" s="278"/>
    </row>
    <row r="766" spans="1:14">
      <c r="A766" s="307"/>
      <c r="B766" s="278"/>
      <c r="C766" s="278"/>
      <c r="D766" s="278"/>
      <c r="E766" s="278"/>
      <c r="F766" s="278"/>
      <c r="G766" s="278"/>
      <c r="H766" s="278"/>
      <c r="I766" s="278"/>
      <c r="J766" s="278"/>
      <c r="K766" s="278"/>
      <c r="L766" s="278"/>
      <c r="M766" s="278"/>
      <c r="N766" s="278"/>
    </row>
    <row r="767" spans="1:14">
      <c r="A767" s="307"/>
      <c r="B767" s="278"/>
      <c r="C767" s="278"/>
      <c r="D767" s="278"/>
      <c r="E767" s="278"/>
      <c r="F767" s="278"/>
      <c r="G767" s="278"/>
      <c r="H767" s="278"/>
      <c r="I767" s="278"/>
      <c r="J767" s="278"/>
      <c r="K767" s="278"/>
      <c r="L767" s="278"/>
      <c r="M767" s="278"/>
      <c r="N767" s="278"/>
    </row>
    <row r="768" spans="1:14">
      <c r="A768" s="307"/>
      <c r="B768" s="278"/>
      <c r="C768" s="278"/>
      <c r="D768" s="278"/>
      <c r="E768" s="278"/>
      <c r="F768" s="278"/>
      <c r="G768" s="278"/>
      <c r="H768" s="278"/>
      <c r="I768" s="278"/>
      <c r="J768" s="278"/>
      <c r="K768" s="278"/>
      <c r="L768" s="278"/>
      <c r="M768" s="278"/>
      <c r="N768" s="278"/>
    </row>
    <row r="769" spans="1:14">
      <c r="A769" s="307"/>
      <c r="B769" s="278"/>
      <c r="C769" s="278"/>
      <c r="D769" s="278"/>
      <c r="E769" s="278"/>
      <c r="F769" s="278"/>
      <c r="G769" s="278"/>
      <c r="H769" s="278"/>
      <c r="I769" s="278"/>
      <c r="J769" s="278"/>
      <c r="K769" s="278"/>
      <c r="L769" s="278"/>
      <c r="M769" s="278"/>
      <c r="N769" s="278"/>
    </row>
    <row r="770" spans="1:14">
      <c r="A770" s="307"/>
      <c r="B770" s="278"/>
      <c r="C770" s="278"/>
      <c r="D770" s="278"/>
      <c r="E770" s="278"/>
      <c r="F770" s="278"/>
      <c r="G770" s="278"/>
      <c r="H770" s="278"/>
      <c r="I770" s="278"/>
      <c r="J770" s="278"/>
      <c r="K770" s="278"/>
      <c r="L770" s="278"/>
      <c r="M770" s="278"/>
      <c r="N770" s="278"/>
    </row>
    <row r="771" spans="1:14">
      <c r="A771" s="307"/>
      <c r="B771" s="278"/>
      <c r="C771" s="278"/>
      <c r="D771" s="278"/>
      <c r="E771" s="278"/>
      <c r="F771" s="278"/>
      <c r="G771" s="278"/>
      <c r="H771" s="278"/>
      <c r="I771" s="278"/>
      <c r="J771" s="278"/>
      <c r="K771" s="278"/>
      <c r="L771" s="278"/>
      <c r="M771" s="278"/>
      <c r="N771" s="278"/>
    </row>
    <row r="772" spans="1:14">
      <c r="A772" s="307"/>
      <c r="B772" s="278"/>
      <c r="C772" s="278"/>
      <c r="D772" s="278"/>
      <c r="E772" s="278"/>
      <c r="F772" s="278"/>
      <c r="G772" s="278"/>
      <c r="H772" s="278"/>
      <c r="I772" s="278"/>
      <c r="J772" s="278"/>
      <c r="K772" s="278"/>
      <c r="L772" s="278"/>
      <c r="M772" s="278"/>
      <c r="N772" s="278"/>
    </row>
    <row r="773" spans="1:14">
      <c r="A773" s="307"/>
      <c r="B773" s="278"/>
      <c r="C773" s="278"/>
      <c r="D773" s="278"/>
      <c r="E773" s="278"/>
      <c r="F773" s="278"/>
      <c r="G773" s="278"/>
      <c r="H773" s="278"/>
      <c r="I773" s="278"/>
      <c r="J773" s="278"/>
      <c r="K773" s="278"/>
      <c r="L773" s="278"/>
      <c r="M773" s="278"/>
      <c r="N773" s="278"/>
    </row>
    <row r="774" spans="1:14">
      <c r="A774" s="307"/>
      <c r="B774" s="278"/>
      <c r="C774" s="278"/>
      <c r="D774" s="278"/>
      <c r="E774" s="278"/>
      <c r="F774" s="278"/>
      <c r="G774" s="278"/>
      <c r="H774" s="278"/>
      <c r="I774" s="278"/>
      <c r="J774" s="278"/>
      <c r="K774" s="278"/>
      <c r="L774" s="278"/>
      <c r="M774" s="278"/>
      <c r="N774" s="278"/>
    </row>
    <row r="775" spans="1:14">
      <c r="A775" s="307"/>
      <c r="B775" s="278"/>
      <c r="C775" s="278"/>
      <c r="D775" s="278"/>
      <c r="E775" s="278"/>
      <c r="F775" s="278"/>
      <c r="G775" s="278"/>
      <c r="H775" s="278"/>
      <c r="I775" s="278"/>
      <c r="J775" s="278"/>
      <c r="K775" s="278"/>
      <c r="L775" s="278"/>
      <c r="M775" s="278"/>
      <c r="N775" s="278"/>
    </row>
    <row r="776" spans="1:14">
      <c r="A776" s="307"/>
      <c r="B776" s="278"/>
      <c r="C776" s="278"/>
      <c r="D776" s="278"/>
      <c r="E776" s="278"/>
      <c r="F776" s="278"/>
      <c r="G776" s="278"/>
      <c r="H776" s="278"/>
      <c r="I776" s="278"/>
      <c r="J776" s="278"/>
      <c r="K776" s="278"/>
      <c r="L776" s="278"/>
      <c r="M776" s="278"/>
      <c r="N776" s="278"/>
    </row>
    <row r="777" spans="1:14">
      <c r="A777" s="307"/>
      <c r="B777" s="278"/>
      <c r="C777" s="278"/>
      <c r="D777" s="278"/>
      <c r="E777" s="278"/>
      <c r="F777" s="278"/>
      <c r="G777" s="278"/>
      <c r="H777" s="278"/>
      <c r="I777" s="278"/>
      <c r="J777" s="278"/>
      <c r="K777" s="278"/>
      <c r="L777" s="278"/>
      <c r="M777" s="278"/>
      <c r="N777" s="278"/>
    </row>
    <row r="778" spans="1:14">
      <c r="A778" s="307"/>
      <c r="B778" s="278"/>
      <c r="C778" s="278"/>
      <c r="D778" s="278"/>
      <c r="E778" s="278"/>
      <c r="F778" s="278"/>
      <c r="G778" s="278"/>
      <c r="H778" s="278"/>
      <c r="I778" s="278"/>
      <c r="J778" s="278"/>
      <c r="K778" s="278"/>
      <c r="L778" s="278"/>
      <c r="M778" s="278"/>
      <c r="N778" s="278"/>
    </row>
    <row r="779" spans="1:14">
      <c r="A779" s="307"/>
      <c r="B779" s="278"/>
      <c r="C779" s="278"/>
      <c r="D779" s="278"/>
      <c r="E779" s="278"/>
      <c r="F779" s="278"/>
      <c r="G779" s="278"/>
      <c r="H779" s="278"/>
      <c r="I779" s="278"/>
      <c r="J779" s="278"/>
      <c r="K779" s="278"/>
      <c r="L779" s="278"/>
      <c r="M779" s="278"/>
      <c r="N779" s="278"/>
    </row>
    <row r="780" spans="1:14">
      <c r="A780" s="307"/>
      <c r="B780" s="278"/>
      <c r="C780" s="278"/>
      <c r="D780" s="278"/>
      <c r="E780" s="278"/>
      <c r="F780" s="278"/>
      <c r="G780" s="278"/>
      <c r="H780" s="278"/>
      <c r="I780" s="278"/>
      <c r="J780" s="278"/>
      <c r="K780" s="278"/>
      <c r="L780" s="278"/>
      <c r="M780" s="278"/>
      <c r="N780" s="278"/>
    </row>
    <row r="781" spans="1:14">
      <c r="A781" s="307"/>
      <c r="B781" s="278"/>
      <c r="C781" s="278"/>
      <c r="D781" s="278"/>
      <c r="E781" s="278"/>
      <c r="F781" s="278"/>
      <c r="G781" s="278"/>
      <c r="H781" s="278"/>
      <c r="I781" s="278"/>
      <c r="J781" s="278"/>
      <c r="K781" s="278"/>
      <c r="L781" s="278"/>
      <c r="M781" s="278"/>
      <c r="N781" s="278"/>
    </row>
    <row r="782" spans="1:14">
      <c r="A782" s="307"/>
      <c r="B782" s="278"/>
      <c r="C782" s="278"/>
      <c r="D782" s="278"/>
      <c r="E782" s="278"/>
      <c r="F782" s="278"/>
      <c r="G782" s="278"/>
      <c r="H782" s="278"/>
      <c r="I782" s="278"/>
      <c r="J782" s="278"/>
      <c r="K782" s="278"/>
      <c r="L782" s="278"/>
      <c r="M782" s="278"/>
      <c r="N782" s="278"/>
    </row>
    <row r="783" spans="1:14">
      <c r="A783" s="307"/>
      <c r="B783" s="278"/>
      <c r="C783" s="278"/>
      <c r="D783" s="278"/>
      <c r="E783" s="278"/>
      <c r="F783" s="278"/>
      <c r="G783" s="278"/>
      <c r="H783" s="278"/>
      <c r="I783" s="278"/>
      <c r="J783" s="278"/>
      <c r="K783" s="278"/>
      <c r="L783" s="278"/>
      <c r="M783" s="278"/>
      <c r="N783" s="278"/>
    </row>
    <row r="784" spans="1:14">
      <c r="A784" s="307"/>
      <c r="B784" s="278"/>
      <c r="C784" s="278"/>
      <c r="D784" s="278"/>
      <c r="E784" s="278"/>
      <c r="F784" s="278"/>
      <c r="G784" s="278"/>
      <c r="H784" s="278"/>
      <c r="I784" s="278"/>
      <c r="J784" s="278"/>
      <c r="K784" s="278"/>
      <c r="L784" s="278"/>
      <c r="M784" s="278"/>
      <c r="N784" s="278"/>
    </row>
    <row r="785" spans="1:14">
      <c r="A785" s="307"/>
      <c r="B785" s="278"/>
      <c r="C785" s="278"/>
      <c r="D785" s="278"/>
      <c r="E785" s="278"/>
      <c r="F785" s="278"/>
      <c r="G785" s="278"/>
      <c r="H785" s="278"/>
      <c r="I785" s="278"/>
      <c r="J785" s="278"/>
      <c r="K785" s="278"/>
      <c r="L785" s="278"/>
      <c r="M785" s="278"/>
      <c r="N785" s="278"/>
    </row>
    <row r="786" spans="1:14">
      <c r="A786" s="307"/>
      <c r="B786" s="278"/>
      <c r="C786" s="278"/>
      <c r="D786" s="278"/>
      <c r="E786" s="278"/>
      <c r="F786" s="278"/>
      <c r="G786" s="278"/>
      <c r="H786" s="278"/>
      <c r="I786" s="278"/>
      <c r="J786" s="278"/>
      <c r="K786" s="278"/>
      <c r="L786" s="278"/>
      <c r="M786" s="278"/>
      <c r="N786" s="278"/>
    </row>
    <row r="787" spans="1:14">
      <c r="A787" s="307"/>
      <c r="B787" s="278"/>
      <c r="C787" s="278"/>
      <c r="D787" s="278"/>
      <c r="E787" s="278"/>
      <c r="F787" s="278"/>
      <c r="G787" s="278"/>
      <c r="H787" s="278"/>
      <c r="I787" s="278"/>
      <c r="J787" s="278"/>
      <c r="K787" s="278"/>
      <c r="L787" s="278"/>
      <c r="M787" s="278"/>
      <c r="N787" s="278"/>
    </row>
    <row r="788" spans="1:14">
      <c r="A788" s="307"/>
      <c r="B788" s="278"/>
      <c r="C788" s="278"/>
      <c r="D788" s="278"/>
      <c r="E788" s="278"/>
      <c r="F788" s="278"/>
      <c r="G788" s="278"/>
      <c r="H788" s="278"/>
      <c r="I788" s="278"/>
      <c r="J788" s="278"/>
      <c r="K788" s="278"/>
      <c r="L788" s="278"/>
      <c r="M788" s="278"/>
      <c r="N788" s="278"/>
    </row>
    <row r="789" spans="1:14">
      <c r="A789" s="307"/>
      <c r="B789" s="278"/>
      <c r="C789" s="278"/>
      <c r="D789" s="278"/>
      <c r="E789" s="278"/>
      <c r="F789" s="278"/>
      <c r="G789" s="278"/>
      <c r="H789" s="278"/>
      <c r="I789" s="278"/>
      <c r="J789" s="278"/>
      <c r="K789" s="278"/>
      <c r="L789" s="278"/>
      <c r="M789" s="278"/>
      <c r="N789" s="278"/>
    </row>
    <row r="790" spans="1:14">
      <c r="A790" s="307"/>
      <c r="B790" s="278"/>
      <c r="C790" s="278"/>
      <c r="D790" s="278"/>
      <c r="E790" s="278"/>
      <c r="F790" s="278"/>
      <c r="G790" s="278"/>
      <c r="H790" s="278"/>
      <c r="I790" s="278"/>
      <c r="J790" s="278"/>
      <c r="K790" s="278"/>
      <c r="L790" s="278"/>
      <c r="M790" s="278"/>
      <c r="N790" s="278"/>
    </row>
    <row r="791" spans="1:14">
      <c r="A791" s="307"/>
      <c r="B791" s="278"/>
      <c r="C791" s="278"/>
      <c r="D791" s="278"/>
      <c r="E791" s="278"/>
      <c r="F791" s="278"/>
      <c r="G791" s="278"/>
      <c r="H791" s="278"/>
      <c r="I791" s="278"/>
      <c r="J791" s="278"/>
      <c r="K791" s="278"/>
      <c r="L791" s="278"/>
      <c r="M791" s="278"/>
      <c r="N791" s="278"/>
    </row>
    <row r="792" spans="1:14">
      <c r="A792" s="307"/>
      <c r="B792" s="278"/>
      <c r="C792" s="278"/>
      <c r="D792" s="278"/>
      <c r="E792" s="278"/>
      <c r="F792" s="278"/>
      <c r="G792" s="278"/>
      <c r="H792" s="278"/>
      <c r="I792" s="278"/>
      <c r="J792" s="278"/>
      <c r="K792" s="278"/>
      <c r="L792" s="278"/>
      <c r="M792" s="278"/>
      <c r="N792" s="278"/>
    </row>
    <row r="793" spans="1:14">
      <c r="A793" s="307"/>
      <c r="B793" s="278"/>
      <c r="C793" s="278"/>
      <c r="D793" s="278"/>
      <c r="E793" s="278"/>
      <c r="F793" s="278"/>
      <c r="G793" s="278"/>
      <c r="H793" s="278"/>
      <c r="I793" s="278"/>
      <c r="J793" s="278"/>
      <c r="K793" s="278"/>
      <c r="L793" s="278"/>
      <c r="M793" s="278"/>
      <c r="N793" s="278"/>
    </row>
    <row r="794" spans="1:14">
      <c r="A794" s="307"/>
      <c r="B794" s="278"/>
      <c r="C794" s="278"/>
      <c r="D794" s="278"/>
      <c r="E794" s="278"/>
      <c r="F794" s="278"/>
      <c r="G794" s="278"/>
      <c r="H794" s="278"/>
      <c r="I794" s="278"/>
      <c r="J794" s="278"/>
      <c r="K794" s="278"/>
      <c r="L794" s="278"/>
      <c r="M794" s="278"/>
      <c r="N794" s="278"/>
    </row>
    <row r="795" spans="1:14">
      <c r="A795" s="307"/>
      <c r="B795" s="278"/>
      <c r="C795" s="278"/>
      <c r="D795" s="278"/>
      <c r="E795" s="278"/>
      <c r="F795" s="278"/>
      <c r="G795" s="278"/>
      <c r="H795" s="278"/>
      <c r="I795" s="278"/>
      <c r="J795" s="278"/>
      <c r="K795" s="278"/>
      <c r="L795" s="278"/>
      <c r="M795" s="278"/>
      <c r="N795" s="278"/>
    </row>
    <row r="796" spans="1:14">
      <c r="A796" s="307"/>
      <c r="B796" s="278"/>
      <c r="C796" s="278"/>
      <c r="D796" s="278"/>
      <c r="E796" s="278"/>
      <c r="F796" s="278"/>
      <c r="G796" s="278"/>
      <c r="H796" s="278"/>
      <c r="I796" s="278"/>
      <c r="J796" s="278"/>
      <c r="K796" s="278"/>
      <c r="L796" s="278"/>
      <c r="M796" s="278"/>
      <c r="N796" s="278"/>
    </row>
    <row r="797" spans="1:14">
      <c r="A797" s="307"/>
      <c r="B797" s="278"/>
      <c r="C797" s="278"/>
      <c r="D797" s="278"/>
      <c r="E797" s="278"/>
      <c r="F797" s="278"/>
      <c r="G797" s="278"/>
      <c r="H797" s="278"/>
      <c r="I797" s="278"/>
      <c r="J797" s="278"/>
      <c r="K797" s="278"/>
      <c r="L797" s="278"/>
      <c r="M797" s="278"/>
      <c r="N797" s="278"/>
    </row>
    <row r="798" spans="1:14">
      <c r="A798" s="307"/>
      <c r="B798" s="278"/>
      <c r="C798" s="278"/>
      <c r="D798" s="278"/>
      <c r="E798" s="278"/>
      <c r="F798" s="278"/>
      <c r="G798" s="278"/>
      <c r="H798" s="278"/>
      <c r="I798" s="278"/>
      <c r="J798" s="278"/>
      <c r="K798" s="278"/>
      <c r="L798" s="278"/>
      <c r="M798" s="278"/>
      <c r="N798" s="278"/>
    </row>
    <row r="799" spans="1:14">
      <c r="A799" s="307"/>
      <c r="B799" s="278"/>
      <c r="C799" s="278"/>
      <c r="D799" s="278"/>
      <c r="E799" s="278"/>
      <c r="F799" s="278"/>
      <c r="G799" s="278"/>
      <c r="H799" s="278"/>
      <c r="I799" s="278"/>
      <c r="J799" s="278"/>
      <c r="K799" s="278"/>
      <c r="L799" s="278"/>
      <c r="M799" s="278"/>
      <c r="N799" s="278"/>
    </row>
    <row r="800" spans="1:14">
      <c r="A800" s="307"/>
      <c r="B800" s="278"/>
      <c r="C800" s="278"/>
      <c r="D800" s="278"/>
      <c r="E800" s="278"/>
      <c r="F800" s="278"/>
      <c r="G800" s="278"/>
      <c r="H800" s="278"/>
      <c r="I800" s="278"/>
      <c r="J800" s="278"/>
      <c r="K800" s="278"/>
      <c r="L800" s="278"/>
      <c r="M800" s="278"/>
      <c r="N800" s="278"/>
    </row>
    <row r="801" spans="1:14">
      <c r="A801" s="307"/>
      <c r="B801" s="278"/>
      <c r="C801" s="278"/>
      <c r="D801" s="278"/>
      <c r="E801" s="278"/>
      <c r="F801" s="278"/>
      <c r="G801" s="278"/>
      <c r="H801" s="278"/>
      <c r="I801" s="278"/>
      <c r="J801" s="278"/>
      <c r="K801" s="278"/>
      <c r="L801" s="278"/>
      <c r="M801" s="278"/>
      <c r="N801" s="278"/>
    </row>
    <row r="802" spans="1:14">
      <c r="A802" s="307"/>
      <c r="B802" s="278"/>
      <c r="C802" s="278"/>
      <c r="D802" s="278"/>
      <c r="E802" s="278"/>
      <c r="F802" s="278"/>
      <c r="G802" s="278"/>
      <c r="H802" s="278"/>
      <c r="I802" s="278"/>
      <c r="J802" s="278"/>
      <c r="K802" s="278"/>
      <c r="L802" s="278"/>
      <c r="M802" s="278"/>
      <c r="N802" s="278"/>
    </row>
    <row r="803" spans="1:14">
      <c r="A803" s="307"/>
      <c r="B803" s="278"/>
      <c r="C803" s="278"/>
      <c r="D803" s="278"/>
      <c r="E803" s="278"/>
      <c r="F803" s="278"/>
      <c r="G803" s="278"/>
      <c r="H803" s="278"/>
      <c r="I803" s="278"/>
      <c r="J803" s="278"/>
      <c r="K803" s="278"/>
      <c r="L803" s="278"/>
      <c r="M803" s="278"/>
      <c r="N803" s="278"/>
    </row>
    <row r="804" spans="1:14">
      <c r="A804" s="307"/>
      <c r="B804" s="278"/>
      <c r="C804" s="278"/>
      <c r="D804" s="278"/>
      <c r="E804" s="278"/>
      <c r="F804" s="278"/>
      <c r="G804" s="278"/>
      <c r="H804" s="278"/>
      <c r="I804" s="278"/>
      <c r="J804" s="278"/>
      <c r="K804" s="278"/>
      <c r="L804" s="278"/>
      <c r="M804" s="278"/>
      <c r="N804" s="278"/>
    </row>
    <row r="805" spans="1:14">
      <c r="A805" s="307"/>
      <c r="B805" s="278"/>
      <c r="C805" s="278"/>
      <c r="D805" s="278"/>
      <c r="E805" s="278"/>
      <c r="F805" s="278"/>
      <c r="G805" s="278"/>
      <c r="H805" s="278"/>
      <c r="I805" s="278"/>
      <c r="J805" s="278"/>
      <c r="K805" s="278"/>
      <c r="L805" s="278"/>
      <c r="M805" s="278"/>
      <c r="N805" s="278"/>
    </row>
    <row r="806" spans="1:14">
      <c r="A806" s="307"/>
      <c r="B806" s="278"/>
      <c r="C806" s="278"/>
      <c r="D806" s="278"/>
      <c r="E806" s="278"/>
      <c r="F806" s="278"/>
      <c r="G806" s="278"/>
      <c r="H806" s="278"/>
      <c r="I806" s="278"/>
      <c r="J806" s="278"/>
      <c r="K806" s="278"/>
      <c r="L806" s="278"/>
      <c r="M806" s="278"/>
      <c r="N806" s="278"/>
    </row>
    <row r="807" spans="1:14">
      <c r="A807" s="307"/>
      <c r="B807" s="278"/>
      <c r="C807" s="278"/>
      <c r="D807" s="278"/>
      <c r="E807" s="278"/>
      <c r="F807" s="278"/>
      <c r="G807" s="278"/>
      <c r="H807" s="278"/>
      <c r="I807" s="278"/>
      <c r="J807" s="278"/>
      <c r="K807" s="278"/>
      <c r="L807" s="278"/>
      <c r="M807" s="278"/>
      <c r="N807" s="278"/>
    </row>
    <row r="808" spans="1:14">
      <c r="A808" s="307"/>
      <c r="B808" s="278"/>
      <c r="C808" s="278"/>
      <c r="D808" s="278"/>
      <c r="E808" s="278"/>
      <c r="F808" s="278"/>
      <c r="G808" s="278"/>
      <c r="H808" s="278"/>
      <c r="I808" s="278"/>
      <c r="J808" s="278"/>
      <c r="K808" s="278"/>
      <c r="L808" s="278"/>
      <c r="M808" s="278"/>
      <c r="N808" s="278"/>
    </row>
    <row r="809" spans="1:14">
      <c r="A809" s="307"/>
      <c r="B809" s="278"/>
      <c r="C809" s="278"/>
      <c r="D809" s="278"/>
      <c r="E809" s="278"/>
      <c r="F809" s="278"/>
      <c r="G809" s="278"/>
      <c r="H809" s="278"/>
      <c r="I809" s="278"/>
      <c r="J809" s="278"/>
      <c r="K809" s="278"/>
      <c r="L809" s="278"/>
      <c r="M809" s="278"/>
      <c r="N809" s="278"/>
    </row>
    <row r="810" spans="1:14">
      <c r="A810" s="307"/>
      <c r="B810" s="278"/>
      <c r="C810" s="278"/>
      <c r="D810" s="278"/>
      <c r="E810" s="278"/>
      <c r="F810" s="278"/>
      <c r="G810" s="278"/>
      <c r="H810" s="278"/>
      <c r="I810" s="278"/>
      <c r="J810" s="278"/>
      <c r="K810" s="278"/>
      <c r="L810" s="278"/>
      <c r="M810" s="278"/>
      <c r="N810" s="278"/>
    </row>
    <row r="811" spans="1:14">
      <c r="A811" s="307"/>
      <c r="B811" s="278"/>
      <c r="C811" s="278"/>
      <c r="D811" s="278"/>
      <c r="E811" s="278"/>
      <c r="F811" s="278"/>
      <c r="G811" s="278"/>
      <c r="H811" s="278"/>
      <c r="I811" s="278"/>
      <c r="J811" s="278"/>
      <c r="K811" s="278"/>
      <c r="L811" s="278"/>
      <c r="M811" s="278"/>
      <c r="N811" s="278"/>
    </row>
    <row r="812" spans="1:14">
      <c r="A812" s="307"/>
      <c r="B812" s="278"/>
      <c r="C812" s="278"/>
      <c r="D812" s="278"/>
      <c r="E812" s="278"/>
      <c r="F812" s="278"/>
      <c r="G812" s="278"/>
      <c r="H812" s="278"/>
      <c r="I812" s="278"/>
      <c r="J812" s="278"/>
      <c r="K812" s="278"/>
      <c r="L812" s="278"/>
      <c r="M812" s="278"/>
      <c r="N812" s="278"/>
    </row>
    <row r="813" spans="1:14">
      <c r="A813" s="307"/>
      <c r="B813" s="278"/>
      <c r="C813" s="278"/>
      <c r="D813" s="278"/>
      <c r="E813" s="278"/>
      <c r="F813" s="278"/>
      <c r="G813" s="278"/>
      <c r="H813" s="278"/>
      <c r="I813" s="278"/>
      <c r="J813" s="278"/>
      <c r="K813" s="278"/>
      <c r="L813" s="278"/>
      <c r="M813" s="278"/>
      <c r="N813" s="278"/>
    </row>
    <row r="814" spans="1:14">
      <c r="A814" s="307"/>
      <c r="B814" s="278"/>
      <c r="C814" s="278"/>
      <c r="D814" s="278"/>
      <c r="E814" s="278"/>
      <c r="F814" s="278"/>
      <c r="G814" s="278"/>
      <c r="H814" s="278"/>
      <c r="I814" s="278"/>
      <c r="J814" s="278"/>
      <c r="K814" s="278"/>
      <c r="L814" s="278"/>
      <c r="M814" s="278"/>
      <c r="N814" s="278"/>
    </row>
    <row r="815" spans="1:14">
      <c r="A815" s="307"/>
      <c r="B815" s="278"/>
      <c r="C815" s="278"/>
      <c r="D815" s="278"/>
      <c r="E815" s="278"/>
      <c r="F815" s="278"/>
      <c r="G815" s="278"/>
      <c r="H815" s="278"/>
      <c r="I815" s="278"/>
      <c r="J815" s="278"/>
      <c r="K815" s="278"/>
      <c r="L815" s="278"/>
      <c r="M815" s="278"/>
      <c r="N815" s="278"/>
    </row>
    <row r="816" spans="1:14">
      <c r="A816" s="307"/>
      <c r="B816" s="278"/>
      <c r="C816" s="278"/>
      <c r="D816" s="278"/>
      <c r="E816" s="278"/>
      <c r="F816" s="278"/>
      <c r="G816" s="278"/>
      <c r="H816" s="278"/>
      <c r="I816" s="278"/>
      <c r="J816" s="278"/>
      <c r="K816" s="278"/>
      <c r="L816" s="278"/>
      <c r="M816" s="278"/>
      <c r="N816" s="278"/>
    </row>
    <row r="817" spans="1:14">
      <c r="A817" s="307"/>
      <c r="B817" s="278"/>
      <c r="C817" s="278"/>
      <c r="D817" s="278"/>
      <c r="E817" s="278"/>
      <c r="F817" s="278"/>
      <c r="G817" s="278"/>
      <c r="H817" s="278"/>
      <c r="I817" s="278"/>
      <c r="J817" s="278"/>
      <c r="K817" s="278"/>
      <c r="L817" s="278"/>
      <c r="M817" s="278"/>
      <c r="N817" s="278"/>
    </row>
    <row r="818" spans="1:14">
      <c r="A818" s="307"/>
      <c r="B818" s="278"/>
      <c r="C818" s="278"/>
      <c r="D818" s="278"/>
      <c r="E818" s="278"/>
      <c r="F818" s="278"/>
      <c r="G818" s="278"/>
      <c r="H818" s="278"/>
      <c r="I818" s="278"/>
      <c r="J818" s="278"/>
      <c r="K818" s="278"/>
      <c r="L818" s="278"/>
      <c r="M818" s="278"/>
      <c r="N818" s="278"/>
    </row>
    <row r="819" spans="1:14">
      <c r="A819" s="307"/>
      <c r="B819" s="278"/>
      <c r="C819" s="278"/>
      <c r="D819" s="278"/>
      <c r="E819" s="278"/>
      <c r="F819" s="278"/>
      <c r="G819" s="278"/>
      <c r="H819" s="278"/>
      <c r="I819" s="278"/>
      <c r="J819" s="278"/>
      <c r="K819" s="278"/>
      <c r="L819" s="278"/>
      <c r="M819" s="278"/>
      <c r="N819" s="278"/>
    </row>
    <row r="820" spans="1:14">
      <c r="A820" s="307"/>
      <c r="B820" s="278"/>
      <c r="C820" s="278"/>
      <c r="D820" s="278"/>
      <c r="E820" s="278"/>
      <c r="F820" s="278"/>
      <c r="G820" s="278"/>
      <c r="H820" s="278"/>
      <c r="I820" s="278"/>
      <c r="J820" s="278"/>
      <c r="K820" s="278"/>
      <c r="L820" s="278"/>
      <c r="M820" s="278"/>
      <c r="N820" s="278"/>
    </row>
    <row r="821" spans="1:14">
      <c r="A821" s="307"/>
      <c r="B821" s="278"/>
      <c r="C821" s="278"/>
      <c r="D821" s="278"/>
      <c r="E821" s="278"/>
      <c r="F821" s="278"/>
      <c r="G821" s="278"/>
      <c r="H821" s="278"/>
      <c r="I821" s="278"/>
      <c r="J821" s="278"/>
      <c r="K821" s="278"/>
      <c r="L821" s="278"/>
      <c r="M821" s="278"/>
      <c r="N821" s="278"/>
    </row>
    <row r="822" spans="1:14">
      <c r="A822" s="307"/>
      <c r="B822" s="278"/>
      <c r="C822" s="278"/>
      <c r="D822" s="278"/>
      <c r="E822" s="278"/>
      <c r="F822" s="278"/>
      <c r="G822" s="278"/>
      <c r="H822" s="278"/>
      <c r="I822" s="278"/>
      <c r="J822" s="278"/>
      <c r="K822" s="278"/>
      <c r="L822" s="278"/>
      <c r="M822" s="278"/>
      <c r="N822" s="278"/>
    </row>
    <row r="823" spans="1:14">
      <c r="A823" s="307"/>
      <c r="B823" s="278"/>
      <c r="C823" s="278"/>
      <c r="D823" s="278"/>
      <c r="E823" s="278"/>
      <c r="F823" s="278"/>
      <c r="G823" s="278"/>
      <c r="H823" s="278"/>
      <c r="I823" s="278"/>
      <c r="J823" s="278"/>
      <c r="K823" s="278"/>
      <c r="L823" s="278"/>
      <c r="M823" s="278"/>
      <c r="N823" s="278"/>
    </row>
    <row r="824" spans="1:14">
      <c r="A824" s="307"/>
      <c r="B824" s="278"/>
      <c r="C824" s="278"/>
      <c r="D824" s="278"/>
      <c r="E824" s="278"/>
      <c r="F824" s="278"/>
      <c r="G824" s="278"/>
      <c r="H824" s="278"/>
      <c r="I824" s="278"/>
      <c r="J824" s="278"/>
      <c r="K824" s="278"/>
      <c r="L824" s="278"/>
      <c r="M824" s="278"/>
      <c r="N824" s="278"/>
    </row>
    <row r="825" spans="1:14">
      <c r="A825" s="307"/>
      <c r="B825" s="278"/>
      <c r="C825" s="278"/>
      <c r="D825" s="278"/>
      <c r="E825" s="278"/>
      <c r="F825" s="278"/>
      <c r="G825" s="278"/>
      <c r="H825" s="278"/>
      <c r="I825" s="278"/>
      <c r="J825" s="278"/>
      <c r="K825" s="278"/>
      <c r="L825" s="278"/>
      <c r="M825" s="278"/>
      <c r="N825" s="278"/>
    </row>
    <row r="826" spans="1:14">
      <c r="A826" s="307"/>
      <c r="B826" s="278"/>
      <c r="C826" s="278"/>
      <c r="D826" s="278"/>
      <c r="E826" s="278"/>
      <c r="F826" s="278"/>
      <c r="G826" s="278"/>
      <c r="H826" s="278"/>
      <c r="I826" s="278"/>
      <c r="J826" s="278"/>
      <c r="K826" s="278"/>
      <c r="L826" s="278"/>
      <c r="M826" s="278"/>
      <c r="N826" s="278"/>
    </row>
    <row r="827" spans="1:14">
      <c r="A827" s="307"/>
      <c r="B827" s="278"/>
      <c r="C827" s="278"/>
      <c r="D827" s="278"/>
      <c r="E827" s="278"/>
      <c r="F827" s="278"/>
      <c r="G827" s="278"/>
      <c r="H827" s="278"/>
      <c r="I827" s="278"/>
      <c r="J827" s="278"/>
      <c r="K827" s="278"/>
      <c r="L827" s="278"/>
      <c r="M827" s="278"/>
      <c r="N827" s="278"/>
    </row>
    <row r="828" spans="1:14">
      <c r="A828" s="307"/>
      <c r="B828" s="278"/>
      <c r="C828" s="278"/>
      <c r="D828" s="278"/>
      <c r="E828" s="278"/>
      <c r="F828" s="278"/>
      <c r="G828" s="278"/>
      <c r="H828" s="278"/>
      <c r="I828" s="278"/>
      <c r="J828" s="278"/>
      <c r="K828" s="278"/>
      <c r="L828" s="278"/>
      <c r="M828" s="278"/>
      <c r="N828" s="278"/>
    </row>
    <row r="829" spans="1:14">
      <c r="A829" s="307"/>
      <c r="B829" s="278"/>
      <c r="C829" s="278"/>
      <c r="D829" s="278"/>
      <c r="E829" s="278"/>
      <c r="F829" s="278"/>
      <c r="G829" s="278"/>
      <c r="H829" s="278"/>
      <c r="I829" s="278"/>
      <c r="J829" s="278"/>
      <c r="K829" s="278"/>
      <c r="L829" s="278"/>
      <c r="M829" s="278"/>
      <c r="N829" s="278"/>
    </row>
    <row r="830" spans="1:14">
      <c r="A830" s="307"/>
      <c r="B830" s="278"/>
      <c r="C830" s="278"/>
      <c r="D830" s="278"/>
      <c r="E830" s="278"/>
      <c r="F830" s="278"/>
      <c r="G830" s="278"/>
      <c r="H830" s="278"/>
      <c r="I830" s="278"/>
      <c r="J830" s="278"/>
      <c r="K830" s="278"/>
      <c r="L830" s="278"/>
      <c r="M830" s="278"/>
      <c r="N830" s="278"/>
    </row>
    <row r="831" spans="1:14">
      <c r="A831" s="307"/>
      <c r="B831" s="278"/>
      <c r="C831" s="278"/>
      <c r="D831" s="278"/>
      <c r="E831" s="278"/>
      <c r="F831" s="278"/>
      <c r="G831" s="278"/>
      <c r="H831" s="278"/>
      <c r="I831" s="278"/>
      <c r="J831" s="278"/>
      <c r="K831" s="278"/>
      <c r="L831" s="278"/>
      <c r="M831" s="278"/>
      <c r="N831" s="278"/>
    </row>
    <row r="832" spans="1:14">
      <c r="A832" s="307"/>
      <c r="B832" s="278"/>
      <c r="C832" s="278"/>
      <c r="D832" s="278"/>
      <c r="E832" s="278"/>
      <c r="F832" s="278"/>
      <c r="G832" s="278"/>
      <c r="H832" s="278"/>
      <c r="I832" s="278"/>
      <c r="J832" s="278"/>
      <c r="K832" s="278"/>
      <c r="L832" s="278"/>
      <c r="M832" s="278"/>
      <c r="N832" s="278"/>
    </row>
    <row r="833" spans="1:14">
      <c r="A833" s="307"/>
      <c r="B833" s="278"/>
      <c r="C833" s="278"/>
      <c r="D833" s="278"/>
      <c r="E833" s="278"/>
      <c r="F833" s="278"/>
      <c r="G833" s="278"/>
      <c r="H833" s="278"/>
      <c r="I833" s="278"/>
      <c r="J833" s="278"/>
      <c r="K833" s="278"/>
      <c r="L833" s="278"/>
      <c r="M833" s="278"/>
      <c r="N833" s="278"/>
    </row>
    <row r="834" spans="1:14">
      <c r="A834" s="307"/>
      <c r="B834" s="278"/>
      <c r="C834" s="278"/>
      <c r="D834" s="278"/>
      <c r="E834" s="278"/>
      <c r="F834" s="278"/>
      <c r="G834" s="278"/>
      <c r="H834" s="278"/>
      <c r="I834" s="278"/>
      <c r="J834" s="278"/>
      <c r="K834" s="278"/>
      <c r="L834" s="278"/>
      <c r="M834" s="278"/>
      <c r="N834" s="278"/>
    </row>
    <row r="835" spans="1:14">
      <c r="A835" s="307"/>
      <c r="B835" s="278"/>
      <c r="C835" s="278"/>
      <c r="D835" s="278"/>
      <c r="E835" s="278"/>
      <c r="F835" s="278"/>
      <c r="G835" s="278"/>
      <c r="H835" s="278"/>
      <c r="I835" s="278"/>
      <c r="J835" s="278"/>
      <c r="K835" s="278"/>
      <c r="L835" s="278"/>
      <c r="M835" s="278"/>
      <c r="N835" s="278"/>
    </row>
    <row r="836" spans="1:14">
      <c r="A836" s="307"/>
      <c r="B836" s="278"/>
      <c r="C836" s="278"/>
      <c r="D836" s="278"/>
      <c r="E836" s="278"/>
      <c r="F836" s="278"/>
      <c r="G836" s="278"/>
      <c r="H836" s="278"/>
      <c r="I836" s="278"/>
      <c r="J836" s="278"/>
      <c r="K836" s="278"/>
      <c r="L836" s="278"/>
      <c r="M836" s="278"/>
      <c r="N836" s="278"/>
    </row>
    <row r="837" spans="1:14">
      <c r="A837" s="307"/>
      <c r="B837" s="278"/>
      <c r="C837" s="278"/>
      <c r="D837" s="278"/>
      <c r="E837" s="278"/>
      <c r="F837" s="278"/>
      <c r="G837" s="278"/>
      <c r="H837" s="278"/>
      <c r="I837" s="278"/>
      <c r="J837" s="278"/>
      <c r="K837" s="278"/>
      <c r="L837" s="278"/>
      <c r="M837" s="278"/>
      <c r="N837" s="278"/>
    </row>
    <row r="838" spans="1:14">
      <c r="A838" s="307"/>
      <c r="B838" s="278"/>
      <c r="C838" s="278"/>
      <c r="D838" s="278"/>
      <c r="E838" s="278"/>
      <c r="F838" s="278"/>
      <c r="G838" s="278"/>
      <c r="H838" s="278"/>
      <c r="I838" s="278"/>
      <c r="J838" s="278"/>
      <c r="K838" s="278"/>
      <c r="L838" s="278"/>
      <c r="M838" s="278"/>
      <c r="N838" s="278"/>
    </row>
    <row r="839" spans="1:14">
      <c r="A839" s="307"/>
      <c r="B839" s="278"/>
      <c r="C839" s="278"/>
      <c r="D839" s="278"/>
      <c r="E839" s="278"/>
      <c r="F839" s="278"/>
      <c r="G839" s="278"/>
      <c r="H839" s="278"/>
      <c r="I839" s="278"/>
      <c r="J839" s="278"/>
      <c r="K839" s="278"/>
      <c r="L839" s="278"/>
      <c r="M839" s="278"/>
      <c r="N839" s="278"/>
    </row>
    <row r="840" spans="1:14">
      <c r="A840" s="307"/>
      <c r="B840" s="278"/>
      <c r="C840" s="278"/>
      <c r="D840" s="278"/>
      <c r="E840" s="278"/>
      <c r="F840" s="278"/>
      <c r="G840" s="278"/>
      <c r="H840" s="278"/>
      <c r="I840" s="278"/>
      <c r="J840" s="278"/>
      <c r="K840" s="278"/>
      <c r="L840" s="278"/>
      <c r="M840" s="278"/>
      <c r="N840" s="278"/>
    </row>
    <row r="841" spans="1:14">
      <c r="A841" s="307"/>
      <c r="B841" s="278"/>
      <c r="C841" s="278"/>
      <c r="D841" s="278"/>
      <c r="E841" s="278"/>
      <c r="F841" s="278"/>
      <c r="G841" s="278"/>
      <c r="H841" s="278"/>
      <c r="I841" s="278"/>
      <c r="J841" s="278"/>
      <c r="K841" s="278"/>
      <c r="L841" s="278"/>
      <c r="M841" s="278"/>
      <c r="N841" s="278"/>
    </row>
    <row r="842" spans="1:14">
      <c r="A842" s="307"/>
      <c r="B842" s="278"/>
      <c r="C842" s="278"/>
      <c r="D842" s="278"/>
      <c r="E842" s="278"/>
      <c r="F842" s="278"/>
      <c r="G842" s="278"/>
      <c r="H842" s="278"/>
      <c r="I842" s="278"/>
      <c r="J842" s="278"/>
      <c r="K842" s="278"/>
      <c r="L842" s="278"/>
      <c r="M842" s="278"/>
      <c r="N842" s="278"/>
    </row>
    <row r="843" spans="1:14">
      <c r="A843" s="307"/>
      <c r="B843" s="278"/>
      <c r="C843" s="278"/>
      <c r="D843" s="278"/>
      <c r="E843" s="278"/>
      <c r="F843" s="278"/>
      <c r="G843" s="278"/>
      <c r="H843" s="278"/>
      <c r="I843" s="278"/>
      <c r="J843" s="278"/>
      <c r="K843" s="278"/>
      <c r="L843" s="278"/>
      <c r="M843" s="278"/>
      <c r="N843" s="278"/>
    </row>
    <row r="844" spans="1:14">
      <c r="A844" s="307"/>
      <c r="B844" s="278"/>
      <c r="C844" s="278"/>
      <c r="D844" s="278"/>
      <c r="E844" s="278"/>
      <c r="F844" s="278"/>
      <c r="G844" s="278"/>
      <c r="H844" s="278"/>
      <c r="I844" s="278"/>
      <c r="J844" s="278"/>
      <c r="K844" s="278"/>
      <c r="L844" s="278"/>
      <c r="M844" s="278"/>
      <c r="N844" s="278"/>
    </row>
    <row r="845" spans="1:14">
      <c r="A845" s="307"/>
      <c r="B845" s="278"/>
      <c r="C845" s="278"/>
      <c r="D845" s="278"/>
      <c r="E845" s="278"/>
      <c r="F845" s="278"/>
      <c r="G845" s="278"/>
      <c r="H845" s="278"/>
      <c r="I845" s="278"/>
      <c r="J845" s="278"/>
      <c r="K845" s="278"/>
      <c r="L845" s="278"/>
      <c r="M845" s="278"/>
      <c r="N845" s="278"/>
    </row>
    <row r="846" spans="1:14">
      <c r="A846" s="307"/>
      <c r="B846" s="278"/>
      <c r="C846" s="278"/>
      <c r="D846" s="278"/>
      <c r="E846" s="278"/>
      <c r="F846" s="278"/>
      <c r="G846" s="278"/>
      <c r="H846" s="278"/>
      <c r="I846" s="278"/>
      <c r="J846" s="278"/>
      <c r="K846" s="278"/>
      <c r="L846" s="278"/>
      <c r="M846" s="278"/>
      <c r="N846" s="278"/>
    </row>
    <row r="847" spans="1:14">
      <c r="A847" s="307"/>
      <c r="B847" s="278"/>
      <c r="C847" s="278"/>
      <c r="D847" s="278"/>
      <c r="E847" s="278"/>
      <c r="F847" s="278"/>
      <c r="G847" s="278"/>
      <c r="H847" s="278"/>
      <c r="I847" s="278"/>
      <c r="J847" s="278"/>
      <c r="K847" s="278"/>
      <c r="L847" s="278"/>
      <c r="M847" s="278"/>
      <c r="N847" s="278"/>
    </row>
    <row r="848" spans="1:14">
      <c r="A848" s="307"/>
      <c r="B848" s="278"/>
      <c r="C848" s="278"/>
      <c r="D848" s="278"/>
      <c r="E848" s="278"/>
      <c r="F848" s="278"/>
      <c r="G848" s="278"/>
      <c r="H848" s="278"/>
      <c r="I848" s="278"/>
      <c r="J848" s="278"/>
      <c r="K848" s="278"/>
      <c r="L848" s="278"/>
      <c r="M848" s="278"/>
      <c r="N848" s="278"/>
    </row>
    <row r="849" spans="1:14">
      <c r="A849" s="307"/>
      <c r="B849" s="278"/>
      <c r="C849" s="278"/>
      <c r="D849" s="278"/>
      <c r="E849" s="278"/>
      <c r="F849" s="278"/>
      <c r="G849" s="278"/>
      <c r="H849" s="278"/>
      <c r="I849" s="278"/>
      <c r="J849" s="278"/>
      <c r="K849" s="278"/>
      <c r="L849" s="278"/>
      <c r="M849" s="278"/>
      <c r="N849" s="278"/>
    </row>
    <row r="850" spans="1:14">
      <c r="A850" s="307"/>
      <c r="B850" s="278"/>
      <c r="C850" s="278"/>
      <c r="D850" s="278"/>
      <c r="E850" s="278"/>
      <c r="F850" s="278"/>
      <c r="G850" s="278"/>
      <c r="H850" s="278"/>
      <c r="I850" s="278"/>
      <c r="J850" s="278"/>
      <c r="K850" s="278"/>
      <c r="L850" s="278"/>
      <c r="M850" s="278"/>
      <c r="N850" s="278"/>
    </row>
    <row r="851" spans="1:14">
      <c r="A851" s="307"/>
      <c r="B851" s="278"/>
      <c r="C851" s="278"/>
      <c r="D851" s="278"/>
      <c r="E851" s="278"/>
      <c r="F851" s="278"/>
      <c r="G851" s="278"/>
      <c r="H851" s="278"/>
      <c r="I851" s="278"/>
      <c r="J851" s="278"/>
      <c r="K851" s="278"/>
      <c r="L851" s="278"/>
      <c r="M851" s="278"/>
      <c r="N851" s="278"/>
    </row>
    <row r="852" spans="1:14">
      <c r="A852" s="307"/>
      <c r="B852" s="278"/>
      <c r="C852" s="278"/>
      <c r="D852" s="278"/>
      <c r="E852" s="278"/>
      <c r="F852" s="278"/>
      <c r="G852" s="278"/>
      <c r="H852" s="278"/>
      <c r="I852" s="278"/>
      <c r="J852" s="278"/>
      <c r="K852" s="278"/>
      <c r="L852" s="278"/>
      <c r="M852" s="278"/>
      <c r="N852" s="278"/>
    </row>
    <row r="853" spans="1:14">
      <c r="A853" s="307"/>
      <c r="B853" s="278"/>
      <c r="C853" s="278"/>
      <c r="D853" s="278"/>
      <c r="E853" s="278"/>
      <c r="F853" s="278"/>
      <c r="G853" s="278"/>
      <c r="H853" s="278"/>
      <c r="I853" s="278"/>
      <c r="J853" s="278"/>
      <c r="K853" s="278"/>
      <c r="L853" s="278"/>
      <c r="M853" s="278"/>
      <c r="N853" s="278"/>
    </row>
    <row r="854" spans="1:14">
      <c r="A854" s="307"/>
      <c r="B854" s="278"/>
      <c r="C854" s="278"/>
      <c r="D854" s="278"/>
      <c r="E854" s="278"/>
      <c r="F854" s="278"/>
      <c r="G854" s="278"/>
      <c r="H854" s="278"/>
      <c r="I854" s="278"/>
      <c r="J854" s="278"/>
      <c r="K854" s="278"/>
      <c r="L854" s="278"/>
      <c r="M854" s="278"/>
      <c r="N854" s="278"/>
    </row>
    <row r="855" spans="1:14">
      <c r="A855" s="307"/>
      <c r="B855" s="278"/>
      <c r="C855" s="278"/>
      <c r="D855" s="278"/>
      <c r="E855" s="278"/>
      <c r="F855" s="278"/>
      <c r="G855" s="278"/>
      <c r="H855" s="278"/>
      <c r="I855" s="278"/>
      <c r="J855" s="278"/>
      <c r="K855" s="278"/>
      <c r="L855" s="278"/>
      <c r="M855" s="278"/>
      <c r="N855" s="278"/>
    </row>
    <row r="856" spans="1:14">
      <c r="A856" s="307"/>
      <c r="B856" s="278"/>
      <c r="C856" s="278"/>
      <c r="D856" s="278"/>
      <c r="E856" s="278"/>
      <c r="F856" s="278"/>
      <c r="G856" s="278"/>
      <c r="H856" s="278"/>
      <c r="I856" s="278"/>
      <c r="J856" s="278"/>
      <c r="K856" s="278"/>
      <c r="L856" s="278"/>
      <c r="M856" s="278"/>
      <c r="N856" s="278"/>
    </row>
    <row r="857" spans="1:14">
      <c r="A857" s="307"/>
      <c r="B857" s="278"/>
      <c r="C857" s="278"/>
      <c r="D857" s="278"/>
      <c r="E857" s="278"/>
      <c r="F857" s="278"/>
      <c r="G857" s="278"/>
      <c r="H857" s="278"/>
      <c r="I857" s="278"/>
      <c r="J857" s="278"/>
      <c r="K857" s="278"/>
      <c r="L857" s="278"/>
      <c r="M857" s="278"/>
      <c r="N857" s="278"/>
    </row>
    <row r="858" spans="1:14">
      <c r="A858" s="307"/>
      <c r="B858" s="278"/>
      <c r="C858" s="278"/>
      <c r="D858" s="278"/>
      <c r="E858" s="278"/>
      <c r="F858" s="278"/>
      <c r="G858" s="278"/>
      <c r="H858" s="278"/>
      <c r="I858" s="278"/>
      <c r="J858" s="278"/>
      <c r="K858" s="278"/>
      <c r="L858" s="278"/>
      <c r="M858" s="278"/>
      <c r="N858" s="278"/>
    </row>
    <row r="859" spans="1:14">
      <c r="A859" s="307"/>
      <c r="B859" s="278"/>
      <c r="C859" s="278"/>
      <c r="D859" s="278"/>
      <c r="E859" s="278"/>
      <c r="F859" s="278"/>
      <c r="G859" s="278"/>
      <c r="H859" s="278"/>
      <c r="I859" s="278"/>
      <c r="J859" s="278"/>
      <c r="K859" s="278"/>
      <c r="L859" s="278"/>
      <c r="M859" s="278"/>
      <c r="N859" s="278"/>
    </row>
    <row r="860" spans="1:14">
      <c r="A860" s="307"/>
      <c r="B860" s="278"/>
      <c r="C860" s="278"/>
      <c r="D860" s="278"/>
      <c r="E860" s="278"/>
      <c r="F860" s="278"/>
      <c r="G860" s="278"/>
      <c r="H860" s="278"/>
      <c r="I860" s="278"/>
      <c r="J860" s="278"/>
      <c r="K860" s="278"/>
      <c r="L860" s="278"/>
      <c r="M860" s="278"/>
      <c r="N860" s="278"/>
    </row>
    <row r="861" spans="1:14">
      <c r="A861" s="307"/>
      <c r="B861" s="278"/>
      <c r="C861" s="278"/>
      <c r="D861" s="278"/>
      <c r="E861" s="278"/>
      <c r="F861" s="278"/>
      <c r="G861" s="278"/>
      <c r="H861" s="278"/>
      <c r="I861" s="278"/>
      <c r="J861" s="278"/>
      <c r="K861" s="278"/>
      <c r="L861" s="278"/>
      <c r="M861" s="278"/>
      <c r="N861" s="278"/>
    </row>
    <row r="862" spans="1:14">
      <c r="A862" s="307"/>
      <c r="B862" s="278"/>
      <c r="C862" s="278"/>
      <c r="D862" s="278"/>
      <c r="E862" s="278"/>
      <c r="F862" s="278"/>
      <c r="G862" s="278"/>
      <c r="H862" s="278"/>
      <c r="I862" s="278"/>
      <c r="J862" s="278"/>
      <c r="K862" s="278"/>
      <c r="L862" s="278"/>
      <c r="M862" s="278"/>
      <c r="N862" s="278"/>
    </row>
    <row r="863" spans="1:14">
      <c r="A863" s="307"/>
      <c r="B863" s="278"/>
      <c r="C863" s="278"/>
      <c r="D863" s="278"/>
      <c r="E863" s="278"/>
      <c r="F863" s="278"/>
      <c r="G863" s="278"/>
      <c r="H863" s="278"/>
      <c r="I863" s="278"/>
      <c r="J863" s="278"/>
      <c r="K863" s="278"/>
      <c r="L863" s="278"/>
      <c r="M863" s="278"/>
      <c r="N863" s="278"/>
    </row>
    <row r="864" spans="1:14">
      <c r="A864" s="307"/>
      <c r="B864" s="278"/>
      <c r="C864" s="278"/>
      <c r="D864" s="278"/>
      <c r="E864" s="278"/>
      <c r="F864" s="278"/>
      <c r="G864" s="278"/>
      <c r="H864" s="278"/>
      <c r="I864" s="278"/>
      <c r="J864" s="278"/>
      <c r="K864" s="278"/>
      <c r="L864" s="278"/>
      <c r="M864" s="278"/>
      <c r="N864" s="278"/>
    </row>
    <row r="865" spans="1:14">
      <c r="A865" s="307"/>
      <c r="B865" s="278"/>
      <c r="C865" s="278"/>
      <c r="D865" s="278"/>
      <c r="E865" s="278"/>
      <c r="F865" s="278"/>
      <c r="G865" s="278"/>
      <c r="H865" s="278"/>
      <c r="I865" s="278"/>
      <c r="J865" s="278"/>
      <c r="K865" s="278"/>
      <c r="L865" s="278"/>
      <c r="M865" s="278"/>
      <c r="N865" s="278"/>
    </row>
    <row r="866" spans="1:14">
      <c r="A866" s="307"/>
      <c r="B866" s="278"/>
      <c r="C866" s="278"/>
      <c r="D866" s="278"/>
      <c r="E866" s="278"/>
      <c r="F866" s="278"/>
      <c r="G866" s="278"/>
      <c r="H866" s="278"/>
      <c r="I866" s="278"/>
      <c r="J866" s="278"/>
      <c r="K866" s="278"/>
      <c r="L866" s="278"/>
      <c r="M866" s="278"/>
      <c r="N866" s="278"/>
    </row>
    <row r="867" spans="1:14">
      <c r="A867" s="307"/>
      <c r="B867" s="278"/>
      <c r="C867" s="278"/>
      <c r="D867" s="278"/>
      <c r="E867" s="278"/>
      <c r="F867" s="278"/>
      <c r="G867" s="278"/>
      <c r="H867" s="278"/>
      <c r="I867" s="278"/>
      <c r="J867" s="278"/>
      <c r="K867" s="278"/>
      <c r="L867" s="278"/>
      <c r="M867" s="278"/>
      <c r="N867" s="278"/>
    </row>
    <row r="868" spans="1:14">
      <c r="A868" s="307"/>
      <c r="B868" s="278"/>
      <c r="C868" s="278"/>
      <c r="D868" s="278"/>
      <c r="E868" s="278"/>
      <c r="F868" s="278"/>
      <c r="G868" s="278"/>
      <c r="H868" s="278"/>
      <c r="I868" s="278"/>
      <c r="J868" s="278"/>
      <c r="K868" s="278"/>
      <c r="L868" s="278"/>
      <c r="M868" s="278"/>
      <c r="N868" s="278"/>
    </row>
    <row r="869" spans="1:14">
      <c r="A869" s="307"/>
      <c r="B869" s="278"/>
      <c r="C869" s="278"/>
      <c r="D869" s="278"/>
      <c r="E869" s="278"/>
      <c r="F869" s="278"/>
      <c r="G869" s="278"/>
      <c r="H869" s="278"/>
      <c r="I869" s="278"/>
      <c r="J869" s="278"/>
      <c r="K869" s="278"/>
      <c r="L869" s="278"/>
      <c r="M869" s="278"/>
      <c r="N869" s="278"/>
    </row>
    <row r="870" spans="1:14">
      <c r="A870" s="307"/>
      <c r="B870" s="278"/>
      <c r="C870" s="278"/>
      <c r="D870" s="278"/>
      <c r="E870" s="278"/>
      <c r="F870" s="278"/>
      <c r="G870" s="278"/>
      <c r="H870" s="278"/>
      <c r="I870" s="278"/>
      <c r="J870" s="278"/>
      <c r="K870" s="278"/>
      <c r="L870" s="278"/>
      <c r="M870" s="278"/>
      <c r="N870" s="278"/>
    </row>
    <row r="871" spans="1:14">
      <c r="A871" s="307"/>
      <c r="B871" s="278"/>
      <c r="C871" s="278"/>
      <c r="D871" s="278"/>
      <c r="E871" s="278"/>
      <c r="F871" s="278"/>
      <c r="G871" s="278"/>
      <c r="H871" s="278"/>
      <c r="I871" s="278"/>
      <c r="J871" s="278"/>
      <c r="K871" s="278"/>
      <c r="L871" s="278"/>
      <c r="M871" s="278"/>
      <c r="N871" s="278"/>
    </row>
    <row r="872" spans="1:14">
      <c r="A872" s="307"/>
      <c r="B872" s="278"/>
      <c r="C872" s="278"/>
      <c r="D872" s="278"/>
      <c r="E872" s="278"/>
      <c r="F872" s="278"/>
      <c r="G872" s="278"/>
      <c r="H872" s="278"/>
      <c r="I872" s="278"/>
      <c r="J872" s="278"/>
      <c r="K872" s="278"/>
      <c r="L872" s="278"/>
      <c r="M872" s="278"/>
      <c r="N872" s="278"/>
    </row>
    <row r="873" spans="1:14">
      <c r="A873" s="307"/>
      <c r="B873" s="278"/>
      <c r="C873" s="278"/>
      <c r="D873" s="278"/>
      <c r="E873" s="278"/>
      <c r="F873" s="278"/>
      <c r="G873" s="278"/>
      <c r="H873" s="278"/>
      <c r="I873" s="278"/>
      <c r="J873" s="278"/>
      <c r="K873" s="278"/>
      <c r="L873" s="278"/>
      <c r="M873" s="278"/>
      <c r="N873" s="278"/>
    </row>
    <row r="874" spans="1:14">
      <c r="A874" s="307"/>
      <c r="B874" s="278"/>
      <c r="C874" s="278"/>
      <c r="D874" s="278"/>
      <c r="E874" s="278"/>
      <c r="F874" s="278"/>
      <c r="G874" s="278"/>
      <c r="H874" s="278"/>
      <c r="I874" s="278"/>
      <c r="J874" s="278"/>
      <c r="K874" s="278"/>
      <c r="L874" s="278"/>
      <c r="M874" s="278"/>
      <c r="N874" s="278"/>
    </row>
    <row r="875" spans="1:14">
      <c r="A875" s="307"/>
      <c r="B875" s="278"/>
      <c r="C875" s="278"/>
      <c r="D875" s="278"/>
      <c r="E875" s="278"/>
      <c r="F875" s="278"/>
      <c r="G875" s="278"/>
      <c r="H875" s="278"/>
      <c r="I875" s="278"/>
      <c r="J875" s="278"/>
      <c r="K875" s="278"/>
      <c r="L875" s="278"/>
      <c r="M875" s="278"/>
      <c r="N875" s="278"/>
    </row>
    <row r="876" spans="1:14">
      <c r="A876" s="307"/>
      <c r="B876" s="278"/>
      <c r="C876" s="278"/>
      <c r="D876" s="278"/>
      <c r="E876" s="278"/>
      <c r="F876" s="278"/>
      <c r="G876" s="278"/>
      <c r="H876" s="278"/>
      <c r="I876" s="278"/>
      <c r="J876" s="278"/>
      <c r="K876" s="278"/>
      <c r="L876" s="278"/>
      <c r="M876" s="278"/>
      <c r="N876" s="278"/>
    </row>
    <row r="877" spans="1:14">
      <c r="A877" s="307"/>
      <c r="B877" s="278"/>
      <c r="C877" s="278"/>
      <c r="D877" s="278"/>
      <c r="E877" s="278"/>
      <c r="F877" s="278"/>
      <c r="G877" s="278"/>
      <c r="H877" s="278"/>
      <c r="I877" s="278"/>
      <c r="J877" s="278"/>
      <c r="K877" s="278"/>
      <c r="L877" s="278"/>
      <c r="M877" s="278"/>
      <c r="N877" s="278"/>
    </row>
    <row r="878" spans="1:14">
      <c r="A878" s="307"/>
      <c r="B878" s="278"/>
      <c r="C878" s="278"/>
      <c r="D878" s="278"/>
      <c r="E878" s="278"/>
      <c r="F878" s="278"/>
      <c r="G878" s="278"/>
      <c r="H878" s="278"/>
      <c r="I878" s="278"/>
      <c r="J878" s="278"/>
      <c r="K878" s="278"/>
      <c r="L878" s="278"/>
      <c r="M878" s="278"/>
      <c r="N878" s="278"/>
    </row>
    <row r="879" spans="1:14">
      <c r="A879" s="307"/>
      <c r="B879" s="278"/>
      <c r="C879" s="278"/>
      <c r="D879" s="278"/>
      <c r="E879" s="278"/>
      <c r="F879" s="278"/>
      <c r="G879" s="278"/>
      <c r="H879" s="278"/>
      <c r="I879" s="278"/>
      <c r="J879" s="278"/>
      <c r="K879" s="278"/>
      <c r="L879" s="278"/>
      <c r="M879" s="278"/>
      <c r="N879" s="278"/>
    </row>
    <row r="880" spans="1:14">
      <c r="A880" s="307"/>
      <c r="B880" s="278"/>
      <c r="C880" s="278"/>
      <c r="D880" s="278"/>
      <c r="E880" s="278"/>
      <c r="F880" s="278"/>
      <c r="G880" s="278"/>
      <c r="H880" s="278"/>
      <c r="I880" s="278"/>
      <c r="J880" s="278"/>
      <c r="K880" s="278"/>
      <c r="L880" s="278"/>
      <c r="M880" s="278"/>
      <c r="N880" s="278"/>
    </row>
    <row r="881" spans="1:14">
      <c r="A881" s="307"/>
      <c r="B881" s="278"/>
      <c r="C881" s="278"/>
      <c r="D881" s="278"/>
      <c r="E881" s="278"/>
      <c r="F881" s="278"/>
      <c r="G881" s="278"/>
      <c r="H881" s="278"/>
      <c r="I881" s="278"/>
      <c r="J881" s="278"/>
      <c r="K881" s="278"/>
      <c r="L881" s="278"/>
      <c r="M881" s="278"/>
      <c r="N881" s="278"/>
    </row>
    <row r="882" spans="1:14">
      <c r="A882" s="307"/>
      <c r="B882" s="278"/>
      <c r="C882" s="278"/>
      <c r="D882" s="278"/>
      <c r="E882" s="278"/>
      <c r="F882" s="278"/>
      <c r="G882" s="278"/>
      <c r="H882" s="278"/>
      <c r="I882" s="278"/>
      <c r="J882" s="278"/>
      <c r="K882" s="278"/>
      <c r="L882" s="278"/>
      <c r="M882" s="278"/>
      <c r="N882" s="278"/>
    </row>
    <row r="883" spans="1:14">
      <c r="A883" s="307"/>
      <c r="B883" s="278"/>
      <c r="C883" s="278"/>
      <c r="D883" s="278"/>
      <c r="E883" s="278"/>
      <c r="F883" s="278"/>
      <c r="G883" s="278"/>
      <c r="H883" s="278"/>
      <c r="I883" s="278"/>
      <c r="J883" s="278"/>
      <c r="K883" s="278"/>
      <c r="L883" s="278"/>
      <c r="M883" s="278"/>
      <c r="N883" s="278"/>
    </row>
    <row r="884" spans="1:14">
      <c r="A884" s="307"/>
      <c r="B884" s="278"/>
      <c r="C884" s="278"/>
      <c r="D884" s="278"/>
      <c r="E884" s="278"/>
      <c r="F884" s="278"/>
      <c r="G884" s="278"/>
      <c r="H884" s="278"/>
      <c r="I884" s="278"/>
      <c r="J884" s="278"/>
      <c r="K884" s="278"/>
      <c r="L884" s="278"/>
      <c r="M884" s="278"/>
      <c r="N884" s="278"/>
    </row>
    <row r="885" spans="1:14">
      <c r="A885" s="307"/>
      <c r="B885" s="278"/>
      <c r="C885" s="278"/>
      <c r="D885" s="278"/>
      <c r="E885" s="278"/>
      <c r="F885" s="278"/>
      <c r="G885" s="278"/>
      <c r="H885" s="278"/>
      <c r="I885" s="278"/>
      <c r="J885" s="278"/>
      <c r="K885" s="278"/>
      <c r="L885" s="278"/>
      <c r="M885" s="278"/>
      <c r="N885" s="278"/>
    </row>
    <row r="886" spans="1:14">
      <c r="A886" s="307"/>
      <c r="B886" s="278"/>
      <c r="C886" s="278"/>
      <c r="D886" s="278"/>
      <c r="E886" s="278"/>
      <c r="F886" s="278"/>
      <c r="G886" s="278"/>
      <c r="H886" s="278"/>
      <c r="I886" s="278"/>
      <c r="J886" s="278"/>
      <c r="K886" s="278"/>
      <c r="L886" s="278"/>
      <c r="M886" s="278"/>
      <c r="N886" s="278"/>
    </row>
    <row r="887" spans="1:14">
      <c r="A887" s="307"/>
      <c r="B887" s="278"/>
      <c r="C887" s="278"/>
      <c r="D887" s="278"/>
      <c r="E887" s="278"/>
      <c r="F887" s="278"/>
      <c r="G887" s="278"/>
      <c r="H887" s="278"/>
      <c r="I887" s="278"/>
      <c r="J887" s="278"/>
      <c r="K887" s="278"/>
      <c r="L887" s="278"/>
      <c r="M887" s="278"/>
      <c r="N887" s="278"/>
    </row>
    <row r="888" spans="1:14">
      <c r="A888" s="307"/>
      <c r="B888" s="278"/>
      <c r="C888" s="278"/>
      <c r="D888" s="278"/>
      <c r="E888" s="278"/>
      <c r="F888" s="278"/>
      <c r="G888" s="278"/>
      <c r="H888" s="278"/>
      <c r="I888" s="278"/>
      <c r="J888" s="278"/>
      <c r="K888" s="278"/>
      <c r="L888" s="278"/>
      <c r="M888" s="278"/>
      <c r="N888" s="278"/>
    </row>
    <row r="889" spans="1:14">
      <c r="A889" s="307"/>
      <c r="B889" s="278"/>
      <c r="C889" s="278"/>
      <c r="D889" s="278"/>
      <c r="E889" s="278"/>
      <c r="F889" s="278"/>
      <c r="G889" s="278"/>
      <c r="H889" s="278"/>
      <c r="I889" s="278"/>
      <c r="J889" s="278"/>
      <c r="K889" s="278"/>
      <c r="L889" s="278"/>
      <c r="M889" s="278"/>
      <c r="N889" s="278"/>
    </row>
    <row r="890" spans="1:14">
      <c r="A890" s="307"/>
      <c r="B890" s="278"/>
      <c r="C890" s="278"/>
      <c r="D890" s="278"/>
      <c r="E890" s="278"/>
      <c r="F890" s="278"/>
      <c r="G890" s="278"/>
      <c r="H890" s="278"/>
      <c r="I890" s="278"/>
      <c r="J890" s="278"/>
      <c r="K890" s="278"/>
      <c r="L890" s="278"/>
      <c r="M890" s="278"/>
      <c r="N890" s="278"/>
    </row>
    <row r="891" spans="1:14">
      <c r="A891" s="307"/>
      <c r="B891" s="278"/>
      <c r="C891" s="278"/>
      <c r="D891" s="278"/>
      <c r="E891" s="278"/>
      <c r="F891" s="278"/>
      <c r="G891" s="278"/>
      <c r="H891" s="278"/>
      <c r="I891" s="278"/>
      <c r="J891" s="278"/>
      <c r="K891" s="278"/>
      <c r="L891" s="278"/>
      <c r="M891" s="278"/>
      <c r="N891" s="278"/>
    </row>
    <row r="892" spans="1:14">
      <c r="A892" s="307"/>
      <c r="B892" s="278"/>
      <c r="C892" s="278"/>
      <c r="D892" s="278"/>
      <c r="E892" s="278"/>
      <c r="F892" s="278"/>
      <c r="G892" s="278"/>
      <c r="H892" s="278"/>
      <c r="I892" s="278"/>
      <c r="J892" s="278"/>
      <c r="K892" s="278"/>
      <c r="L892" s="278"/>
      <c r="M892" s="278"/>
      <c r="N892" s="278"/>
    </row>
    <row r="893" spans="1:14">
      <c r="A893" s="307"/>
      <c r="B893" s="278"/>
      <c r="C893" s="278"/>
      <c r="D893" s="278"/>
      <c r="E893" s="278"/>
      <c r="F893" s="278"/>
      <c r="G893" s="278"/>
      <c r="H893" s="278"/>
      <c r="I893" s="278"/>
      <c r="J893" s="278"/>
      <c r="K893" s="278"/>
      <c r="L893" s="278"/>
      <c r="M893" s="278"/>
      <c r="N893" s="278"/>
    </row>
    <row r="894" spans="1:14">
      <c r="A894" s="307"/>
      <c r="B894" s="278"/>
      <c r="C894" s="278"/>
      <c r="D894" s="278"/>
      <c r="E894" s="278"/>
      <c r="F894" s="278"/>
      <c r="G894" s="278"/>
      <c r="H894" s="278"/>
      <c r="I894" s="278"/>
      <c r="J894" s="278"/>
      <c r="K894" s="278"/>
      <c r="L894" s="278"/>
      <c r="M894" s="278"/>
      <c r="N894" s="278"/>
    </row>
    <row r="895" spans="1:14">
      <c r="A895" s="307"/>
      <c r="B895" s="278"/>
      <c r="C895" s="278"/>
      <c r="D895" s="278"/>
      <c r="E895" s="278"/>
      <c r="F895" s="278"/>
      <c r="G895" s="278"/>
      <c r="H895" s="278"/>
      <c r="I895" s="278"/>
      <c r="J895" s="278"/>
      <c r="K895" s="278"/>
      <c r="L895" s="278"/>
      <c r="M895" s="278"/>
      <c r="N895" s="278"/>
    </row>
    <row r="896" spans="1:14">
      <c r="A896" s="307"/>
      <c r="B896" s="278"/>
      <c r="C896" s="278"/>
      <c r="D896" s="278"/>
      <c r="E896" s="278"/>
      <c r="F896" s="278"/>
      <c r="G896" s="278"/>
      <c r="H896" s="278"/>
      <c r="I896" s="278"/>
      <c r="J896" s="278"/>
      <c r="K896" s="278"/>
      <c r="L896" s="278"/>
      <c r="M896" s="278"/>
      <c r="N896" s="278"/>
    </row>
    <row r="897" spans="1:14">
      <c r="A897" s="307"/>
      <c r="B897" s="278"/>
      <c r="C897" s="278"/>
      <c r="D897" s="278"/>
      <c r="E897" s="278"/>
      <c r="F897" s="278"/>
      <c r="G897" s="278"/>
      <c r="H897" s="278"/>
      <c r="I897" s="278"/>
      <c r="J897" s="278"/>
      <c r="K897" s="278"/>
      <c r="L897" s="278"/>
      <c r="M897" s="278"/>
      <c r="N897" s="278"/>
    </row>
    <row r="898" spans="1:14">
      <c r="A898" s="307"/>
      <c r="B898" s="278"/>
      <c r="C898" s="278"/>
      <c r="D898" s="278"/>
      <c r="E898" s="278"/>
      <c r="F898" s="278"/>
      <c r="G898" s="278"/>
      <c r="H898" s="278"/>
      <c r="I898" s="278"/>
      <c r="J898" s="278"/>
      <c r="K898" s="278"/>
      <c r="L898" s="278"/>
      <c r="M898" s="278"/>
      <c r="N898" s="278"/>
    </row>
    <row r="899" spans="1:14">
      <c r="A899" s="307"/>
      <c r="B899" s="278"/>
      <c r="C899" s="278"/>
      <c r="D899" s="278"/>
      <c r="E899" s="278"/>
      <c r="F899" s="278"/>
      <c r="G899" s="278"/>
      <c r="H899" s="278"/>
      <c r="I899" s="278"/>
      <c r="J899" s="278"/>
      <c r="K899" s="278"/>
      <c r="L899" s="278"/>
      <c r="M899" s="278"/>
      <c r="N899" s="278"/>
    </row>
    <row r="900" spans="1:14">
      <c r="A900" s="307"/>
      <c r="B900" s="278"/>
      <c r="C900" s="278"/>
      <c r="D900" s="278"/>
      <c r="E900" s="278"/>
      <c r="F900" s="278"/>
      <c r="G900" s="278"/>
      <c r="H900" s="278"/>
      <c r="I900" s="278"/>
      <c r="J900" s="278"/>
      <c r="K900" s="278"/>
      <c r="L900" s="278"/>
      <c r="M900" s="278"/>
      <c r="N900" s="278"/>
    </row>
    <row r="901" spans="1:14">
      <c r="A901" s="307"/>
      <c r="B901" s="278"/>
      <c r="C901" s="278"/>
      <c r="D901" s="278"/>
      <c r="E901" s="278"/>
      <c r="F901" s="278"/>
      <c r="G901" s="278"/>
      <c r="H901" s="278"/>
      <c r="I901" s="278"/>
      <c r="J901" s="278"/>
      <c r="K901" s="278"/>
      <c r="L901" s="278"/>
      <c r="M901" s="278"/>
      <c r="N901" s="278"/>
    </row>
    <row r="902" spans="1:14">
      <c r="A902" s="307"/>
      <c r="B902" s="278"/>
      <c r="C902" s="278"/>
      <c r="D902" s="278"/>
      <c r="E902" s="278"/>
      <c r="F902" s="278"/>
      <c r="G902" s="278"/>
      <c r="H902" s="278"/>
      <c r="I902" s="278"/>
      <c r="J902" s="278"/>
      <c r="K902" s="278"/>
      <c r="L902" s="278"/>
      <c r="M902" s="278"/>
      <c r="N902" s="278"/>
    </row>
    <row r="903" spans="1:14">
      <c r="A903" s="307"/>
      <c r="B903" s="278"/>
      <c r="C903" s="278"/>
      <c r="D903" s="278"/>
      <c r="E903" s="278"/>
      <c r="F903" s="278"/>
      <c r="G903" s="278"/>
      <c r="H903" s="278"/>
      <c r="I903" s="278"/>
      <c r="J903" s="278"/>
      <c r="K903" s="278"/>
      <c r="L903" s="278"/>
      <c r="M903" s="278"/>
      <c r="N903" s="278"/>
    </row>
    <row r="904" spans="1:14">
      <c r="A904" s="307"/>
      <c r="B904" s="278"/>
      <c r="C904" s="278"/>
      <c r="D904" s="278"/>
      <c r="E904" s="278"/>
      <c r="F904" s="278"/>
      <c r="G904" s="278"/>
      <c r="H904" s="278"/>
      <c r="I904" s="278"/>
      <c r="J904" s="278"/>
      <c r="K904" s="278"/>
      <c r="L904" s="278"/>
      <c r="M904" s="278"/>
      <c r="N904" s="278"/>
    </row>
    <row r="905" spans="1:14">
      <c r="A905" s="307"/>
      <c r="B905" s="278"/>
      <c r="C905" s="278"/>
      <c r="D905" s="278"/>
      <c r="E905" s="278"/>
      <c r="F905" s="278"/>
      <c r="G905" s="278"/>
      <c r="H905" s="278"/>
      <c r="I905" s="278"/>
      <c r="J905" s="278"/>
      <c r="K905" s="278"/>
      <c r="L905" s="278"/>
      <c r="M905" s="278"/>
      <c r="N905" s="278"/>
    </row>
    <row r="906" spans="1:14">
      <c r="A906" s="307"/>
      <c r="B906" s="278"/>
      <c r="C906" s="278"/>
      <c r="D906" s="278"/>
      <c r="E906" s="278"/>
      <c r="F906" s="278"/>
      <c r="G906" s="278"/>
      <c r="H906" s="278"/>
      <c r="I906" s="278"/>
      <c r="J906" s="278"/>
      <c r="K906" s="278"/>
      <c r="L906" s="278"/>
      <c r="M906" s="278"/>
      <c r="N906" s="278"/>
    </row>
    <row r="907" spans="1:14">
      <c r="A907" s="307"/>
      <c r="B907" s="278"/>
      <c r="C907" s="278"/>
      <c r="D907" s="278"/>
      <c r="E907" s="278"/>
      <c r="F907" s="278"/>
      <c r="G907" s="278"/>
      <c r="H907" s="278"/>
      <c r="I907" s="278"/>
      <c r="J907" s="278"/>
      <c r="K907" s="278"/>
      <c r="L907" s="278"/>
      <c r="M907" s="278"/>
      <c r="N907" s="278"/>
    </row>
    <row r="908" spans="1:14">
      <c r="A908" s="307"/>
      <c r="B908" s="278"/>
      <c r="C908" s="278"/>
      <c r="D908" s="278"/>
      <c r="E908" s="278"/>
      <c r="F908" s="278"/>
      <c r="G908" s="278"/>
      <c r="H908" s="278"/>
      <c r="I908" s="278"/>
      <c r="J908" s="278"/>
      <c r="K908" s="278"/>
      <c r="L908" s="278"/>
      <c r="M908" s="278"/>
      <c r="N908" s="278"/>
    </row>
    <row r="909" spans="1:14">
      <c r="A909" s="307"/>
      <c r="B909" s="278"/>
      <c r="C909" s="278"/>
      <c r="D909" s="278"/>
      <c r="E909" s="278"/>
      <c r="F909" s="278"/>
      <c r="G909" s="278"/>
      <c r="H909" s="278"/>
      <c r="I909" s="278"/>
      <c r="J909" s="278"/>
      <c r="K909" s="278"/>
      <c r="L909" s="278"/>
      <c r="M909" s="278"/>
      <c r="N909" s="278"/>
    </row>
    <row r="910" spans="1:14">
      <c r="A910" s="307"/>
      <c r="B910" s="278"/>
      <c r="C910" s="278"/>
      <c r="D910" s="278"/>
      <c r="E910" s="278"/>
      <c r="F910" s="278"/>
      <c r="G910" s="278"/>
      <c r="H910" s="278"/>
      <c r="I910" s="278"/>
      <c r="J910" s="278"/>
      <c r="K910" s="278"/>
      <c r="L910" s="278"/>
      <c r="M910" s="278"/>
      <c r="N910" s="278"/>
    </row>
    <row r="911" spans="1:14">
      <c r="A911" s="307"/>
      <c r="B911" s="278"/>
      <c r="C911" s="278"/>
      <c r="D911" s="278"/>
      <c r="E911" s="278"/>
      <c r="F911" s="278"/>
      <c r="G911" s="278"/>
      <c r="H911" s="278"/>
      <c r="I911" s="278"/>
      <c r="J911" s="278"/>
      <c r="K911" s="278"/>
      <c r="L911" s="278"/>
      <c r="M911" s="278"/>
      <c r="N911" s="278"/>
    </row>
    <row r="912" spans="1:14">
      <c r="A912" s="307"/>
      <c r="B912" s="278"/>
      <c r="C912" s="278"/>
      <c r="D912" s="278"/>
      <c r="E912" s="278"/>
      <c r="F912" s="278"/>
      <c r="G912" s="278"/>
      <c r="H912" s="278"/>
      <c r="I912" s="278"/>
      <c r="J912" s="278"/>
      <c r="K912" s="278"/>
      <c r="L912" s="278"/>
      <c r="M912" s="278"/>
      <c r="N912" s="278"/>
    </row>
    <row r="913" spans="1:14">
      <c r="A913" s="307"/>
      <c r="B913" s="278"/>
      <c r="C913" s="278"/>
      <c r="D913" s="278"/>
      <c r="E913" s="278"/>
      <c r="F913" s="278"/>
      <c r="G913" s="278"/>
      <c r="H913" s="278"/>
      <c r="I913" s="278"/>
      <c r="J913" s="278"/>
      <c r="K913" s="278"/>
      <c r="L913" s="278"/>
      <c r="M913" s="278"/>
      <c r="N913" s="278"/>
    </row>
    <row r="914" spans="1:14">
      <c r="A914" s="307"/>
      <c r="B914" s="278"/>
      <c r="C914" s="278"/>
      <c r="D914" s="278"/>
      <c r="E914" s="278"/>
      <c r="F914" s="278"/>
      <c r="G914" s="278"/>
      <c r="H914" s="278"/>
      <c r="I914" s="278"/>
      <c r="J914" s="278"/>
      <c r="K914" s="278"/>
      <c r="L914" s="278"/>
      <c r="M914" s="278"/>
      <c r="N914" s="278"/>
    </row>
    <row r="915" spans="1:14">
      <c r="A915" s="307"/>
      <c r="B915" s="278"/>
      <c r="C915" s="278"/>
      <c r="D915" s="278"/>
      <c r="E915" s="278"/>
      <c r="F915" s="278"/>
      <c r="G915" s="278"/>
      <c r="H915" s="278"/>
      <c r="I915" s="278"/>
      <c r="J915" s="278"/>
      <c r="K915" s="278"/>
      <c r="L915" s="278"/>
      <c r="M915" s="278"/>
      <c r="N915" s="278"/>
    </row>
    <row r="916" spans="1:14">
      <c r="A916" s="307"/>
      <c r="B916" s="278"/>
      <c r="C916" s="278"/>
      <c r="D916" s="278"/>
      <c r="E916" s="278"/>
      <c r="F916" s="278"/>
      <c r="G916" s="278"/>
      <c r="H916" s="278"/>
      <c r="I916" s="278"/>
      <c r="J916" s="278"/>
      <c r="K916" s="278"/>
      <c r="L916" s="278"/>
      <c r="M916" s="278"/>
      <c r="N916" s="278"/>
    </row>
    <row r="917" spans="1:14">
      <c r="A917" s="307"/>
      <c r="B917" s="278"/>
      <c r="C917" s="278"/>
      <c r="D917" s="278"/>
      <c r="E917" s="278"/>
      <c r="F917" s="278"/>
      <c r="G917" s="278"/>
      <c r="H917" s="278"/>
      <c r="I917" s="278"/>
      <c r="J917" s="278"/>
      <c r="K917" s="278"/>
      <c r="L917" s="278"/>
      <c r="M917" s="278"/>
      <c r="N917" s="278"/>
    </row>
    <row r="918" spans="1:14">
      <c r="A918" s="307"/>
      <c r="B918" s="278"/>
      <c r="C918" s="278"/>
      <c r="D918" s="278"/>
      <c r="E918" s="278"/>
      <c r="F918" s="278"/>
      <c r="G918" s="278"/>
      <c r="H918" s="278"/>
      <c r="I918" s="278"/>
      <c r="J918" s="278"/>
      <c r="K918" s="278"/>
      <c r="L918" s="278"/>
      <c r="M918" s="278"/>
      <c r="N918" s="278"/>
    </row>
    <row r="919" spans="1:14">
      <c r="A919" s="307"/>
      <c r="B919" s="278"/>
      <c r="C919" s="278"/>
      <c r="D919" s="278"/>
      <c r="E919" s="278"/>
      <c r="F919" s="278"/>
      <c r="G919" s="278"/>
      <c r="H919" s="278"/>
      <c r="I919" s="278"/>
      <c r="J919" s="278"/>
      <c r="K919" s="278"/>
      <c r="L919" s="278"/>
      <c r="M919" s="278"/>
      <c r="N919" s="278"/>
    </row>
    <row r="920" spans="1:14">
      <c r="A920" s="307"/>
      <c r="B920" s="278"/>
      <c r="C920" s="278"/>
      <c r="D920" s="278"/>
      <c r="E920" s="278"/>
      <c r="F920" s="278"/>
      <c r="G920" s="278"/>
      <c r="H920" s="278"/>
      <c r="I920" s="278"/>
      <c r="J920" s="278"/>
      <c r="K920" s="278"/>
      <c r="L920" s="278"/>
      <c r="M920" s="278"/>
      <c r="N920" s="278"/>
    </row>
    <row r="921" spans="1:14">
      <c r="A921" s="307"/>
      <c r="B921" s="278"/>
      <c r="C921" s="278"/>
      <c r="D921" s="278"/>
      <c r="E921" s="278"/>
      <c r="F921" s="278"/>
      <c r="G921" s="278"/>
      <c r="H921" s="278"/>
      <c r="I921" s="278"/>
      <c r="J921" s="278"/>
      <c r="K921" s="278"/>
      <c r="L921" s="278"/>
      <c r="M921" s="278"/>
      <c r="N921" s="278"/>
    </row>
    <row r="922" spans="1:14">
      <c r="A922" s="307"/>
      <c r="B922" s="278"/>
      <c r="C922" s="278"/>
      <c r="D922" s="278"/>
      <c r="E922" s="278"/>
      <c r="F922" s="278"/>
      <c r="G922" s="278"/>
      <c r="H922" s="278"/>
      <c r="I922" s="278"/>
      <c r="J922" s="278"/>
      <c r="K922" s="278"/>
      <c r="L922" s="278"/>
      <c r="M922" s="278"/>
      <c r="N922" s="278"/>
    </row>
    <row r="923" spans="1:14">
      <c r="A923" s="307"/>
      <c r="B923" s="278"/>
      <c r="C923" s="278"/>
      <c r="D923" s="278"/>
      <c r="E923" s="278"/>
      <c r="F923" s="278"/>
      <c r="G923" s="278"/>
      <c r="H923" s="278"/>
      <c r="I923" s="278"/>
      <c r="J923" s="278"/>
      <c r="K923" s="278"/>
      <c r="L923" s="278"/>
      <c r="M923" s="278"/>
      <c r="N923" s="278"/>
    </row>
    <row r="924" spans="1:14">
      <c r="A924" s="307"/>
      <c r="B924" s="278"/>
      <c r="C924" s="278"/>
      <c r="D924" s="278"/>
      <c r="E924" s="278"/>
      <c r="F924" s="278"/>
      <c r="G924" s="278"/>
      <c r="H924" s="278"/>
      <c r="I924" s="278"/>
      <c r="J924" s="278"/>
      <c r="K924" s="278"/>
      <c r="L924" s="278"/>
      <c r="M924" s="278"/>
      <c r="N924" s="278"/>
    </row>
    <row r="925" spans="1:14">
      <c r="A925" s="307"/>
      <c r="B925" s="278"/>
      <c r="C925" s="278"/>
      <c r="D925" s="278"/>
      <c r="E925" s="278"/>
      <c r="F925" s="278"/>
      <c r="G925" s="278"/>
      <c r="H925" s="278"/>
      <c r="I925" s="278"/>
      <c r="J925" s="278"/>
      <c r="K925" s="278"/>
      <c r="L925" s="278"/>
      <c r="M925" s="278"/>
      <c r="N925" s="278"/>
    </row>
    <row r="926" spans="1:14">
      <c r="A926" s="307"/>
      <c r="B926" s="278"/>
      <c r="C926" s="278"/>
      <c r="D926" s="278"/>
      <c r="E926" s="278"/>
      <c r="F926" s="278"/>
      <c r="G926" s="278"/>
      <c r="H926" s="278"/>
      <c r="I926" s="278"/>
      <c r="J926" s="278"/>
      <c r="K926" s="278"/>
      <c r="L926" s="278"/>
      <c r="M926" s="278"/>
      <c r="N926" s="278"/>
    </row>
    <row r="927" spans="1:14">
      <c r="A927" s="307"/>
      <c r="B927" s="278"/>
      <c r="C927" s="278"/>
      <c r="D927" s="278"/>
      <c r="E927" s="278"/>
      <c r="F927" s="278"/>
      <c r="G927" s="278"/>
      <c r="H927" s="278"/>
      <c r="I927" s="278"/>
      <c r="J927" s="278"/>
      <c r="K927" s="278"/>
      <c r="L927" s="278"/>
      <c r="M927" s="278"/>
      <c r="N927" s="278"/>
    </row>
    <row r="928" spans="1:14">
      <c r="A928" s="307"/>
      <c r="B928" s="278"/>
      <c r="C928" s="278"/>
      <c r="D928" s="278"/>
      <c r="E928" s="278"/>
      <c r="F928" s="278"/>
      <c r="G928" s="278"/>
      <c r="H928" s="278"/>
      <c r="I928" s="278"/>
      <c r="J928" s="278"/>
      <c r="K928" s="278"/>
      <c r="L928" s="278"/>
      <c r="M928" s="278"/>
      <c r="N928" s="278"/>
    </row>
    <row r="929" spans="1:14">
      <c r="A929" s="307"/>
      <c r="B929" s="278"/>
      <c r="C929" s="278"/>
      <c r="D929" s="278"/>
      <c r="E929" s="278"/>
      <c r="F929" s="278"/>
      <c r="G929" s="278"/>
      <c r="H929" s="278"/>
      <c r="I929" s="278"/>
      <c r="J929" s="278"/>
      <c r="K929" s="278"/>
      <c r="L929" s="278"/>
      <c r="M929" s="278"/>
      <c r="N929" s="278"/>
    </row>
    <row r="930" spans="1:14">
      <c r="A930" s="307"/>
      <c r="B930" s="278"/>
      <c r="C930" s="278"/>
      <c r="D930" s="278"/>
      <c r="E930" s="278"/>
      <c r="F930" s="278"/>
      <c r="G930" s="278"/>
      <c r="H930" s="278"/>
      <c r="I930" s="278"/>
      <c r="J930" s="278"/>
      <c r="K930" s="278"/>
      <c r="L930" s="278"/>
      <c r="M930" s="278"/>
      <c r="N930" s="278"/>
    </row>
    <row r="931" spans="1:14">
      <c r="A931" s="307"/>
      <c r="B931" s="278"/>
      <c r="C931" s="278"/>
      <c r="D931" s="278"/>
      <c r="E931" s="278"/>
      <c r="F931" s="278"/>
      <c r="G931" s="278"/>
      <c r="H931" s="278"/>
      <c r="I931" s="278"/>
      <c r="J931" s="278"/>
      <c r="K931" s="278"/>
      <c r="L931" s="278"/>
      <c r="M931" s="278"/>
      <c r="N931" s="278"/>
    </row>
    <row r="932" spans="1:14">
      <c r="A932" s="307"/>
      <c r="B932" s="278"/>
      <c r="C932" s="278"/>
      <c r="D932" s="278"/>
      <c r="E932" s="278"/>
      <c r="F932" s="278"/>
      <c r="G932" s="278"/>
      <c r="H932" s="278"/>
      <c r="I932" s="278"/>
      <c r="J932" s="278"/>
      <c r="K932" s="278"/>
      <c r="L932" s="278"/>
      <c r="M932" s="278"/>
      <c r="N932" s="278"/>
    </row>
    <row r="933" spans="1:14">
      <c r="A933" s="307"/>
      <c r="B933" s="278"/>
      <c r="C933" s="278"/>
      <c r="D933" s="278"/>
      <c r="E933" s="278"/>
      <c r="F933" s="278"/>
      <c r="G933" s="278"/>
      <c r="H933" s="278"/>
      <c r="I933" s="278"/>
      <c r="J933" s="278"/>
      <c r="K933" s="278"/>
      <c r="L933" s="278"/>
      <c r="M933" s="278"/>
      <c r="N933" s="278"/>
    </row>
    <row r="934" spans="1:14">
      <c r="A934" s="307"/>
      <c r="B934" s="278"/>
      <c r="C934" s="278"/>
      <c r="D934" s="278"/>
      <c r="E934" s="278"/>
      <c r="F934" s="278"/>
      <c r="G934" s="278"/>
      <c r="H934" s="278"/>
      <c r="I934" s="278"/>
      <c r="J934" s="278"/>
      <c r="K934" s="278"/>
      <c r="L934" s="278"/>
      <c r="M934" s="278"/>
      <c r="N934" s="278"/>
    </row>
    <row r="935" spans="1:14">
      <c r="A935" s="307"/>
      <c r="B935" s="278"/>
      <c r="C935" s="278"/>
      <c r="D935" s="278"/>
      <c r="E935" s="278"/>
      <c r="F935" s="278"/>
      <c r="G935" s="278"/>
      <c r="H935" s="278"/>
      <c r="I935" s="278"/>
      <c r="J935" s="278"/>
      <c r="K935" s="278"/>
      <c r="L935" s="278"/>
      <c r="M935" s="278"/>
      <c r="N935" s="278"/>
    </row>
    <row r="936" spans="1:14">
      <c r="A936" s="307"/>
      <c r="B936" s="278"/>
      <c r="C936" s="278"/>
      <c r="D936" s="278"/>
      <c r="E936" s="278"/>
      <c r="F936" s="278"/>
      <c r="G936" s="278"/>
      <c r="H936" s="278"/>
      <c r="I936" s="278"/>
      <c r="J936" s="278"/>
      <c r="K936" s="278"/>
      <c r="L936" s="278"/>
      <c r="M936" s="278"/>
      <c r="N936" s="278"/>
    </row>
    <row r="937" spans="1:14">
      <c r="A937" s="307"/>
      <c r="B937" s="278"/>
      <c r="C937" s="278"/>
      <c r="D937" s="278"/>
      <c r="E937" s="278"/>
      <c r="F937" s="278"/>
      <c r="G937" s="278"/>
      <c r="H937" s="278"/>
      <c r="I937" s="278"/>
      <c r="J937" s="278"/>
      <c r="K937" s="278"/>
      <c r="L937" s="278"/>
      <c r="M937" s="278"/>
      <c r="N937" s="278"/>
    </row>
    <row r="938" spans="1:14">
      <c r="A938" s="307"/>
      <c r="B938" s="278"/>
      <c r="C938" s="278"/>
      <c r="D938" s="278"/>
      <c r="E938" s="278"/>
      <c r="F938" s="278"/>
      <c r="G938" s="278"/>
      <c r="H938" s="278"/>
      <c r="I938" s="278"/>
      <c r="J938" s="278"/>
      <c r="K938" s="278"/>
      <c r="L938" s="278"/>
      <c r="M938" s="278"/>
      <c r="N938" s="278"/>
    </row>
    <row r="939" spans="1:14">
      <c r="A939" s="307"/>
      <c r="B939" s="278"/>
      <c r="C939" s="278"/>
      <c r="D939" s="278"/>
      <c r="E939" s="278"/>
      <c r="F939" s="278"/>
      <c r="G939" s="278"/>
      <c r="H939" s="278"/>
      <c r="I939" s="278"/>
      <c r="J939" s="278"/>
      <c r="K939" s="278"/>
      <c r="L939" s="278"/>
      <c r="M939" s="278"/>
      <c r="N939" s="278"/>
    </row>
    <row r="940" spans="1:14">
      <c r="A940" s="307"/>
      <c r="B940" s="278"/>
      <c r="C940" s="278"/>
      <c r="D940" s="278"/>
      <c r="E940" s="278"/>
      <c r="F940" s="278"/>
      <c r="G940" s="278"/>
      <c r="H940" s="278"/>
      <c r="I940" s="278"/>
      <c r="J940" s="278"/>
      <c r="K940" s="278"/>
      <c r="L940" s="278"/>
      <c r="M940" s="278"/>
      <c r="N940" s="278"/>
    </row>
    <row r="941" spans="1:14">
      <c r="A941" s="307"/>
      <c r="B941" s="278"/>
      <c r="C941" s="278"/>
      <c r="D941" s="278"/>
      <c r="E941" s="278"/>
      <c r="F941" s="278"/>
      <c r="G941" s="278"/>
      <c r="H941" s="278"/>
      <c r="I941" s="278"/>
      <c r="J941" s="278"/>
      <c r="K941" s="278"/>
      <c r="L941" s="278"/>
      <c r="M941" s="278"/>
      <c r="N941" s="278"/>
    </row>
    <row r="942" spans="1:14">
      <c r="A942" s="307"/>
      <c r="B942" s="278"/>
      <c r="C942" s="278"/>
      <c r="D942" s="278"/>
      <c r="E942" s="278"/>
      <c r="F942" s="278"/>
      <c r="G942" s="278"/>
      <c r="H942" s="278"/>
      <c r="I942" s="278"/>
      <c r="J942" s="278"/>
      <c r="K942" s="278"/>
      <c r="L942" s="278"/>
      <c r="M942" s="278"/>
      <c r="N942" s="278"/>
    </row>
    <row r="943" spans="1:14">
      <c r="A943" s="307"/>
      <c r="B943" s="278"/>
      <c r="C943" s="278"/>
      <c r="D943" s="278"/>
      <c r="E943" s="278"/>
      <c r="F943" s="278"/>
      <c r="G943" s="278"/>
      <c r="H943" s="278"/>
      <c r="I943" s="278"/>
      <c r="J943" s="278"/>
      <c r="K943" s="278"/>
      <c r="L943" s="278"/>
      <c r="M943" s="278"/>
      <c r="N943" s="278"/>
    </row>
    <row r="944" spans="1:14">
      <c r="A944" s="307"/>
      <c r="B944" s="278"/>
      <c r="C944" s="278"/>
      <c r="D944" s="278"/>
      <c r="E944" s="278"/>
      <c r="F944" s="278"/>
      <c r="G944" s="278"/>
      <c r="H944" s="278"/>
      <c r="I944" s="278"/>
      <c r="J944" s="278"/>
      <c r="K944" s="278"/>
      <c r="L944" s="278"/>
      <c r="M944" s="278"/>
      <c r="N944" s="278"/>
    </row>
    <row r="945" spans="1:14">
      <c r="A945" s="307"/>
      <c r="B945" s="278"/>
      <c r="C945" s="278"/>
      <c r="D945" s="278"/>
      <c r="E945" s="278"/>
      <c r="F945" s="278"/>
      <c r="G945" s="278"/>
      <c r="H945" s="278"/>
      <c r="I945" s="278"/>
      <c r="J945" s="278"/>
      <c r="K945" s="278"/>
      <c r="L945" s="278"/>
      <c r="M945" s="278"/>
      <c r="N945" s="278"/>
    </row>
    <row r="946" spans="1:14">
      <c r="A946" s="307"/>
      <c r="B946" s="278"/>
      <c r="C946" s="278"/>
      <c r="D946" s="278"/>
      <c r="E946" s="278"/>
      <c r="F946" s="278"/>
      <c r="G946" s="278"/>
      <c r="H946" s="278"/>
      <c r="I946" s="278"/>
      <c r="J946" s="278"/>
      <c r="K946" s="278"/>
      <c r="L946" s="278"/>
      <c r="M946" s="278"/>
      <c r="N946" s="278"/>
    </row>
    <row r="947" spans="1:14">
      <c r="A947" s="307"/>
      <c r="B947" s="278"/>
      <c r="C947" s="278"/>
      <c r="D947" s="278"/>
      <c r="E947" s="278"/>
      <c r="F947" s="278"/>
      <c r="G947" s="278"/>
      <c r="H947" s="278"/>
      <c r="I947" s="278"/>
      <c r="J947" s="278"/>
      <c r="K947" s="278"/>
      <c r="L947" s="278"/>
      <c r="M947" s="278"/>
      <c r="N947" s="278"/>
    </row>
    <row r="948" spans="1:14">
      <c r="A948" s="307"/>
      <c r="B948" s="278"/>
      <c r="C948" s="278"/>
      <c r="D948" s="278"/>
      <c r="E948" s="278"/>
      <c r="F948" s="278"/>
      <c r="G948" s="278"/>
      <c r="H948" s="278"/>
      <c r="I948" s="278"/>
      <c r="J948" s="278"/>
      <c r="K948" s="278"/>
      <c r="L948" s="278"/>
      <c r="M948" s="278"/>
      <c r="N948" s="278"/>
    </row>
    <row r="949" spans="1:14">
      <c r="A949" s="307"/>
      <c r="B949" s="278"/>
      <c r="C949" s="278"/>
      <c r="D949" s="278"/>
      <c r="E949" s="278"/>
      <c r="F949" s="278"/>
      <c r="G949" s="278"/>
      <c r="H949" s="278"/>
      <c r="I949" s="278"/>
      <c r="J949" s="278"/>
      <c r="K949" s="278"/>
      <c r="L949" s="278"/>
      <c r="M949" s="278"/>
      <c r="N949" s="278"/>
    </row>
    <row r="950" spans="1:14">
      <c r="A950" s="307"/>
      <c r="B950" s="278"/>
      <c r="C950" s="278"/>
      <c r="D950" s="278"/>
      <c r="E950" s="278"/>
      <c r="F950" s="278"/>
      <c r="G950" s="278"/>
      <c r="H950" s="278"/>
      <c r="I950" s="278"/>
      <c r="J950" s="278"/>
      <c r="K950" s="278"/>
      <c r="L950" s="278"/>
      <c r="M950" s="278"/>
      <c r="N950" s="278"/>
    </row>
    <row r="951" spans="1:14">
      <c r="A951" s="307"/>
      <c r="B951" s="278"/>
      <c r="C951" s="278"/>
      <c r="D951" s="278"/>
      <c r="E951" s="278"/>
      <c r="F951" s="278"/>
      <c r="G951" s="278"/>
      <c r="H951" s="278"/>
      <c r="I951" s="278"/>
      <c r="J951" s="278"/>
      <c r="K951" s="278"/>
      <c r="L951" s="278"/>
      <c r="M951" s="278"/>
      <c r="N951" s="278"/>
    </row>
    <row r="952" spans="1:14">
      <c r="A952" s="307"/>
      <c r="B952" s="278"/>
      <c r="C952" s="278"/>
      <c r="D952" s="278"/>
      <c r="E952" s="278"/>
      <c r="F952" s="278"/>
      <c r="G952" s="278"/>
      <c r="H952" s="278"/>
      <c r="I952" s="278"/>
      <c r="J952" s="278"/>
      <c r="K952" s="278"/>
      <c r="L952" s="278"/>
      <c r="M952" s="278"/>
      <c r="N952" s="278"/>
    </row>
    <row r="953" spans="1:14">
      <c r="A953" s="307"/>
      <c r="B953" s="278"/>
      <c r="C953" s="278"/>
      <c r="D953" s="278"/>
      <c r="E953" s="278"/>
      <c r="F953" s="278"/>
      <c r="G953" s="278"/>
      <c r="H953" s="278"/>
      <c r="I953" s="278"/>
      <c r="J953" s="278"/>
      <c r="K953" s="278"/>
      <c r="L953" s="278"/>
      <c r="M953" s="278"/>
      <c r="N953" s="278"/>
    </row>
    <row r="954" spans="1:14">
      <c r="A954" s="307"/>
      <c r="B954" s="278"/>
      <c r="C954" s="278"/>
      <c r="D954" s="278"/>
      <c r="E954" s="278"/>
      <c r="F954" s="278"/>
      <c r="G954" s="278"/>
      <c r="H954" s="278"/>
      <c r="I954" s="278"/>
      <c r="J954" s="278"/>
      <c r="K954" s="278"/>
      <c r="L954" s="278"/>
      <c r="M954" s="278"/>
      <c r="N954" s="278"/>
    </row>
    <row r="955" spans="1:14">
      <c r="A955" s="307"/>
      <c r="B955" s="278"/>
      <c r="C955" s="278"/>
      <c r="D955" s="278"/>
      <c r="E955" s="278"/>
      <c r="F955" s="278"/>
      <c r="G955" s="278"/>
      <c r="H955" s="278"/>
      <c r="I955" s="278"/>
      <c r="J955" s="278"/>
      <c r="K955" s="278"/>
      <c r="L955" s="278"/>
      <c r="M955" s="278"/>
      <c r="N955" s="278"/>
    </row>
    <row r="956" spans="1:14">
      <c r="A956" s="307"/>
      <c r="B956" s="278"/>
      <c r="C956" s="278"/>
      <c r="D956" s="278"/>
      <c r="E956" s="278"/>
      <c r="F956" s="278"/>
      <c r="G956" s="278"/>
      <c r="H956" s="278"/>
      <c r="I956" s="278"/>
      <c r="J956" s="278"/>
      <c r="K956" s="278"/>
      <c r="L956" s="278"/>
      <c r="M956" s="278"/>
      <c r="N956" s="278"/>
    </row>
    <row r="957" spans="1:14">
      <c r="A957" s="307"/>
      <c r="B957" s="278"/>
      <c r="C957" s="278"/>
      <c r="D957" s="278"/>
      <c r="E957" s="278"/>
      <c r="F957" s="278"/>
      <c r="G957" s="278"/>
      <c r="H957" s="278"/>
      <c r="I957" s="278"/>
      <c r="J957" s="278"/>
      <c r="K957" s="278"/>
      <c r="L957" s="278"/>
      <c r="M957" s="278"/>
      <c r="N957" s="278"/>
    </row>
    <row r="958" spans="1:14">
      <c r="A958" s="307"/>
      <c r="B958" s="278"/>
      <c r="C958" s="278"/>
      <c r="D958" s="278"/>
      <c r="E958" s="278"/>
      <c r="F958" s="278"/>
      <c r="G958" s="278"/>
      <c r="H958" s="278"/>
      <c r="I958" s="278"/>
      <c r="J958" s="278"/>
      <c r="K958" s="278"/>
      <c r="L958" s="278"/>
      <c r="M958" s="278"/>
      <c r="N958" s="278"/>
    </row>
    <row r="959" spans="1:14">
      <c r="A959" s="307"/>
      <c r="B959" s="278"/>
      <c r="C959" s="278"/>
      <c r="D959" s="278"/>
      <c r="E959" s="278"/>
      <c r="F959" s="278"/>
      <c r="G959" s="278"/>
      <c r="H959" s="278"/>
      <c r="I959" s="278"/>
      <c r="J959" s="278"/>
      <c r="K959" s="278"/>
      <c r="L959" s="278"/>
      <c r="M959" s="278"/>
      <c r="N959" s="278"/>
    </row>
    <row r="960" spans="1:14">
      <c r="A960" s="307"/>
      <c r="B960" s="278"/>
      <c r="C960" s="278"/>
      <c r="D960" s="278"/>
      <c r="E960" s="278"/>
      <c r="F960" s="278"/>
      <c r="G960" s="278"/>
      <c r="H960" s="278"/>
      <c r="I960" s="278"/>
      <c r="J960" s="278"/>
      <c r="K960" s="278"/>
      <c r="L960" s="278"/>
      <c r="M960" s="278"/>
      <c r="N960" s="278"/>
    </row>
    <row r="961" spans="1:14">
      <c r="A961" s="307"/>
      <c r="B961" s="278"/>
      <c r="C961" s="278"/>
      <c r="D961" s="278"/>
      <c r="E961" s="278"/>
      <c r="F961" s="278"/>
      <c r="G961" s="278"/>
      <c r="H961" s="278"/>
      <c r="I961" s="278"/>
      <c r="J961" s="278"/>
      <c r="K961" s="278"/>
      <c r="L961" s="278"/>
      <c r="M961" s="278"/>
      <c r="N961" s="278"/>
    </row>
    <row r="962" spans="1:14">
      <c r="A962" s="307"/>
      <c r="B962" s="278"/>
      <c r="C962" s="278"/>
      <c r="D962" s="278"/>
      <c r="E962" s="278"/>
      <c r="F962" s="278"/>
      <c r="G962" s="278"/>
      <c r="H962" s="278"/>
      <c r="I962" s="278"/>
      <c r="J962" s="278"/>
      <c r="K962" s="278"/>
      <c r="L962" s="278"/>
      <c r="M962" s="278"/>
      <c r="N962" s="278"/>
    </row>
    <row r="963" spans="1:14">
      <c r="A963" s="307"/>
      <c r="B963" s="278"/>
      <c r="C963" s="278"/>
      <c r="D963" s="278"/>
      <c r="E963" s="278"/>
      <c r="F963" s="278"/>
      <c r="G963" s="278"/>
      <c r="H963" s="278"/>
      <c r="I963" s="278"/>
      <c r="J963" s="278"/>
      <c r="K963" s="278"/>
      <c r="L963" s="278"/>
      <c r="M963" s="278"/>
      <c r="N963" s="278"/>
    </row>
    <row r="964" spans="1:14">
      <c r="A964" s="307"/>
      <c r="B964" s="278"/>
      <c r="C964" s="278"/>
      <c r="D964" s="278"/>
      <c r="E964" s="278"/>
      <c r="F964" s="278"/>
      <c r="G964" s="278"/>
      <c r="H964" s="278"/>
      <c r="I964" s="278"/>
      <c r="J964" s="278"/>
      <c r="K964" s="278"/>
      <c r="L964" s="278"/>
      <c r="M964" s="278"/>
      <c r="N964" s="278"/>
    </row>
    <row r="965" spans="1:14">
      <c r="A965" s="307"/>
      <c r="B965" s="278"/>
      <c r="C965" s="278"/>
      <c r="D965" s="278"/>
      <c r="E965" s="278"/>
      <c r="F965" s="278"/>
      <c r="G965" s="278"/>
      <c r="H965" s="278"/>
      <c r="I965" s="278"/>
      <c r="J965" s="278"/>
      <c r="K965" s="278"/>
      <c r="L965" s="278"/>
      <c r="M965" s="278"/>
      <c r="N965" s="278"/>
    </row>
    <row r="966" spans="1:14">
      <c r="A966" s="307"/>
      <c r="B966" s="278"/>
      <c r="C966" s="278"/>
      <c r="D966" s="278"/>
      <c r="E966" s="278"/>
      <c r="F966" s="278"/>
      <c r="G966" s="278"/>
      <c r="H966" s="278"/>
      <c r="I966" s="278"/>
      <c r="J966" s="278"/>
      <c r="K966" s="278"/>
      <c r="L966" s="278"/>
      <c r="M966" s="278"/>
      <c r="N966" s="278"/>
    </row>
    <row r="967" spans="1:14">
      <c r="A967" s="307"/>
      <c r="B967" s="278"/>
      <c r="C967" s="278"/>
      <c r="D967" s="278"/>
      <c r="E967" s="278"/>
      <c r="F967" s="278"/>
      <c r="G967" s="278"/>
      <c r="H967" s="278"/>
      <c r="I967" s="278"/>
      <c r="J967" s="278"/>
      <c r="K967" s="278"/>
      <c r="L967" s="278"/>
      <c r="M967" s="278"/>
      <c r="N967" s="278"/>
    </row>
    <row r="968" spans="1:14">
      <c r="A968" s="307"/>
      <c r="B968" s="278"/>
      <c r="C968" s="278"/>
      <c r="D968" s="278"/>
      <c r="E968" s="278"/>
      <c r="F968" s="278"/>
      <c r="G968" s="278"/>
      <c r="H968" s="278"/>
      <c r="I968" s="278"/>
      <c r="J968" s="278"/>
      <c r="K968" s="278"/>
      <c r="L968" s="278"/>
      <c r="M968" s="278"/>
      <c r="N968" s="278"/>
    </row>
    <row r="969" spans="1:14">
      <c r="A969" s="307"/>
      <c r="B969" s="278"/>
      <c r="C969" s="278"/>
      <c r="D969" s="278"/>
      <c r="E969" s="278"/>
      <c r="F969" s="278"/>
      <c r="G969" s="278"/>
      <c r="H969" s="278"/>
      <c r="I969" s="278"/>
      <c r="J969" s="278"/>
      <c r="K969" s="278"/>
      <c r="L969" s="278"/>
      <c r="M969" s="278"/>
      <c r="N969" s="278"/>
    </row>
    <row r="970" spans="1:14">
      <c r="A970" s="307"/>
      <c r="B970" s="278"/>
      <c r="C970" s="278"/>
      <c r="D970" s="278"/>
      <c r="E970" s="278"/>
      <c r="F970" s="278"/>
      <c r="G970" s="278"/>
      <c r="H970" s="278"/>
      <c r="I970" s="278"/>
      <c r="J970" s="278"/>
      <c r="K970" s="278"/>
      <c r="L970" s="278"/>
      <c r="M970" s="278"/>
      <c r="N970" s="278"/>
    </row>
    <row r="971" spans="1:14">
      <c r="A971" s="307"/>
      <c r="B971" s="278"/>
      <c r="C971" s="278"/>
      <c r="D971" s="278"/>
      <c r="E971" s="278"/>
      <c r="F971" s="278"/>
      <c r="G971" s="278"/>
      <c r="H971" s="278"/>
      <c r="I971" s="278"/>
      <c r="J971" s="278"/>
      <c r="K971" s="278"/>
      <c r="L971" s="278"/>
      <c r="M971" s="278"/>
      <c r="N971" s="278"/>
    </row>
    <row r="972" spans="1:14">
      <c r="A972" s="307"/>
      <c r="B972" s="278"/>
      <c r="C972" s="278"/>
      <c r="D972" s="278"/>
      <c r="E972" s="278"/>
      <c r="F972" s="278"/>
      <c r="G972" s="278"/>
      <c r="H972" s="278"/>
      <c r="I972" s="278"/>
      <c r="J972" s="278"/>
      <c r="K972" s="278"/>
      <c r="L972" s="278"/>
      <c r="M972" s="278"/>
      <c r="N972" s="278"/>
    </row>
    <row r="973" spans="1:14">
      <c r="A973" s="307"/>
      <c r="B973" s="278"/>
      <c r="C973" s="278"/>
      <c r="D973" s="278"/>
      <c r="E973" s="278"/>
      <c r="F973" s="278"/>
      <c r="G973" s="278"/>
      <c r="H973" s="278"/>
      <c r="I973" s="278"/>
      <c r="J973" s="278"/>
      <c r="K973" s="278"/>
      <c r="L973" s="278"/>
      <c r="M973" s="278"/>
      <c r="N973" s="278"/>
    </row>
    <row r="974" spans="1:14">
      <c r="A974" s="307"/>
      <c r="B974" s="278"/>
      <c r="C974" s="278"/>
      <c r="D974" s="278"/>
      <c r="E974" s="278"/>
      <c r="F974" s="278"/>
      <c r="G974" s="278"/>
      <c r="H974" s="278"/>
      <c r="I974" s="278"/>
      <c r="J974" s="278"/>
      <c r="K974" s="278"/>
      <c r="L974" s="278"/>
      <c r="M974" s="278"/>
      <c r="N974" s="278"/>
    </row>
    <row r="975" spans="1:14">
      <c r="A975" s="307"/>
      <c r="B975" s="278"/>
      <c r="C975" s="278"/>
      <c r="D975" s="278"/>
      <c r="E975" s="278"/>
      <c r="F975" s="278"/>
      <c r="G975" s="278"/>
      <c r="H975" s="278"/>
      <c r="I975" s="278"/>
      <c r="J975" s="278"/>
      <c r="K975" s="278"/>
      <c r="L975" s="278"/>
      <c r="M975" s="278"/>
      <c r="N975" s="278"/>
    </row>
    <row r="976" spans="1:14">
      <c r="A976" s="307"/>
      <c r="B976" s="278"/>
      <c r="C976" s="278"/>
      <c r="D976" s="278"/>
      <c r="E976" s="278"/>
      <c r="F976" s="278"/>
      <c r="G976" s="278"/>
      <c r="H976" s="278"/>
      <c r="I976" s="278"/>
      <c r="J976" s="278"/>
      <c r="K976" s="278"/>
      <c r="L976" s="278"/>
      <c r="M976" s="278"/>
      <c r="N976" s="278"/>
    </row>
    <row r="977" spans="1:14">
      <c r="A977" s="307"/>
      <c r="B977" s="278"/>
      <c r="C977" s="278"/>
      <c r="D977" s="278"/>
      <c r="E977" s="278"/>
      <c r="F977" s="278"/>
      <c r="G977" s="278"/>
      <c r="H977" s="278"/>
      <c r="I977" s="278"/>
      <c r="J977" s="278"/>
      <c r="K977" s="278"/>
      <c r="L977" s="278"/>
      <c r="M977" s="278"/>
      <c r="N977" s="278"/>
    </row>
    <row r="978" spans="1:14">
      <c r="A978" s="307"/>
      <c r="B978" s="278"/>
      <c r="C978" s="278"/>
      <c r="D978" s="278"/>
      <c r="E978" s="278"/>
      <c r="F978" s="278"/>
      <c r="G978" s="278"/>
      <c r="H978" s="278"/>
      <c r="I978" s="278"/>
      <c r="J978" s="278"/>
      <c r="K978" s="278"/>
      <c r="L978" s="278"/>
      <c r="M978" s="278"/>
      <c r="N978" s="278"/>
    </row>
    <row r="979" spans="1:14">
      <c r="A979" s="307"/>
      <c r="B979" s="278"/>
      <c r="C979" s="278"/>
      <c r="D979" s="278"/>
      <c r="E979" s="278"/>
      <c r="F979" s="278"/>
      <c r="G979" s="278"/>
      <c r="H979" s="278"/>
      <c r="I979" s="278"/>
      <c r="J979" s="278"/>
      <c r="K979" s="278"/>
      <c r="L979" s="278"/>
      <c r="M979" s="278"/>
      <c r="N979" s="278"/>
    </row>
    <row r="980" spans="1:14">
      <c r="A980" s="307"/>
      <c r="B980" s="278"/>
      <c r="C980" s="278"/>
      <c r="D980" s="278"/>
      <c r="E980" s="278"/>
      <c r="F980" s="278"/>
      <c r="G980" s="278"/>
      <c r="H980" s="278"/>
      <c r="I980" s="278"/>
      <c r="J980" s="278"/>
      <c r="K980" s="278"/>
      <c r="L980" s="278"/>
      <c r="M980" s="278"/>
      <c r="N980" s="278"/>
    </row>
    <row r="981" spans="1:14">
      <c r="A981" s="307"/>
      <c r="B981" s="278"/>
      <c r="C981" s="278"/>
      <c r="D981" s="278"/>
      <c r="E981" s="278"/>
      <c r="F981" s="278"/>
      <c r="G981" s="278"/>
      <c r="H981" s="278"/>
      <c r="I981" s="278"/>
      <c r="J981" s="278"/>
      <c r="K981" s="278"/>
      <c r="L981" s="278"/>
      <c r="M981" s="278"/>
      <c r="N981" s="278"/>
    </row>
    <row r="982" spans="1:14">
      <c r="A982" s="307"/>
      <c r="B982" s="278"/>
      <c r="C982" s="278"/>
      <c r="D982" s="278"/>
      <c r="E982" s="278"/>
      <c r="F982" s="278"/>
      <c r="G982" s="278"/>
      <c r="H982" s="278"/>
      <c r="I982" s="278"/>
      <c r="J982" s="278"/>
      <c r="K982" s="278"/>
      <c r="L982" s="278"/>
      <c r="M982" s="278"/>
      <c r="N982" s="278"/>
    </row>
    <row r="983" spans="1:14">
      <c r="A983" s="307"/>
      <c r="B983" s="278"/>
      <c r="C983" s="278"/>
      <c r="D983" s="278"/>
      <c r="E983" s="278"/>
      <c r="F983" s="278"/>
      <c r="G983" s="278"/>
      <c r="H983" s="278"/>
      <c r="I983" s="278"/>
      <c r="J983" s="278"/>
      <c r="K983" s="278"/>
      <c r="L983" s="278"/>
      <c r="M983" s="278"/>
      <c r="N983" s="278"/>
    </row>
    <row r="984" spans="1:14">
      <c r="A984" s="307"/>
      <c r="B984" s="278"/>
      <c r="C984" s="278"/>
      <c r="D984" s="278"/>
      <c r="E984" s="278"/>
      <c r="F984" s="278"/>
      <c r="G984" s="278"/>
      <c r="H984" s="278"/>
      <c r="I984" s="278"/>
      <c r="J984" s="278"/>
      <c r="K984" s="278"/>
      <c r="L984" s="278"/>
      <c r="M984" s="278"/>
      <c r="N984" s="278"/>
    </row>
    <row r="985" spans="1:14">
      <c r="A985" s="307"/>
      <c r="B985" s="278"/>
      <c r="C985" s="278"/>
      <c r="D985" s="278"/>
      <c r="E985" s="278"/>
      <c r="F985" s="278"/>
      <c r="G985" s="278"/>
      <c r="H985" s="278"/>
      <c r="I985" s="278"/>
      <c r="J985" s="278"/>
      <c r="K985" s="278"/>
      <c r="L985" s="278"/>
      <c r="M985" s="278"/>
      <c r="N985" s="278"/>
    </row>
    <row r="986" spans="1:14">
      <c r="A986" s="307"/>
      <c r="B986" s="278"/>
      <c r="C986" s="278"/>
      <c r="D986" s="278"/>
      <c r="E986" s="278"/>
      <c r="F986" s="278"/>
      <c r="G986" s="278"/>
      <c r="H986" s="278"/>
      <c r="I986" s="278"/>
      <c r="J986" s="278"/>
      <c r="K986" s="278"/>
      <c r="L986" s="278"/>
      <c r="M986" s="278"/>
      <c r="N986" s="278"/>
    </row>
    <row r="987" spans="1:14">
      <c r="A987" s="307"/>
      <c r="B987" s="278"/>
      <c r="C987" s="278"/>
      <c r="D987" s="278"/>
      <c r="E987" s="278"/>
      <c r="F987" s="278"/>
      <c r="G987" s="278"/>
      <c r="H987" s="278"/>
      <c r="I987" s="278"/>
      <c r="J987" s="278"/>
      <c r="K987" s="278"/>
      <c r="L987" s="278"/>
      <c r="M987" s="278"/>
      <c r="N987" s="278"/>
    </row>
    <row r="988" spans="1:14">
      <c r="A988" s="307"/>
      <c r="B988" s="278"/>
      <c r="C988" s="278"/>
      <c r="D988" s="278"/>
      <c r="E988" s="278"/>
      <c r="F988" s="278"/>
      <c r="G988" s="278"/>
      <c r="H988" s="278"/>
      <c r="I988" s="278"/>
      <c r="J988" s="278"/>
      <c r="K988" s="278"/>
      <c r="L988" s="278"/>
      <c r="M988" s="278"/>
      <c r="N988" s="278"/>
    </row>
    <row r="989" spans="1:14">
      <c r="A989" s="307"/>
      <c r="B989" s="278"/>
      <c r="C989" s="278"/>
      <c r="D989" s="278"/>
      <c r="E989" s="278"/>
      <c r="F989" s="278"/>
      <c r="G989" s="278"/>
      <c r="H989" s="278"/>
      <c r="I989" s="278"/>
      <c r="J989" s="278"/>
      <c r="K989" s="278"/>
      <c r="L989" s="278"/>
      <c r="M989" s="278"/>
      <c r="N989" s="278"/>
    </row>
    <row r="990" spans="1:14">
      <c r="A990" s="307"/>
      <c r="B990" s="278"/>
      <c r="C990" s="278"/>
      <c r="D990" s="278"/>
      <c r="E990" s="278"/>
      <c r="F990" s="278"/>
      <c r="G990" s="278"/>
      <c r="H990" s="278"/>
      <c r="I990" s="278"/>
      <c r="J990" s="278"/>
      <c r="K990" s="278"/>
      <c r="L990" s="278"/>
      <c r="M990" s="278"/>
      <c r="N990" s="278"/>
    </row>
    <row r="991" spans="1:14">
      <c r="A991" s="307"/>
      <c r="B991" s="278"/>
      <c r="C991" s="278"/>
      <c r="D991" s="278"/>
      <c r="E991" s="278"/>
      <c r="F991" s="278"/>
      <c r="G991" s="278"/>
      <c r="H991" s="278"/>
      <c r="I991" s="278"/>
      <c r="J991" s="278"/>
      <c r="K991" s="278"/>
      <c r="L991" s="278"/>
      <c r="M991" s="278"/>
      <c r="N991" s="278"/>
    </row>
    <row r="992" spans="1:14">
      <c r="A992" s="307"/>
      <c r="B992" s="278"/>
      <c r="C992" s="278"/>
      <c r="D992" s="278"/>
      <c r="E992" s="278"/>
      <c r="F992" s="278"/>
      <c r="G992" s="278"/>
      <c r="H992" s="278"/>
      <c r="I992" s="278"/>
      <c r="J992" s="278"/>
      <c r="K992" s="278"/>
      <c r="L992" s="278"/>
      <c r="M992" s="278"/>
      <c r="N992" s="278"/>
    </row>
    <row r="993" spans="1:14">
      <c r="A993" s="307"/>
      <c r="B993" s="278"/>
      <c r="C993" s="278"/>
      <c r="D993" s="278"/>
      <c r="E993" s="278"/>
      <c r="F993" s="278"/>
      <c r="G993" s="278"/>
      <c r="H993" s="278"/>
      <c r="I993" s="278"/>
      <c r="J993" s="278"/>
      <c r="K993" s="278"/>
      <c r="L993" s="278"/>
      <c r="M993" s="278"/>
      <c r="N993" s="278"/>
    </row>
    <row r="994" spans="1:14">
      <c r="A994" s="307"/>
      <c r="B994" s="278"/>
      <c r="C994" s="278"/>
      <c r="D994" s="278"/>
      <c r="E994" s="278"/>
      <c r="F994" s="278"/>
      <c r="G994" s="278"/>
      <c r="H994" s="278"/>
      <c r="I994" s="278"/>
      <c r="J994" s="278"/>
      <c r="K994" s="278"/>
      <c r="L994" s="278"/>
      <c r="M994" s="278"/>
      <c r="N994" s="278"/>
    </row>
    <row r="995" spans="1:14">
      <c r="A995" s="307"/>
      <c r="B995" s="278"/>
      <c r="C995" s="278"/>
      <c r="D995" s="278"/>
      <c r="E995" s="278"/>
      <c r="F995" s="278"/>
      <c r="G995" s="278"/>
      <c r="H995" s="278"/>
      <c r="I995" s="278"/>
      <c r="J995" s="278"/>
      <c r="K995" s="278"/>
      <c r="L995" s="278"/>
      <c r="M995" s="278"/>
      <c r="N995" s="278"/>
    </row>
    <row r="996" spans="1:14">
      <c r="A996" s="307"/>
      <c r="B996" s="278"/>
      <c r="C996" s="278"/>
      <c r="D996" s="278"/>
      <c r="E996" s="278"/>
      <c r="F996" s="278"/>
      <c r="G996" s="278"/>
      <c r="H996" s="278"/>
      <c r="I996" s="278"/>
      <c r="J996" s="278"/>
      <c r="K996" s="278"/>
      <c r="L996" s="278"/>
      <c r="M996" s="278"/>
      <c r="N996" s="278"/>
    </row>
    <row r="997" spans="1:14">
      <c r="A997" s="307"/>
      <c r="B997" s="278"/>
      <c r="C997" s="278"/>
      <c r="D997" s="278"/>
      <c r="E997" s="278"/>
      <c r="F997" s="278"/>
      <c r="G997" s="278"/>
      <c r="H997" s="278"/>
      <c r="I997" s="278"/>
      <c r="J997" s="278"/>
      <c r="K997" s="278"/>
      <c r="L997" s="278"/>
      <c r="M997" s="278"/>
      <c r="N997" s="278"/>
    </row>
    <row r="998" spans="1:14">
      <c r="A998" s="307"/>
      <c r="B998" s="278"/>
      <c r="C998" s="278"/>
      <c r="D998" s="278"/>
      <c r="E998" s="278"/>
      <c r="F998" s="278"/>
      <c r="G998" s="278"/>
      <c r="H998" s="278"/>
      <c r="I998" s="278"/>
      <c r="J998" s="278"/>
      <c r="K998" s="278"/>
      <c r="L998" s="278"/>
      <c r="M998" s="278"/>
      <c r="N998" s="278"/>
    </row>
    <row r="999" spans="1:14">
      <c r="A999" s="307"/>
      <c r="B999" s="278"/>
      <c r="C999" s="278"/>
      <c r="D999" s="278"/>
      <c r="E999" s="278"/>
      <c r="F999" s="278"/>
      <c r="G999" s="278"/>
      <c r="H999" s="278"/>
      <c r="I999" s="278"/>
      <c r="J999" s="278"/>
      <c r="K999" s="278"/>
      <c r="L999" s="278"/>
      <c r="M999" s="278"/>
      <c r="N999" s="278"/>
    </row>
    <row r="1000" spans="1:14">
      <c r="A1000" s="307"/>
      <c r="B1000" s="278"/>
      <c r="C1000" s="278"/>
      <c r="D1000" s="278"/>
      <c r="E1000" s="278"/>
      <c r="F1000" s="278"/>
      <c r="G1000" s="278"/>
      <c r="H1000" s="278"/>
      <c r="I1000" s="278"/>
      <c r="J1000" s="278"/>
      <c r="K1000" s="278"/>
      <c r="L1000" s="278"/>
      <c r="M1000" s="278"/>
      <c r="N1000" s="278"/>
    </row>
    <row r="1001" spans="1:14">
      <c r="A1001" s="307"/>
      <c r="B1001" s="278"/>
      <c r="C1001" s="278"/>
      <c r="D1001" s="278"/>
      <c r="E1001" s="278"/>
      <c r="F1001" s="278"/>
      <c r="G1001" s="278"/>
      <c r="H1001" s="278"/>
      <c r="I1001" s="278"/>
      <c r="J1001" s="278"/>
      <c r="K1001" s="278"/>
      <c r="L1001" s="278"/>
      <c r="M1001" s="278"/>
      <c r="N1001" s="278"/>
    </row>
    <row r="1002" spans="1:14">
      <c r="A1002" s="307"/>
      <c r="B1002" s="278"/>
      <c r="C1002" s="278"/>
      <c r="D1002" s="278"/>
      <c r="E1002" s="278"/>
      <c r="F1002" s="278"/>
      <c r="G1002" s="278"/>
      <c r="H1002" s="278"/>
      <c r="I1002" s="278"/>
      <c r="J1002" s="278"/>
      <c r="K1002" s="278"/>
      <c r="L1002" s="278"/>
      <c r="M1002" s="278"/>
      <c r="N1002" s="278"/>
    </row>
    <row r="1003" spans="1:14">
      <c r="A1003" s="307"/>
      <c r="B1003" s="278"/>
      <c r="C1003" s="278"/>
      <c r="D1003" s="278"/>
      <c r="E1003" s="278"/>
      <c r="F1003" s="278"/>
      <c r="G1003" s="278"/>
      <c r="H1003" s="278"/>
      <c r="I1003" s="278"/>
      <c r="J1003" s="278"/>
      <c r="K1003" s="278"/>
      <c r="L1003" s="278"/>
      <c r="M1003" s="278"/>
      <c r="N1003" s="278"/>
    </row>
    <row r="1004" spans="1:14">
      <c r="A1004" s="307"/>
      <c r="B1004" s="278"/>
      <c r="C1004" s="278"/>
      <c r="D1004" s="278"/>
      <c r="E1004" s="278"/>
      <c r="F1004" s="278"/>
      <c r="G1004" s="278"/>
      <c r="H1004" s="278"/>
      <c r="I1004" s="278"/>
      <c r="J1004" s="278"/>
      <c r="K1004" s="278"/>
      <c r="L1004" s="278"/>
      <c r="M1004" s="278"/>
      <c r="N1004" s="278"/>
    </row>
    <row r="1005" spans="1:14">
      <c r="A1005" s="307"/>
      <c r="B1005" s="278"/>
      <c r="C1005" s="278"/>
      <c r="D1005" s="278"/>
      <c r="E1005" s="278"/>
      <c r="F1005" s="278"/>
      <c r="G1005" s="278"/>
      <c r="H1005" s="278"/>
      <c r="I1005" s="278"/>
      <c r="J1005" s="278"/>
      <c r="K1005" s="278"/>
      <c r="L1005" s="278"/>
      <c r="M1005" s="278"/>
      <c r="N1005" s="278"/>
    </row>
    <row r="1006" spans="1:14">
      <c r="A1006" s="307"/>
      <c r="B1006" s="278"/>
      <c r="C1006" s="278"/>
      <c r="D1006" s="278"/>
      <c r="E1006" s="278"/>
      <c r="F1006" s="278"/>
      <c r="G1006" s="278"/>
      <c r="H1006" s="278"/>
      <c r="I1006" s="278"/>
      <c r="J1006" s="278"/>
      <c r="K1006" s="278"/>
      <c r="L1006" s="278"/>
      <c r="M1006" s="278"/>
      <c r="N1006" s="278"/>
    </row>
    <row r="1007" spans="1:14">
      <c r="A1007" s="307"/>
      <c r="B1007" s="278"/>
      <c r="C1007" s="278"/>
      <c r="D1007" s="278"/>
      <c r="E1007" s="278"/>
      <c r="F1007" s="278"/>
      <c r="G1007" s="278"/>
      <c r="H1007" s="278"/>
      <c r="I1007" s="278"/>
      <c r="J1007" s="278"/>
      <c r="K1007" s="278"/>
      <c r="L1007" s="278"/>
      <c r="M1007" s="278"/>
      <c r="N1007" s="278"/>
    </row>
    <row r="1008" spans="1:14">
      <c r="A1008" s="307"/>
      <c r="B1008" s="278"/>
      <c r="C1008" s="278"/>
      <c r="D1008" s="278"/>
      <c r="E1008" s="278"/>
      <c r="F1008" s="278"/>
      <c r="G1008" s="278"/>
      <c r="H1008" s="278"/>
      <c r="I1008" s="278"/>
      <c r="J1008" s="278"/>
      <c r="K1008" s="278"/>
      <c r="L1008" s="278"/>
      <c r="M1008" s="278"/>
      <c r="N1008" s="278"/>
    </row>
    <row r="1009" spans="1:14">
      <c r="A1009" s="307"/>
      <c r="B1009" s="278"/>
      <c r="C1009" s="278"/>
      <c r="D1009" s="278"/>
      <c r="E1009" s="278"/>
      <c r="F1009" s="278"/>
      <c r="G1009" s="278"/>
      <c r="H1009" s="278"/>
      <c r="I1009" s="278"/>
      <c r="J1009" s="278"/>
      <c r="K1009" s="278"/>
      <c r="L1009" s="278"/>
      <c r="M1009" s="278"/>
      <c r="N1009" s="278"/>
    </row>
    <row r="1010" spans="1:14">
      <c r="A1010" s="307"/>
      <c r="B1010" s="278"/>
      <c r="C1010" s="278"/>
      <c r="D1010" s="278"/>
      <c r="E1010" s="278"/>
      <c r="F1010" s="278"/>
      <c r="G1010" s="278"/>
      <c r="H1010" s="278"/>
      <c r="I1010" s="278"/>
      <c r="J1010" s="278"/>
      <c r="K1010" s="278"/>
      <c r="L1010" s="278"/>
      <c r="M1010" s="278"/>
      <c r="N1010" s="278"/>
    </row>
    <row r="1011" spans="1:14">
      <c r="A1011" s="307"/>
      <c r="B1011" s="278"/>
      <c r="C1011" s="278"/>
      <c r="D1011" s="278"/>
      <c r="E1011" s="278"/>
      <c r="F1011" s="278"/>
      <c r="G1011" s="278"/>
      <c r="H1011" s="278"/>
      <c r="I1011" s="278"/>
      <c r="J1011" s="278"/>
      <c r="K1011" s="278"/>
      <c r="L1011" s="278"/>
      <c r="M1011" s="278"/>
      <c r="N1011" s="278"/>
    </row>
    <row r="1012" spans="1:14">
      <c r="A1012" s="307"/>
      <c r="B1012" s="278"/>
      <c r="C1012" s="278"/>
      <c r="D1012" s="278"/>
      <c r="E1012" s="278"/>
      <c r="F1012" s="278"/>
      <c r="G1012" s="278"/>
      <c r="H1012" s="278"/>
      <c r="I1012" s="278"/>
      <c r="J1012" s="278"/>
      <c r="K1012" s="278"/>
      <c r="L1012" s="278"/>
      <c r="M1012" s="278"/>
      <c r="N1012" s="278"/>
    </row>
    <row r="1013" spans="1:14">
      <c r="A1013" s="307"/>
      <c r="B1013" s="278"/>
      <c r="C1013" s="278"/>
      <c r="D1013" s="278"/>
      <c r="E1013" s="278"/>
      <c r="F1013" s="278"/>
      <c r="G1013" s="278"/>
      <c r="H1013" s="278"/>
      <c r="I1013" s="278"/>
      <c r="J1013" s="278"/>
      <c r="K1013" s="278"/>
      <c r="L1013" s="278"/>
      <c r="M1013" s="278"/>
      <c r="N1013" s="278"/>
    </row>
    <row r="1014" spans="1:14">
      <c r="A1014" s="307"/>
      <c r="B1014" s="278"/>
      <c r="C1014" s="278"/>
      <c r="D1014" s="278"/>
      <c r="E1014" s="278"/>
      <c r="F1014" s="278"/>
      <c r="G1014" s="278"/>
      <c r="H1014" s="278"/>
      <c r="I1014" s="278"/>
      <c r="J1014" s="278"/>
      <c r="K1014" s="278"/>
      <c r="L1014" s="278"/>
      <c r="M1014" s="278"/>
      <c r="N1014" s="278"/>
    </row>
    <row r="1015" spans="1:14">
      <c r="A1015" s="307"/>
      <c r="B1015" s="278"/>
      <c r="C1015" s="278"/>
      <c r="D1015" s="278"/>
      <c r="E1015" s="278"/>
      <c r="F1015" s="278"/>
      <c r="G1015" s="278"/>
      <c r="H1015" s="278"/>
      <c r="I1015" s="278"/>
      <c r="J1015" s="278"/>
      <c r="K1015" s="278"/>
      <c r="L1015" s="278"/>
      <c r="M1015" s="278"/>
      <c r="N1015" s="278"/>
    </row>
    <row r="1016" spans="1:14">
      <c r="A1016" s="307"/>
      <c r="B1016" s="278"/>
      <c r="C1016" s="278"/>
      <c r="D1016" s="278"/>
      <c r="E1016" s="278"/>
      <c r="F1016" s="278"/>
      <c r="G1016" s="278"/>
      <c r="H1016" s="278"/>
      <c r="I1016" s="278"/>
      <c r="J1016" s="278"/>
      <c r="K1016" s="278"/>
      <c r="L1016" s="278"/>
      <c r="M1016" s="278"/>
      <c r="N1016" s="278"/>
    </row>
    <row r="1017" spans="1:14">
      <c r="A1017" s="307"/>
      <c r="B1017" s="278"/>
      <c r="C1017" s="278"/>
      <c r="D1017" s="278"/>
      <c r="E1017" s="278"/>
      <c r="F1017" s="278"/>
      <c r="G1017" s="278"/>
      <c r="H1017" s="278"/>
      <c r="I1017" s="278"/>
      <c r="J1017" s="278"/>
      <c r="K1017" s="278"/>
      <c r="L1017" s="278"/>
      <c r="M1017" s="278"/>
      <c r="N1017" s="278"/>
    </row>
    <row r="1018" spans="1:14">
      <c r="A1018" s="307"/>
      <c r="B1018" s="278"/>
      <c r="C1018" s="278"/>
      <c r="D1018" s="278"/>
      <c r="E1018" s="278"/>
      <c r="F1018" s="278"/>
      <c r="G1018" s="278"/>
      <c r="H1018" s="278"/>
      <c r="I1018" s="278"/>
      <c r="J1018" s="278"/>
      <c r="K1018" s="278"/>
      <c r="L1018" s="278"/>
      <c r="M1018" s="278"/>
      <c r="N1018" s="278"/>
    </row>
    <row r="1019" spans="1:14">
      <c r="A1019" s="307"/>
      <c r="B1019" s="278"/>
      <c r="C1019" s="278"/>
      <c r="D1019" s="278"/>
      <c r="E1019" s="278"/>
      <c r="F1019" s="278"/>
      <c r="G1019" s="278"/>
      <c r="H1019" s="278"/>
      <c r="I1019" s="278"/>
      <c r="J1019" s="278"/>
      <c r="K1019" s="278"/>
      <c r="L1019" s="278"/>
      <c r="M1019" s="278"/>
      <c r="N1019" s="278"/>
    </row>
    <row r="1020" spans="1:14">
      <c r="A1020" s="307"/>
      <c r="B1020" s="278"/>
      <c r="C1020" s="278"/>
      <c r="D1020" s="278"/>
      <c r="E1020" s="278"/>
      <c r="F1020" s="278"/>
      <c r="G1020" s="278"/>
      <c r="H1020" s="278"/>
      <c r="I1020" s="278"/>
      <c r="J1020" s="278"/>
      <c r="K1020" s="278"/>
      <c r="L1020" s="278"/>
      <c r="M1020" s="278"/>
      <c r="N1020" s="278"/>
    </row>
    <row r="1021" spans="1:14">
      <c r="A1021" s="307"/>
      <c r="B1021" s="278"/>
      <c r="C1021" s="278"/>
      <c r="D1021" s="278"/>
      <c r="E1021" s="278"/>
      <c r="F1021" s="278"/>
      <c r="G1021" s="278"/>
      <c r="H1021" s="278"/>
      <c r="I1021" s="278"/>
      <c r="J1021" s="278"/>
      <c r="K1021" s="278"/>
      <c r="L1021" s="278"/>
      <c r="M1021" s="278"/>
      <c r="N1021" s="278"/>
    </row>
    <row r="1022" spans="1:14">
      <c r="A1022" s="307"/>
      <c r="B1022" s="278"/>
      <c r="C1022" s="278"/>
      <c r="D1022" s="278"/>
      <c r="E1022" s="278"/>
      <c r="F1022" s="278"/>
      <c r="G1022" s="278"/>
      <c r="H1022" s="278"/>
      <c r="I1022" s="278"/>
      <c r="J1022" s="278"/>
      <c r="K1022" s="278"/>
      <c r="L1022" s="278"/>
      <c r="M1022" s="278"/>
      <c r="N1022" s="278"/>
    </row>
    <row r="1023" spans="1:14">
      <c r="A1023" s="307"/>
      <c r="B1023" s="278"/>
      <c r="C1023" s="278"/>
      <c r="D1023" s="278"/>
      <c r="E1023" s="278"/>
      <c r="F1023" s="278"/>
      <c r="G1023" s="278"/>
      <c r="H1023" s="278"/>
      <c r="I1023" s="278"/>
      <c r="J1023" s="278"/>
      <c r="K1023" s="278"/>
      <c r="L1023" s="278"/>
      <c r="M1023" s="278"/>
      <c r="N1023" s="278"/>
    </row>
    <row r="1024" spans="1:14">
      <c r="A1024" s="307"/>
      <c r="B1024" s="278"/>
      <c r="C1024" s="278"/>
      <c r="D1024" s="278"/>
      <c r="E1024" s="278"/>
      <c r="F1024" s="278"/>
      <c r="G1024" s="278"/>
      <c r="H1024" s="278"/>
      <c r="I1024" s="278"/>
      <c r="J1024" s="278"/>
      <c r="K1024" s="278"/>
      <c r="L1024" s="278"/>
      <c r="M1024" s="278"/>
      <c r="N1024" s="278"/>
    </row>
    <row r="1025" spans="1:14">
      <c r="A1025" s="307"/>
      <c r="B1025" s="278"/>
      <c r="C1025" s="278"/>
      <c r="D1025" s="278"/>
      <c r="E1025" s="278"/>
      <c r="F1025" s="278"/>
      <c r="G1025" s="278"/>
      <c r="H1025" s="278"/>
      <c r="I1025" s="278"/>
      <c r="J1025" s="278"/>
      <c r="K1025" s="278"/>
      <c r="L1025" s="278"/>
      <c r="M1025" s="278"/>
      <c r="N1025" s="278"/>
    </row>
    <row r="1026" spans="1:14">
      <c r="A1026" s="307"/>
      <c r="B1026" s="278"/>
      <c r="C1026" s="278"/>
      <c r="D1026" s="278"/>
      <c r="E1026" s="278"/>
      <c r="F1026" s="278"/>
      <c r="G1026" s="278"/>
      <c r="H1026" s="278"/>
      <c r="I1026" s="278"/>
      <c r="J1026" s="278"/>
      <c r="K1026" s="278"/>
      <c r="L1026" s="278"/>
      <c r="M1026" s="278"/>
      <c r="N1026" s="278"/>
    </row>
    <row r="1027" spans="1:14">
      <c r="A1027" s="307"/>
      <c r="B1027" s="278"/>
      <c r="C1027" s="278"/>
      <c r="D1027" s="278"/>
      <c r="E1027" s="278"/>
      <c r="F1027" s="278"/>
      <c r="G1027" s="278"/>
      <c r="H1027" s="278"/>
      <c r="I1027" s="278"/>
      <c r="J1027" s="278"/>
      <c r="K1027" s="278"/>
      <c r="L1027" s="278"/>
      <c r="M1027" s="278"/>
      <c r="N1027" s="278"/>
    </row>
    <row r="1028" spans="1:14">
      <c r="A1028" s="307"/>
      <c r="B1028" s="278"/>
      <c r="C1028" s="278"/>
      <c r="D1028" s="278"/>
      <c r="E1028" s="278"/>
      <c r="F1028" s="278"/>
      <c r="G1028" s="278"/>
      <c r="H1028" s="278"/>
      <c r="I1028" s="278"/>
      <c r="J1028" s="278"/>
      <c r="K1028" s="278"/>
      <c r="L1028" s="278"/>
      <c r="M1028" s="278"/>
      <c r="N1028" s="278"/>
    </row>
    <row r="1029" spans="1:14">
      <c r="A1029" s="307"/>
      <c r="B1029" s="278"/>
      <c r="C1029" s="278"/>
      <c r="D1029" s="278"/>
      <c r="E1029" s="278"/>
      <c r="F1029" s="278"/>
      <c r="G1029" s="278"/>
      <c r="H1029" s="278"/>
      <c r="I1029" s="278"/>
      <c r="J1029" s="278"/>
      <c r="K1029" s="278"/>
      <c r="L1029" s="278"/>
      <c r="M1029" s="278"/>
      <c r="N1029" s="278"/>
    </row>
    <row r="1030" spans="1:14">
      <c r="A1030" s="307"/>
      <c r="B1030" s="278"/>
      <c r="C1030" s="278"/>
      <c r="D1030" s="278"/>
      <c r="E1030" s="278"/>
      <c r="F1030" s="278"/>
      <c r="G1030" s="278"/>
      <c r="H1030" s="278"/>
      <c r="I1030" s="278"/>
      <c r="J1030" s="278"/>
      <c r="K1030" s="278"/>
      <c r="L1030" s="278"/>
      <c r="M1030" s="278"/>
      <c r="N1030" s="278"/>
    </row>
    <row r="1031" spans="1:14">
      <c r="A1031" s="307"/>
      <c r="B1031" s="278"/>
      <c r="C1031" s="278"/>
      <c r="D1031" s="278"/>
      <c r="E1031" s="278"/>
      <c r="F1031" s="278"/>
      <c r="G1031" s="278"/>
      <c r="H1031" s="278"/>
      <c r="I1031" s="278"/>
      <c r="J1031" s="278"/>
      <c r="K1031" s="278"/>
      <c r="L1031" s="278"/>
      <c r="M1031" s="278"/>
      <c r="N1031" s="278"/>
    </row>
    <row r="1032" spans="1:14">
      <c r="A1032" s="307"/>
      <c r="B1032" s="278"/>
      <c r="C1032" s="278"/>
      <c r="D1032" s="278"/>
      <c r="E1032" s="278"/>
      <c r="F1032" s="278"/>
      <c r="G1032" s="278"/>
      <c r="H1032" s="278"/>
      <c r="I1032" s="278"/>
      <c r="J1032" s="278"/>
      <c r="K1032" s="278"/>
      <c r="L1032" s="278"/>
      <c r="M1032" s="278"/>
      <c r="N1032" s="278"/>
    </row>
    <row r="1033" spans="1:14">
      <c r="A1033" s="307"/>
      <c r="B1033" s="278"/>
      <c r="C1033" s="278"/>
      <c r="D1033" s="278"/>
      <c r="E1033" s="278"/>
      <c r="F1033" s="278"/>
      <c r="G1033" s="278"/>
      <c r="H1033" s="278"/>
      <c r="I1033" s="278"/>
      <c r="J1033" s="278"/>
      <c r="K1033" s="278"/>
      <c r="L1033" s="278"/>
      <c r="M1033" s="278"/>
      <c r="N1033" s="278"/>
    </row>
    <row r="1034" spans="1:14">
      <c r="A1034" s="307"/>
      <c r="B1034" s="278"/>
      <c r="C1034" s="278"/>
      <c r="D1034" s="278"/>
      <c r="E1034" s="278"/>
      <c r="F1034" s="278"/>
      <c r="G1034" s="278"/>
      <c r="H1034" s="278"/>
      <c r="I1034" s="278"/>
      <c r="J1034" s="278"/>
      <c r="K1034" s="278"/>
      <c r="L1034" s="278"/>
      <c r="M1034" s="278"/>
      <c r="N1034" s="278"/>
    </row>
    <row r="1035" spans="1:14">
      <c r="A1035" s="307"/>
      <c r="B1035" s="278"/>
      <c r="C1035" s="278"/>
      <c r="D1035" s="278"/>
      <c r="E1035" s="278"/>
      <c r="F1035" s="278"/>
      <c r="G1035" s="278"/>
      <c r="H1035" s="278"/>
      <c r="I1035" s="278"/>
      <c r="J1035" s="278"/>
      <c r="K1035" s="278"/>
      <c r="L1035" s="278"/>
      <c r="M1035" s="278"/>
      <c r="N1035" s="278"/>
    </row>
    <row r="1036" spans="1:14">
      <c r="A1036" s="307"/>
      <c r="B1036" s="278"/>
      <c r="C1036" s="278"/>
      <c r="D1036" s="278"/>
      <c r="E1036" s="278"/>
      <c r="F1036" s="278"/>
      <c r="G1036" s="278"/>
      <c r="H1036" s="278"/>
      <c r="I1036" s="278"/>
      <c r="J1036" s="278"/>
      <c r="K1036" s="278"/>
      <c r="L1036" s="278"/>
      <c r="M1036" s="278"/>
      <c r="N1036" s="278"/>
    </row>
    <row r="1037" spans="1:14">
      <c r="A1037" s="307"/>
      <c r="B1037" s="278"/>
      <c r="C1037" s="278"/>
      <c r="D1037" s="278"/>
      <c r="E1037" s="278"/>
      <c r="F1037" s="278"/>
      <c r="G1037" s="278"/>
      <c r="H1037" s="278"/>
      <c r="I1037" s="278"/>
      <c r="J1037" s="278"/>
      <c r="K1037" s="278"/>
      <c r="L1037" s="278"/>
      <c r="M1037" s="278"/>
      <c r="N1037" s="278"/>
    </row>
    <row r="1038" spans="1:14">
      <c r="A1038" s="307"/>
      <c r="B1038" s="278"/>
      <c r="C1038" s="278"/>
      <c r="D1038" s="278"/>
      <c r="E1038" s="278"/>
      <c r="F1038" s="278"/>
      <c r="G1038" s="278"/>
      <c r="H1038" s="278"/>
      <c r="I1038" s="278"/>
      <c r="J1038" s="278"/>
      <c r="K1038" s="278"/>
      <c r="L1038" s="278"/>
      <c r="M1038" s="278"/>
      <c r="N1038" s="278"/>
    </row>
    <row r="1039" spans="1:14">
      <c r="A1039" s="307"/>
      <c r="B1039" s="278"/>
      <c r="C1039" s="278"/>
      <c r="D1039" s="278"/>
      <c r="E1039" s="278"/>
      <c r="F1039" s="278"/>
      <c r="G1039" s="278"/>
      <c r="H1039" s="278"/>
      <c r="I1039" s="278"/>
      <c r="J1039" s="278"/>
      <c r="K1039" s="278"/>
      <c r="L1039" s="278"/>
      <c r="M1039" s="278"/>
      <c r="N1039" s="278"/>
    </row>
    <row r="1040" spans="1:14">
      <c r="A1040" s="307"/>
      <c r="B1040" s="278"/>
      <c r="C1040" s="278"/>
      <c r="D1040" s="278"/>
      <c r="E1040" s="278"/>
      <c r="F1040" s="278"/>
      <c r="G1040" s="278"/>
      <c r="H1040" s="278"/>
      <c r="I1040" s="278"/>
      <c r="J1040" s="278"/>
      <c r="K1040" s="278"/>
      <c r="L1040" s="278"/>
      <c r="M1040" s="278"/>
      <c r="N1040" s="278"/>
    </row>
    <row r="1041" spans="1:14">
      <c r="A1041" s="307"/>
      <c r="B1041" s="278"/>
      <c r="C1041" s="278"/>
      <c r="D1041" s="278"/>
      <c r="E1041" s="278"/>
      <c r="F1041" s="278"/>
      <c r="G1041" s="278"/>
      <c r="H1041" s="278"/>
      <c r="I1041" s="278"/>
      <c r="J1041" s="278"/>
      <c r="K1041" s="278"/>
      <c r="L1041" s="278"/>
      <c r="M1041" s="278"/>
      <c r="N1041" s="278"/>
    </row>
    <row r="1042" spans="1:14">
      <c r="A1042" s="307"/>
      <c r="B1042" s="278"/>
      <c r="C1042" s="278"/>
      <c r="D1042" s="278"/>
      <c r="E1042" s="278"/>
      <c r="F1042" s="278"/>
      <c r="G1042" s="278"/>
      <c r="H1042" s="278"/>
      <c r="I1042" s="278"/>
      <c r="J1042" s="278"/>
      <c r="K1042" s="278"/>
      <c r="L1042" s="278"/>
      <c r="M1042" s="278"/>
      <c r="N1042" s="278"/>
    </row>
    <row r="1043" spans="1:14">
      <c r="A1043" s="307"/>
      <c r="B1043" s="278"/>
      <c r="C1043" s="278"/>
      <c r="D1043" s="278"/>
      <c r="E1043" s="278"/>
      <c r="F1043" s="278"/>
      <c r="G1043" s="278"/>
      <c r="H1043" s="278"/>
      <c r="I1043" s="278"/>
      <c r="J1043" s="278"/>
      <c r="K1043" s="278"/>
      <c r="L1043" s="278"/>
      <c r="M1043" s="278"/>
      <c r="N1043" s="278"/>
    </row>
    <row r="1044" spans="1:14">
      <c r="A1044" s="307"/>
      <c r="B1044" s="278"/>
      <c r="C1044" s="278"/>
      <c r="D1044" s="278"/>
      <c r="E1044" s="278"/>
      <c r="F1044" s="278"/>
      <c r="G1044" s="278"/>
      <c r="H1044" s="278"/>
      <c r="I1044" s="278"/>
      <c r="J1044" s="278"/>
      <c r="K1044" s="278"/>
      <c r="L1044" s="278"/>
      <c r="M1044" s="278"/>
      <c r="N1044" s="278"/>
    </row>
    <row r="1045" spans="1:14">
      <c r="A1045" s="307"/>
      <c r="B1045" s="278"/>
      <c r="C1045" s="278"/>
      <c r="D1045" s="278"/>
      <c r="E1045" s="278"/>
      <c r="F1045" s="278"/>
      <c r="G1045" s="278"/>
      <c r="H1045" s="278"/>
      <c r="I1045" s="278"/>
      <c r="J1045" s="278"/>
      <c r="K1045" s="278"/>
      <c r="L1045" s="278"/>
      <c r="M1045" s="278"/>
      <c r="N1045" s="278"/>
    </row>
    <row r="1046" spans="1:14">
      <c r="A1046" s="307"/>
      <c r="B1046" s="278"/>
      <c r="C1046" s="278"/>
      <c r="D1046" s="278"/>
      <c r="E1046" s="278"/>
      <c r="F1046" s="278"/>
      <c r="G1046" s="278"/>
      <c r="H1046" s="278"/>
      <c r="I1046" s="278"/>
      <c r="J1046" s="278"/>
      <c r="K1046" s="278"/>
      <c r="L1046" s="278"/>
      <c r="M1046" s="278"/>
      <c r="N1046" s="278"/>
    </row>
    <row r="1047" spans="1:14">
      <c r="A1047" s="307"/>
      <c r="B1047" s="278"/>
      <c r="C1047" s="278"/>
      <c r="D1047" s="278"/>
      <c r="E1047" s="278"/>
      <c r="F1047" s="278"/>
      <c r="G1047" s="278"/>
      <c r="H1047" s="278"/>
      <c r="I1047" s="278"/>
      <c r="J1047" s="278"/>
      <c r="K1047" s="278"/>
      <c r="L1047" s="278"/>
      <c r="M1047" s="278"/>
      <c r="N1047" s="278"/>
    </row>
    <row r="1048" spans="1:14">
      <c r="A1048" s="307"/>
      <c r="B1048" s="278"/>
      <c r="C1048" s="278"/>
      <c r="D1048" s="278"/>
      <c r="E1048" s="278"/>
      <c r="F1048" s="278"/>
      <c r="G1048" s="278"/>
      <c r="H1048" s="278"/>
      <c r="I1048" s="278"/>
      <c r="J1048" s="278"/>
      <c r="K1048" s="278"/>
      <c r="L1048" s="278"/>
      <c r="M1048" s="278"/>
      <c r="N1048" s="278"/>
    </row>
    <row r="1049" spans="1:14">
      <c r="A1049" s="307"/>
      <c r="B1049" s="278"/>
      <c r="C1049" s="278"/>
      <c r="D1049" s="278"/>
      <c r="E1049" s="278"/>
      <c r="F1049" s="278"/>
      <c r="G1049" s="278"/>
      <c r="H1049" s="278"/>
      <c r="I1049" s="278"/>
      <c r="J1049" s="278"/>
      <c r="K1049" s="278"/>
      <c r="L1049" s="278"/>
      <c r="M1049" s="278"/>
      <c r="N1049" s="278"/>
    </row>
    <row r="1050" spans="1:14">
      <c r="A1050" s="307"/>
      <c r="B1050" s="278"/>
      <c r="C1050" s="278"/>
      <c r="D1050" s="278"/>
      <c r="E1050" s="278"/>
      <c r="F1050" s="278"/>
      <c r="G1050" s="278"/>
      <c r="H1050" s="278"/>
      <c r="I1050" s="278"/>
      <c r="J1050" s="278"/>
      <c r="K1050" s="278"/>
      <c r="L1050" s="278"/>
      <c r="M1050" s="278"/>
      <c r="N1050" s="278"/>
    </row>
    <row r="1051" spans="1:14">
      <c r="A1051" s="307"/>
      <c r="B1051" s="278"/>
      <c r="C1051" s="278"/>
      <c r="D1051" s="278"/>
      <c r="E1051" s="278"/>
      <c r="F1051" s="278"/>
      <c r="G1051" s="278"/>
      <c r="H1051" s="278"/>
      <c r="I1051" s="278"/>
      <c r="J1051" s="278"/>
      <c r="K1051" s="278"/>
      <c r="L1051" s="278"/>
      <c r="M1051" s="278"/>
      <c r="N1051" s="278"/>
    </row>
    <row r="1052" spans="1:14">
      <c r="A1052" s="307"/>
      <c r="B1052" s="278"/>
      <c r="C1052" s="278"/>
      <c r="D1052" s="278"/>
      <c r="E1052" s="278"/>
      <c r="F1052" s="278"/>
      <c r="G1052" s="278"/>
      <c r="H1052" s="278"/>
      <c r="I1052" s="278"/>
      <c r="J1052" s="278"/>
      <c r="K1052" s="278"/>
      <c r="L1052" s="278"/>
      <c r="M1052" s="278"/>
      <c r="N1052" s="278"/>
    </row>
    <row r="1053" spans="1:14">
      <c r="A1053" s="307"/>
      <c r="B1053" s="278"/>
      <c r="C1053" s="278"/>
      <c r="D1053" s="278"/>
      <c r="E1053" s="278"/>
      <c r="F1053" s="278"/>
      <c r="G1053" s="278"/>
      <c r="H1053" s="278"/>
      <c r="I1053" s="278"/>
      <c r="J1053" s="278"/>
      <c r="K1053" s="278"/>
      <c r="L1053" s="278"/>
      <c r="M1053" s="278"/>
      <c r="N1053" s="278"/>
    </row>
    <row r="1054" spans="1:14">
      <c r="A1054" s="307"/>
      <c r="B1054" s="278"/>
      <c r="C1054" s="278"/>
      <c r="D1054" s="278"/>
      <c r="E1054" s="278"/>
      <c r="F1054" s="278"/>
      <c r="G1054" s="278"/>
      <c r="H1054" s="278"/>
      <c r="I1054" s="278"/>
      <c r="J1054" s="278"/>
      <c r="K1054" s="278"/>
      <c r="L1054" s="278"/>
      <c r="M1054" s="278"/>
      <c r="N1054" s="278"/>
    </row>
    <row r="1055" spans="1:14">
      <c r="A1055" s="307"/>
      <c r="B1055" s="278"/>
      <c r="C1055" s="278"/>
      <c r="D1055" s="278"/>
      <c r="E1055" s="278"/>
      <c r="F1055" s="278"/>
      <c r="G1055" s="278"/>
      <c r="H1055" s="278"/>
      <c r="I1055" s="278"/>
      <c r="J1055" s="278"/>
      <c r="K1055" s="278"/>
      <c r="L1055" s="278"/>
      <c r="M1055" s="278"/>
      <c r="N1055" s="278"/>
    </row>
    <row r="1056" spans="1:14">
      <c r="A1056" s="307"/>
      <c r="B1056" s="278"/>
      <c r="C1056" s="278"/>
      <c r="D1056" s="278"/>
      <c r="E1056" s="278"/>
      <c r="F1056" s="278"/>
      <c r="G1056" s="278"/>
      <c r="H1056" s="278"/>
      <c r="I1056" s="278"/>
      <c r="J1056" s="278"/>
      <c r="K1056" s="278"/>
      <c r="L1056" s="278"/>
      <c r="M1056" s="278"/>
      <c r="N1056" s="278"/>
    </row>
    <row r="1057" spans="1:14">
      <c r="A1057" s="307"/>
      <c r="B1057" s="278"/>
      <c r="C1057" s="278"/>
      <c r="D1057" s="278"/>
      <c r="E1057" s="278"/>
      <c r="F1057" s="278"/>
      <c r="G1057" s="278"/>
      <c r="H1057" s="278"/>
      <c r="I1057" s="278"/>
      <c r="J1057" s="278"/>
      <c r="K1057" s="278"/>
      <c r="L1057" s="278"/>
      <c r="M1057" s="278"/>
      <c r="N1057" s="278"/>
    </row>
    <row r="1058" spans="1:14">
      <c r="A1058" s="307"/>
      <c r="B1058" s="278"/>
      <c r="C1058" s="278"/>
      <c r="D1058" s="278"/>
      <c r="E1058" s="278"/>
      <c r="F1058" s="278"/>
      <c r="G1058" s="278"/>
      <c r="H1058" s="278"/>
      <c r="I1058" s="278"/>
      <c r="J1058" s="278"/>
      <c r="K1058" s="278"/>
      <c r="L1058" s="278"/>
      <c r="M1058" s="278"/>
      <c r="N1058" s="278"/>
    </row>
    <row r="1059" spans="1:14">
      <c r="A1059" s="307"/>
      <c r="B1059" s="278"/>
      <c r="C1059" s="278"/>
      <c r="D1059" s="278"/>
      <c r="E1059" s="278"/>
      <c r="F1059" s="278"/>
      <c r="G1059" s="278"/>
      <c r="H1059" s="278"/>
      <c r="I1059" s="278"/>
      <c r="J1059" s="278"/>
      <c r="K1059" s="278"/>
      <c r="L1059" s="278"/>
      <c r="M1059" s="278"/>
      <c r="N1059" s="278"/>
    </row>
    <row r="1060" spans="1:14">
      <c r="A1060" s="307"/>
      <c r="B1060" s="278"/>
      <c r="C1060" s="278"/>
      <c r="D1060" s="278"/>
      <c r="E1060" s="278"/>
      <c r="F1060" s="278"/>
      <c r="G1060" s="278"/>
      <c r="H1060" s="278"/>
      <c r="I1060" s="278"/>
      <c r="J1060" s="278"/>
      <c r="K1060" s="278"/>
      <c r="L1060" s="278"/>
      <c r="M1060" s="278"/>
      <c r="N1060" s="278"/>
    </row>
    <row r="1061" spans="1:14">
      <c r="A1061" s="307"/>
      <c r="B1061" s="278"/>
      <c r="C1061" s="278"/>
      <c r="D1061" s="278"/>
      <c r="E1061" s="278"/>
      <c r="F1061" s="278"/>
      <c r="G1061" s="278"/>
      <c r="H1061" s="278"/>
      <c r="I1061" s="278"/>
      <c r="J1061" s="278"/>
      <c r="K1061" s="278"/>
      <c r="L1061" s="278"/>
      <c r="M1061" s="278"/>
      <c r="N1061" s="278"/>
    </row>
    <row r="1062" spans="1:14">
      <c r="A1062" s="307"/>
      <c r="B1062" s="278"/>
      <c r="C1062" s="278"/>
      <c r="D1062" s="278"/>
      <c r="E1062" s="278"/>
      <c r="F1062" s="278"/>
      <c r="G1062" s="278"/>
      <c r="H1062" s="278"/>
      <c r="I1062" s="278"/>
      <c r="J1062" s="278"/>
      <c r="K1062" s="278"/>
      <c r="L1062" s="278"/>
      <c r="M1062" s="278"/>
      <c r="N1062" s="278"/>
    </row>
    <row r="1063" spans="1:14">
      <c r="A1063" s="307"/>
      <c r="B1063" s="278"/>
      <c r="C1063" s="278"/>
      <c r="D1063" s="278"/>
      <c r="E1063" s="278"/>
      <c r="F1063" s="278"/>
      <c r="G1063" s="278"/>
      <c r="H1063" s="278"/>
      <c r="I1063" s="278"/>
      <c r="J1063" s="278"/>
      <c r="K1063" s="278"/>
      <c r="L1063" s="278"/>
      <c r="M1063" s="278"/>
      <c r="N1063" s="278"/>
    </row>
    <row r="1064" spans="1:14">
      <c r="A1064" s="307"/>
      <c r="B1064" s="278"/>
      <c r="C1064" s="278"/>
      <c r="D1064" s="278"/>
      <c r="E1064" s="278"/>
      <c r="F1064" s="278"/>
      <c r="G1064" s="278"/>
      <c r="H1064" s="278"/>
      <c r="I1064" s="278"/>
      <c r="J1064" s="278"/>
      <c r="K1064" s="278"/>
      <c r="L1064" s="278"/>
      <c r="M1064" s="278"/>
      <c r="N1064" s="278"/>
    </row>
    <row r="1065" spans="1:14">
      <c r="A1065" s="307"/>
      <c r="B1065" s="278"/>
      <c r="C1065" s="278"/>
      <c r="D1065" s="278"/>
      <c r="E1065" s="278"/>
      <c r="F1065" s="278"/>
      <c r="G1065" s="278"/>
      <c r="H1065" s="278"/>
      <c r="I1065" s="278"/>
      <c r="J1065" s="278"/>
      <c r="K1065" s="278"/>
      <c r="L1065" s="278"/>
      <c r="M1065" s="278"/>
      <c r="N1065" s="278"/>
    </row>
    <row r="1066" spans="1:14">
      <c r="A1066" s="307"/>
      <c r="B1066" s="278"/>
      <c r="C1066" s="278"/>
      <c r="D1066" s="278"/>
      <c r="E1066" s="278"/>
      <c r="F1066" s="278"/>
      <c r="G1066" s="278"/>
      <c r="H1066" s="278"/>
      <c r="I1066" s="278"/>
      <c r="J1066" s="278"/>
      <c r="K1066" s="278"/>
      <c r="L1066" s="278"/>
      <c r="M1066" s="278"/>
      <c r="N1066" s="278"/>
    </row>
    <row r="1067" spans="1:14">
      <c r="A1067" s="307"/>
      <c r="B1067" s="278"/>
      <c r="C1067" s="278"/>
      <c r="D1067" s="278"/>
      <c r="E1067" s="278"/>
      <c r="F1067" s="278"/>
      <c r="G1067" s="278"/>
      <c r="H1067" s="278"/>
      <c r="I1067" s="278"/>
      <c r="J1067" s="278"/>
      <c r="K1067" s="278"/>
      <c r="L1067" s="278"/>
      <c r="M1067" s="278"/>
      <c r="N1067" s="278"/>
    </row>
    <row r="1068" spans="1:14">
      <c r="A1068" s="307"/>
      <c r="B1068" s="278"/>
      <c r="C1068" s="278"/>
      <c r="D1068" s="278"/>
      <c r="E1068" s="278"/>
      <c r="F1068" s="278"/>
      <c r="G1068" s="278"/>
      <c r="H1068" s="278"/>
      <c r="I1068" s="278"/>
      <c r="J1068" s="278"/>
      <c r="K1068" s="278"/>
      <c r="L1068" s="278"/>
      <c r="M1068" s="278"/>
      <c r="N1068" s="278"/>
    </row>
    <row r="1069" spans="1:14">
      <c r="A1069" s="307"/>
      <c r="B1069" s="278"/>
      <c r="C1069" s="278"/>
      <c r="D1069" s="278"/>
      <c r="E1069" s="278"/>
      <c r="F1069" s="278"/>
      <c r="G1069" s="278"/>
      <c r="H1069" s="278"/>
      <c r="I1069" s="278"/>
      <c r="J1069" s="278"/>
      <c r="K1069" s="278"/>
      <c r="L1069" s="278"/>
      <c r="M1069" s="278"/>
      <c r="N1069" s="278"/>
    </row>
    <row r="1070" spans="1:14">
      <c r="A1070" s="307"/>
      <c r="B1070" s="278"/>
      <c r="C1070" s="278"/>
      <c r="D1070" s="278"/>
      <c r="E1070" s="278"/>
      <c r="F1070" s="278"/>
      <c r="G1070" s="278"/>
      <c r="H1070" s="278"/>
      <c r="I1070" s="278"/>
      <c r="J1070" s="278"/>
      <c r="K1070" s="278"/>
      <c r="L1070" s="278"/>
      <c r="M1070" s="278"/>
      <c r="N1070" s="278"/>
    </row>
    <row r="1071" spans="1:14">
      <c r="A1071" s="307"/>
      <c r="B1071" s="278"/>
      <c r="C1071" s="278"/>
      <c r="D1071" s="278"/>
      <c r="E1071" s="278"/>
      <c r="F1071" s="278"/>
      <c r="G1071" s="278"/>
      <c r="H1071" s="278"/>
      <c r="I1071" s="278"/>
      <c r="J1071" s="278"/>
      <c r="K1071" s="278"/>
      <c r="L1071" s="278"/>
      <c r="M1071" s="278"/>
      <c r="N1071" s="278"/>
    </row>
    <row r="1072" spans="1:14">
      <c r="A1072" s="307"/>
      <c r="B1072" s="278"/>
      <c r="C1072" s="278"/>
      <c r="D1072" s="278"/>
      <c r="E1072" s="278"/>
      <c r="F1072" s="278"/>
      <c r="G1072" s="278"/>
      <c r="H1072" s="278"/>
      <c r="I1072" s="278"/>
      <c r="J1072" s="278"/>
      <c r="K1072" s="278"/>
      <c r="L1072" s="278"/>
      <c r="M1072" s="278"/>
      <c r="N1072" s="278"/>
    </row>
    <row r="1073" spans="1:14">
      <c r="A1073" s="307"/>
      <c r="B1073" s="278"/>
      <c r="C1073" s="278"/>
      <c r="D1073" s="278"/>
      <c r="E1073" s="278"/>
      <c r="F1073" s="278"/>
      <c r="G1073" s="278"/>
      <c r="H1073" s="278"/>
      <c r="I1073" s="278"/>
      <c r="J1073" s="278"/>
      <c r="K1073" s="278"/>
      <c r="L1073" s="278"/>
      <c r="M1073" s="278"/>
      <c r="N1073" s="278"/>
    </row>
    <row r="1074" spans="1:14">
      <c r="A1074" s="307"/>
      <c r="B1074" s="278"/>
      <c r="C1074" s="278"/>
      <c r="D1074" s="278"/>
      <c r="E1074" s="278"/>
      <c r="F1074" s="278"/>
      <c r="G1074" s="278"/>
      <c r="H1074" s="278"/>
      <c r="I1074" s="278"/>
      <c r="J1074" s="278"/>
      <c r="K1074" s="278"/>
      <c r="L1074" s="278"/>
      <c r="M1074" s="278"/>
      <c r="N1074" s="278"/>
    </row>
    <row r="1075" spans="1:14">
      <c r="A1075" s="307"/>
      <c r="B1075" s="278"/>
      <c r="C1075" s="278"/>
      <c r="D1075" s="278"/>
      <c r="E1075" s="278"/>
      <c r="F1075" s="278"/>
      <c r="G1075" s="278"/>
      <c r="H1075" s="278"/>
      <c r="I1075" s="278"/>
      <c r="J1075" s="278"/>
      <c r="K1075" s="278"/>
      <c r="L1075" s="278"/>
      <c r="M1075" s="278"/>
      <c r="N1075" s="278"/>
    </row>
    <row r="1076" spans="1:14">
      <c r="A1076" s="307"/>
      <c r="B1076" s="278"/>
      <c r="C1076" s="278"/>
      <c r="D1076" s="278"/>
      <c r="E1076" s="278"/>
      <c r="F1076" s="278"/>
      <c r="G1076" s="278"/>
      <c r="H1076" s="278"/>
      <c r="I1076" s="278"/>
      <c r="J1076" s="278"/>
      <c r="K1076" s="278"/>
      <c r="L1076" s="278"/>
      <c r="M1076" s="278"/>
      <c r="N1076" s="278"/>
    </row>
    <row r="1077" spans="1:14">
      <c r="A1077" s="307"/>
      <c r="B1077" s="278"/>
      <c r="C1077" s="278"/>
      <c r="D1077" s="278"/>
      <c r="E1077" s="278"/>
      <c r="F1077" s="278"/>
      <c r="G1077" s="278"/>
      <c r="H1077" s="278"/>
      <c r="I1077" s="278"/>
      <c r="J1077" s="278"/>
      <c r="K1077" s="278"/>
      <c r="L1077" s="278"/>
      <c r="M1077" s="278"/>
      <c r="N1077" s="278"/>
    </row>
    <row r="1078" spans="1:14">
      <c r="A1078" s="307"/>
      <c r="B1078" s="278"/>
      <c r="C1078" s="278"/>
      <c r="D1078" s="278"/>
      <c r="E1078" s="278"/>
      <c r="F1078" s="278"/>
      <c r="G1078" s="278"/>
      <c r="H1078" s="278"/>
      <c r="I1078" s="278"/>
      <c r="J1078" s="278"/>
      <c r="K1078" s="278"/>
      <c r="L1078" s="278"/>
      <c r="M1078" s="278"/>
      <c r="N1078" s="278"/>
    </row>
    <row r="1079" spans="1:14">
      <c r="A1079" s="307"/>
      <c r="B1079" s="278"/>
      <c r="C1079" s="278"/>
      <c r="D1079" s="278"/>
      <c r="E1079" s="278"/>
      <c r="F1079" s="278"/>
      <c r="G1079" s="278"/>
      <c r="H1079" s="278"/>
      <c r="I1079" s="278"/>
      <c r="J1079" s="278"/>
      <c r="K1079" s="278"/>
      <c r="L1079" s="278"/>
      <c r="M1079" s="278"/>
      <c r="N1079" s="278"/>
    </row>
    <row r="1080" spans="1:14">
      <c r="A1080" s="307"/>
      <c r="B1080" s="278"/>
      <c r="C1080" s="278"/>
      <c r="D1080" s="278"/>
      <c r="E1080" s="278"/>
      <c r="F1080" s="278"/>
      <c r="G1080" s="278"/>
      <c r="H1080" s="278"/>
      <c r="I1080" s="278"/>
      <c r="J1080" s="278"/>
      <c r="K1080" s="278"/>
      <c r="L1080" s="278"/>
      <c r="M1080" s="278"/>
      <c r="N1080" s="278"/>
    </row>
    <row r="1081" spans="1:14">
      <c r="A1081" s="307"/>
      <c r="B1081" s="278"/>
      <c r="C1081" s="278"/>
      <c r="D1081" s="278"/>
      <c r="E1081" s="278"/>
      <c r="F1081" s="278"/>
      <c r="G1081" s="278"/>
      <c r="H1081" s="278"/>
      <c r="I1081" s="278"/>
      <c r="J1081" s="278"/>
      <c r="K1081" s="278"/>
      <c r="L1081" s="278"/>
      <c r="M1081" s="278"/>
      <c r="N1081" s="278"/>
    </row>
    <row r="1082" spans="1:14">
      <c r="A1082" s="307"/>
      <c r="B1082" s="278"/>
      <c r="C1082" s="278"/>
      <c r="D1082" s="278"/>
      <c r="E1082" s="278"/>
      <c r="F1082" s="278"/>
      <c r="G1082" s="278"/>
      <c r="H1082" s="278"/>
      <c r="I1082" s="278"/>
      <c r="J1082" s="278"/>
      <c r="K1082" s="278"/>
      <c r="L1082" s="278"/>
      <c r="M1082" s="278"/>
      <c r="N1082" s="278"/>
    </row>
    <row r="1083" spans="1:14">
      <c r="A1083" s="307"/>
      <c r="B1083" s="278"/>
      <c r="C1083" s="278"/>
      <c r="D1083" s="278"/>
      <c r="E1083" s="278"/>
      <c r="F1083" s="278"/>
      <c r="G1083" s="278"/>
      <c r="H1083" s="278"/>
      <c r="I1083" s="278"/>
      <c r="J1083" s="278"/>
      <c r="K1083" s="278"/>
      <c r="L1083" s="278"/>
      <c r="M1083" s="278"/>
      <c r="N1083" s="278"/>
    </row>
    <row r="1084" spans="1:14">
      <c r="A1084" s="307"/>
      <c r="B1084" s="278"/>
      <c r="C1084" s="278"/>
      <c r="D1084" s="278"/>
      <c r="E1084" s="278"/>
      <c r="F1084" s="278"/>
      <c r="G1084" s="278"/>
      <c r="H1084" s="278"/>
      <c r="I1084" s="278"/>
      <c r="J1084" s="278"/>
      <c r="K1084" s="278"/>
      <c r="L1084" s="278"/>
      <c r="M1084" s="278"/>
      <c r="N1084" s="278"/>
    </row>
    <row r="1085" spans="1:14">
      <c r="A1085" s="307"/>
      <c r="B1085" s="278"/>
      <c r="C1085" s="278"/>
      <c r="D1085" s="278"/>
      <c r="E1085" s="278"/>
      <c r="F1085" s="278"/>
      <c r="G1085" s="278"/>
      <c r="H1085" s="278"/>
      <c r="I1085" s="278"/>
      <c r="J1085" s="278"/>
      <c r="K1085" s="278"/>
      <c r="L1085" s="278"/>
      <c r="M1085" s="278"/>
      <c r="N1085" s="278"/>
    </row>
    <row r="1086" spans="1:14">
      <c r="A1086" s="307"/>
      <c r="B1086" s="278"/>
      <c r="C1086" s="278"/>
      <c r="D1086" s="278"/>
      <c r="E1086" s="278"/>
      <c r="F1086" s="278"/>
      <c r="G1086" s="278"/>
      <c r="H1086" s="278"/>
      <c r="I1086" s="278"/>
      <c r="J1086" s="278"/>
      <c r="K1086" s="278"/>
      <c r="L1086" s="278"/>
      <c r="M1086" s="278"/>
      <c r="N1086" s="278"/>
    </row>
    <row r="1087" spans="1:14">
      <c r="A1087" s="307"/>
      <c r="B1087" s="278"/>
      <c r="C1087" s="278"/>
      <c r="D1087" s="278"/>
      <c r="E1087" s="278"/>
      <c r="F1087" s="278"/>
      <c r="G1087" s="278"/>
      <c r="H1087" s="278"/>
      <c r="I1087" s="278"/>
      <c r="J1087" s="278"/>
      <c r="K1087" s="278"/>
      <c r="L1087" s="278"/>
      <c r="M1087" s="278"/>
      <c r="N1087" s="278"/>
    </row>
    <row r="1088" spans="1:14">
      <c r="A1088" s="307"/>
      <c r="B1088" s="278"/>
      <c r="C1088" s="278"/>
      <c r="D1088" s="278"/>
      <c r="E1088" s="278"/>
      <c r="F1088" s="278"/>
      <c r="G1088" s="278"/>
      <c r="H1088" s="278"/>
      <c r="I1088" s="278"/>
      <c r="J1088" s="278"/>
      <c r="K1088" s="278"/>
      <c r="L1088" s="278"/>
      <c r="M1088" s="278"/>
      <c r="N1088" s="278"/>
    </row>
    <row r="1089" spans="1:14">
      <c r="A1089" s="307"/>
      <c r="B1089" s="278"/>
      <c r="C1089" s="278"/>
      <c r="D1089" s="278"/>
      <c r="E1089" s="278"/>
      <c r="F1089" s="278"/>
      <c r="G1089" s="278"/>
      <c r="H1089" s="278"/>
      <c r="I1089" s="278"/>
      <c r="J1089" s="278"/>
      <c r="K1089" s="278"/>
      <c r="L1089" s="278"/>
      <c r="M1089" s="278"/>
      <c r="N1089" s="278"/>
    </row>
    <row r="1090" spans="1:14">
      <c r="A1090" s="307"/>
      <c r="B1090" s="278"/>
      <c r="C1090" s="278"/>
      <c r="D1090" s="278"/>
      <c r="E1090" s="278"/>
      <c r="F1090" s="278"/>
      <c r="G1090" s="278"/>
      <c r="H1090" s="278"/>
      <c r="I1090" s="278"/>
      <c r="J1090" s="278"/>
      <c r="K1090" s="278"/>
      <c r="L1090" s="278"/>
      <c r="M1090" s="278"/>
      <c r="N1090" s="278"/>
    </row>
    <row r="1091" spans="1:14">
      <c r="A1091" s="307"/>
      <c r="B1091" s="278"/>
      <c r="C1091" s="278"/>
      <c r="D1091" s="278"/>
      <c r="E1091" s="278"/>
      <c r="F1091" s="278"/>
      <c r="G1091" s="278"/>
      <c r="H1091" s="278"/>
      <c r="I1091" s="278"/>
      <c r="J1091" s="278"/>
      <c r="K1091" s="278"/>
      <c r="L1091" s="278"/>
      <c r="M1091" s="278"/>
      <c r="N1091" s="278"/>
    </row>
    <row r="1092" spans="1:14">
      <c r="A1092" s="307"/>
      <c r="B1092" s="278"/>
      <c r="C1092" s="278"/>
      <c r="D1092" s="278"/>
      <c r="E1092" s="278"/>
      <c r="F1092" s="278"/>
      <c r="G1092" s="278"/>
      <c r="H1092" s="278"/>
      <c r="I1092" s="278"/>
      <c r="J1092" s="278"/>
      <c r="K1092" s="278"/>
      <c r="L1092" s="278"/>
      <c r="M1092" s="278"/>
      <c r="N1092" s="278"/>
    </row>
    <row r="1093" spans="1:14">
      <c r="A1093" s="307"/>
      <c r="B1093" s="278"/>
      <c r="C1093" s="278"/>
      <c r="D1093" s="278"/>
      <c r="E1093" s="278"/>
      <c r="F1093" s="278"/>
      <c r="G1093" s="278"/>
      <c r="H1093" s="278"/>
      <c r="I1093" s="278"/>
      <c r="J1093" s="278"/>
      <c r="K1093" s="278"/>
      <c r="L1093" s="278"/>
      <c r="M1093" s="278"/>
      <c r="N1093" s="278"/>
    </row>
    <row r="1094" spans="1:14">
      <c r="A1094" s="307"/>
      <c r="B1094" s="278"/>
      <c r="C1094" s="278"/>
      <c r="D1094" s="278"/>
      <c r="E1094" s="278"/>
      <c r="F1094" s="278"/>
      <c r="G1094" s="278"/>
      <c r="H1094" s="278"/>
      <c r="I1094" s="278"/>
      <c r="J1094" s="278"/>
      <c r="K1094" s="278"/>
      <c r="L1094" s="278"/>
      <c r="M1094" s="278"/>
      <c r="N1094" s="278"/>
    </row>
    <row r="1095" spans="1:14">
      <c r="A1095" s="307"/>
      <c r="B1095" s="278"/>
      <c r="C1095" s="278"/>
      <c r="D1095" s="278"/>
      <c r="E1095" s="278"/>
      <c r="F1095" s="278"/>
      <c r="G1095" s="278"/>
      <c r="H1095" s="278"/>
      <c r="I1095" s="278"/>
      <c r="J1095" s="278"/>
      <c r="K1095" s="278"/>
      <c r="L1095" s="278"/>
      <c r="M1095" s="278"/>
      <c r="N1095" s="278"/>
    </row>
    <row r="1096" spans="1:14">
      <c r="A1096" s="307"/>
      <c r="B1096" s="278"/>
      <c r="C1096" s="278"/>
      <c r="D1096" s="278"/>
      <c r="E1096" s="278"/>
      <c r="F1096" s="278"/>
      <c r="G1096" s="278"/>
      <c r="H1096" s="278"/>
      <c r="I1096" s="278"/>
      <c r="J1096" s="278"/>
      <c r="K1096" s="278"/>
      <c r="L1096" s="278"/>
      <c r="M1096" s="278"/>
      <c r="N1096" s="278"/>
    </row>
    <row r="1097" spans="1:14">
      <c r="A1097" s="307"/>
      <c r="B1097" s="278"/>
      <c r="C1097" s="278"/>
      <c r="D1097" s="278"/>
      <c r="E1097" s="278"/>
      <c r="F1097" s="278"/>
      <c r="G1097" s="278"/>
      <c r="H1097" s="278"/>
      <c r="I1097" s="278"/>
      <c r="J1097" s="278"/>
      <c r="K1097" s="278"/>
      <c r="L1097" s="278"/>
      <c r="M1097" s="278"/>
      <c r="N1097" s="278"/>
    </row>
    <row r="1098" spans="1:14">
      <c r="A1098" s="307"/>
      <c r="B1098" s="278"/>
      <c r="C1098" s="278"/>
      <c r="D1098" s="278"/>
      <c r="E1098" s="278"/>
      <c r="F1098" s="278"/>
      <c r="G1098" s="278"/>
      <c r="H1098" s="278"/>
      <c r="I1098" s="278"/>
      <c r="J1098" s="278"/>
      <c r="K1098" s="278"/>
      <c r="L1098" s="278"/>
      <c r="M1098" s="278"/>
      <c r="N1098" s="278"/>
    </row>
    <row r="1099" spans="1:14">
      <c r="A1099" s="307"/>
      <c r="B1099" s="278"/>
      <c r="C1099" s="278"/>
      <c r="D1099" s="278"/>
      <c r="E1099" s="278"/>
      <c r="F1099" s="278"/>
      <c r="G1099" s="278"/>
      <c r="H1099" s="278"/>
      <c r="I1099" s="278"/>
      <c r="J1099" s="278"/>
      <c r="K1099" s="278"/>
      <c r="L1099" s="278"/>
      <c r="M1099" s="278"/>
      <c r="N1099" s="278"/>
    </row>
    <row r="1100" spans="1:14">
      <c r="A1100" s="307"/>
      <c r="B1100" s="278"/>
      <c r="C1100" s="278"/>
      <c r="D1100" s="278"/>
      <c r="E1100" s="278"/>
      <c r="F1100" s="278"/>
      <c r="G1100" s="278"/>
      <c r="H1100" s="278"/>
      <c r="I1100" s="278"/>
      <c r="J1100" s="278"/>
      <c r="K1100" s="278"/>
      <c r="L1100" s="278"/>
      <c r="M1100" s="278"/>
      <c r="N1100" s="278"/>
    </row>
    <row r="1101" spans="1:14">
      <c r="A1101" s="307"/>
      <c r="B1101" s="278"/>
      <c r="C1101" s="278"/>
      <c r="D1101" s="278"/>
      <c r="E1101" s="278"/>
      <c r="F1101" s="278"/>
      <c r="G1101" s="278"/>
      <c r="H1101" s="278"/>
      <c r="I1101" s="278"/>
      <c r="J1101" s="278"/>
      <c r="K1101" s="278"/>
      <c r="L1101" s="278"/>
      <c r="M1101" s="278"/>
      <c r="N1101" s="278"/>
    </row>
    <row r="1102" spans="1:14">
      <c r="A1102" s="307"/>
      <c r="B1102" s="278"/>
      <c r="C1102" s="278"/>
      <c r="D1102" s="278"/>
      <c r="E1102" s="278"/>
      <c r="F1102" s="278"/>
      <c r="G1102" s="278"/>
      <c r="H1102" s="278"/>
      <c r="I1102" s="278"/>
      <c r="J1102" s="278"/>
      <c r="K1102" s="278"/>
      <c r="L1102" s="278"/>
      <c r="M1102" s="278"/>
      <c r="N1102" s="278"/>
    </row>
    <row r="1103" spans="1:14">
      <c r="A1103" s="307"/>
      <c r="B1103" s="278"/>
      <c r="C1103" s="278"/>
      <c r="D1103" s="278"/>
      <c r="E1103" s="278"/>
      <c r="F1103" s="278"/>
      <c r="G1103" s="278"/>
      <c r="H1103" s="278"/>
      <c r="I1103" s="278"/>
      <c r="J1103" s="278"/>
      <c r="K1103" s="278"/>
      <c r="L1103" s="278"/>
      <c r="M1103" s="278"/>
      <c r="N1103" s="278"/>
    </row>
    <row r="1104" spans="1:14">
      <c r="A1104" s="307"/>
      <c r="B1104" s="278"/>
      <c r="C1104" s="278"/>
      <c r="D1104" s="278"/>
      <c r="E1104" s="278"/>
      <c r="F1104" s="278"/>
      <c r="G1104" s="278"/>
      <c r="H1104" s="278"/>
      <c r="I1104" s="278"/>
      <c r="J1104" s="278"/>
      <c r="K1104" s="278"/>
      <c r="L1104" s="278"/>
      <c r="M1104" s="278"/>
      <c r="N1104" s="278"/>
    </row>
    <row r="1105" spans="1:14">
      <c r="A1105" s="307"/>
      <c r="B1105" s="278"/>
      <c r="C1105" s="278"/>
      <c r="D1105" s="278"/>
      <c r="E1105" s="278"/>
      <c r="F1105" s="278"/>
      <c r="G1105" s="278"/>
      <c r="H1105" s="278"/>
      <c r="I1105" s="278"/>
      <c r="J1105" s="278"/>
      <c r="K1105" s="278"/>
      <c r="L1105" s="278"/>
      <c r="M1105" s="278"/>
      <c r="N1105" s="278"/>
    </row>
    <row r="1106" spans="1:14">
      <c r="A1106" s="307"/>
      <c r="B1106" s="278"/>
      <c r="C1106" s="278"/>
      <c r="D1106" s="278"/>
      <c r="E1106" s="278"/>
      <c r="F1106" s="278"/>
      <c r="G1106" s="278"/>
      <c r="H1106" s="278"/>
      <c r="I1106" s="278"/>
      <c r="J1106" s="278"/>
      <c r="K1106" s="278"/>
      <c r="L1106" s="278"/>
      <c r="M1106" s="278"/>
      <c r="N1106" s="278"/>
    </row>
    <row r="1107" spans="1:14">
      <c r="A1107" s="307"/>
      <c r="B1107" s="278"/>
      <c r="C1107" s="278"/>
      <c r="D1107" s="278"/>
      <c r="E1107" s="278"/>
      <c r="F1107" s="278"/>
      <c r="G1107" s="278"/>
      <c r="H1107" s="278"/>
      <c r="I1107" s="278"/>
      <c r="J1107" s="278"/>
      <c r="K1107" s="278"/>
      <c r="L1107" s="278"/>
      <c r="M1107" s="278"/>
      <c r="N1107" s="278"/>
    </row>
    <row r="1108" spans="1:14">
      <c r="A1108" s="307"/>
      <c r="B1108" s="278"/>
      <c r="C1108" s="278"/>
      <c r="D1108" s="278"/>
      <c r="E1108" s="278"/>
      <c r="F1108" s="278"/>
      <c r="G1108" s="278"/>
      <c r="H1108" s="278"/>
      <c r="I1108" s="278"/>
      <c r="J1108" s="278"/>
      <c r="K1108" s="278"/>
      <c r="L1108" s="278"/>
      <c r="M1108" s="278"/>
      <c r="N1108" s="278"/>
    </row>
    <row r="1109" spans="1:14">
      <c r="A1109" s="307"/>
      <c r="B1109" s="278"/>
      <c r="C1109" s="278"/>
      <c r="D1109" s="278"/>
      <c r="E1109" s="278"/>
      <c r="F1109" s="278"/>
      <c r="G1109" s="278"/>
      <c r="H1109" s="278"/>
      <c r="I1109" s="278"/>
      <c r="J1109" s="278"/>
      <c r="K1109" s="278"/>
      <c r="L1109" s="278"/>
      <c r="M1109" s="278"/>
      <c r="N1109" s="278"/>
    </row>
    <row r="1110" spans="1:14">
      <c r="A1110" s="307"/>
      <c r="B1110" s="278"/>
      <c r="C1110" s="278"/>
      <c r="D1110" s="278"/>
      <c r="E1110" s="278"/>
      <c r="F1110" s="278"/>
      <c r="G1110" s="278"/>
      <c r="H1110" s="278"/>
      <c r="I1110" s="278"/>
      <c r="J1110" s="278"/>
      <c r="K1110" s="278"/>
      <c r="L1110" s="278"/>
      <c r="M1110" s="278"/>
      <c r="N1110" s="278"/>
    </row>
    <row r="1111" spans="1:14">
      <c r="A1111" s="307"/>
      <c r="B1111" s="278"/>
      <c r="C1111" s="278"/>
      <c r="D1111" s="278"/>
      <c r="E1111" s="278"/>
      <c r="F1111" s="278"/>
      <c r="G1111" s="278"/>
      <c r="H1111" s="278"/>
      <c r="I1111" s="278"/>
      <c r="J1111" s="278"/>
      <c r="K1111" s="278"/>
      <c r="L1111" s="278"/>
      <c r="M1111" s="278"/>
      <c r="N1111" s="278"/>
    </row>
    <row r="1112" spans="1:14">
      <c r="A1112" s="307"/>
      <c r="B1112" s="278"/>
      <c r="C1112" s="278"/>
      <c r="D1112" s="278"/>
      <c r="E1112" s="278"/>
      <c r="F1112" s="278"/>
      <c r="G1112" s="278"/>
      <c r="H1112" s="278"/>
      <c r="I1112" s="278"/>
      <c r="J1112" s="278"/>
      <c r="K1112" s="278"/>
      <c r="L1112" s="278"/>
      <c r="M1112" s="278"/>
      <c r="N1112" s="278"/>
    </row>
    <row r="1113" spans="1:14">
      <c r="A1113" s="307"/>
      <c r="B1113" s="278"/>
      <c r="C1113" s="278"/>
      <c r="D1113" s="278"/>
      <c r="E1113" s="278"/>
      <c r="F1113" s="278"/>
      <c r="G1113" s="278"/>
      <c r="H1113" s="278"/>
      <c r="I1113" s="278"/>
      <c r="J1113" s="278"/>
      <c r="K1113" s="278"/>
      <c r="L1113" s="278"/>
      <c r="M1113" s="278"/>
      <c r="N1113" s="278"/>
    </row>
    <row r="1114" spans="1:14">
      <c r="A1114" s="307"/>
      <c r="B1114" s="278"/>
      <c r="C1114" s="278"/>
      <c r="D1114" s="278"/>
      <c r="E1114" s="278"/>
      <c r="F1114" s="278"/>
      <c r="G1114" s="278"/>
      <c r="H1114" s="278"/>
      <c r="I1114" s="278"/>
      <c r="J1114" s="278"/>
      <c r="K1114" s="278"/>
      <c r="L1114" s="278"/>
      <c r="M1114" s="278"/>
      <c r="N1114" s="278"/>
    </row>
    <row r="1115" spans="1:14">
      <c r="A1115" s="307"/>
      <c r="B1115" s="278"/>
      <c r="C1115" s="278"/>
      <c r="D1115" s="278"/>
      <c r="E1115" s="278"/>
      <c r="F1115" s="278"/>
      <c r="G1115" s="278"/>
      <c r="H1115" s="278"/>
      <c r="I1115" s="278"/>
      <c r="J1115" s="278"/>
      <c r="K1115" s="278"/>
      <c r="L1115" s="278"/>
      <c r="M1115" s="278"/>
      <c r="N1115" s="278"/>
    </row>
    <row r="1116" spans="1:14">
      <c r="A1116" s="307"/>
      <c r="B1116" s="278"/>
      <c r="C1116" s="278"/>
      <c r="D1116" s="278"/>
      <c r="E1116" s="278"/>
      <c r="F1116" s="278"/>
      <c r="G1116" s="278"/>
      <c r="H1116" s="278"/>
      <c r="I1116" s="278"/>
      <c r="J1116" s="278"/>
      <c r="K1116" s="278"/>
      <c r="L1116" s="278"/>
      <c r="M1116" s="278"/>
      <c r="N1116" s="278"/>
    </row>
    <row r="1117" spans="1:14">
      <c r="A1117" s="307"/>
      <c r="B1117" s="278"/>
      <c r="C1117" s="278"/>
      <c r="D1117" s="278"/>
      <c r="E1117" s="278"/>
      <c r="F1117" s="278"/>
      <c r="G1117" s="278"/>
      <c r="H1117" s="278"/>
      <c r="I1117" s="278"/>
      <c r="J1117" s="278"/>
      <c r="K1117" s="278"/>
      <c r="L1117" s="278"/>
      <c r="M1117" s="278"/>
      <c r="N1117" s="278"/>
    </row>
    <row r="1118" spans="1:14">
      <c r="A1118" s="307"/>
      <c r="B1118" s="278"/>
      <c r="C1118" s="278"/>
      <c r="D1118" s="278"/>
      <c r="E1118" s="278"/>
      <c r="F1118" s="278"/>
      <c r="G1118" s="278"/>
      <c r="H1118" s="278"/>
      <c r="I1118" s="278"/>
      <c r="J1118" s="278"/>
      <c r="K1118" s="278"/>
      <c r="L1118" s="278"/>
      <c r="M1118" s="278"/>
      <c r="N1118" s="278"/>
    </row>
    <row r="1119" spans="1:14">
      <c r="A1119" s="307"/>
      <c r="B1119" s="278"/>
      <c r="C1119" s="278"/>
      <c r="D1119" s="278"/>
      <c r="E1119" s="278"/>
      <c r="F1119" s="278"/>
      <c r="G1119" s="278"/>
      <c r="H1119" s="278"/>
      <c r="I1119" s="278"/>
      <c r="J1119" s="278"/>
      <c r="K1119" s="278"/>
      <c r="L1119" s="278"/>
      <c r="M1119" s="278"/>
      <c r="N1119" s="278"/>
    </row>
    <row r="1120" spans="1:14">
      <c r="A1120" s="307"/>
      <c r="B1120" s="278"/>
      <c r="C1120" s="278"/>
      <c r="D1120" s="278"/>
      <c r="E1120" s="278"/>
      <c r="F1120" s="278"/>
      <c r="G1120" s="278"/>
      <c r="H1120" s="278"/>
      <c r="I1120" s="278"/>
      <c r="J1120" s="278"/>
      <c r="K1120" s="278"/>
      <c r="L1120" s="278"/>
      <c r="M1120" s="278"/>
      <c r="N1120" s="278"/>
    </row>
    <row r="1121" spans="1:14">
      <c r="A1121" s="307"/>
      <c r="B1121" s="278"/>
      <c r="C1121" s="278"/>
      <c r="D1121" s="278"/>
      <c r="E1121" s="278"/>
      <c r="F1121" s="278"/>
      <c r="G1121" s="278"/>
      <c r="H1121" s="278"/>
      <c r="I1121" s="278"/>
      <c r="J1121" s="278"/>
      <c r="K1121" s="278"/>
      <c r="L1121" s="278"/>
      <c r="M1121" s="278"/>
      <c r="N1121" s="278"/>
    </row>
    <row r="1122" spans="1:14">
      <c r="A1122" s="307"/>
      <c r="B1122" s="278"/>
      <c r="C1122" s="278"/>
      <c r="D1122" s="278"/>
      <c r="E1122" s="278"/>
      <c r="F1122" s="278"/>
      <c r="G1122" s="278"/>
      <c r="H1122" s="278"/>
      <c r="I1122" s="278"/>
      <c r="J1122" s="278"/>
      <c r="K1122" s="278"/>
      <c r="L1122" s="278"/>
      <c r="M1122" s="278"/>
      <c r="N1122" s="278"/>
    </row>
    <row r="1123" spans="1:14">
      <c r="A1123" s="307"/>
      <c r="B1123" s="278"/>
      <c r="C1123" s="278"/>
      <c r="D1123" s="278"/>
      <c r="E1123" s="278"/>
      <c r="F1123" s="278"/>
      <c r="G1123" s="278"/>
      <c r="H1123" s="278"/>
      <c r="I1123" s="278"/>
      <c r="J1123" s="278"/>
      <c r="K1123" s="278"/>
      <c r="L1123" s="278"/>
      <c r="M1123" s="278"/>
      <c r="N1123" s="278"/>
    </row>
    <row r="1124" spans="1:14">
      <c r="A1124" s="307"/>
      <c r="B1124" s="278"/>
      <c r="C1124" s="278"/>
      <c r="D1124" s="278"/>
      <c r="E1124" s="278"/>
      <c r="F1124" s="278"/>
      <c r="G1124" s="278"/>
      <c r="H1124" s="278"/>
      <c r="I1124" s="278"/>
      <c r="J1124" s="278"/>
      <c r="K1124" s="278"/>
      <c r="L1124" s="278"/>
      <c r="M1124" s="278"/>
      <c r="N1124" s="278"/>
    </row>
    <row r="1125" spans="1:14">
      <c r="A1125" s="307"/>
      <c r="B1125" s="278"/>
      <c r="C1125" s="278"/>
      <c r="D1125" s="278"/>
      <c r="E1125" s="278"/>
      <c r="F1125" s="278"/>
      <c r="G1125" s="278"/>
      <c r="H1125" s="278"/>
      <c r="I1125" s="278"/>
      <c r="J1125" s="278"/>
      <c r="K1125" s="278"/>
      <c r="L1125" s="278"/>
      <c r="M1125" s="278"/>
      <c r="N1125" s="278"/>
    </row>
    <row r="1126" spans="1:14">
      <c r="A1126" s="307"/>
      <c r="B1126" s="278"/>
      <c r="C1126" s="278"/>
      <c r="D1126" s="278"/>
      <c r="E1126" s="278"/>
      <c r="F1126" s="278"/>
      <c r="G1126" s="278"/>
      <c r="H1126" s="278"/>
      <c r="I1126" s="278"/>
      <c r="J1126" s="278"/>
      <c r="K1126" s="278"/>
      <c r="L1126" s="278"/>
      <c r="M1126" s="278"/>
      <c r="N1126" s="278"/>
    </row>
    <row r="1127" spans="1:14">
      <c r="A1127" s="307"/>
      <c r="B1127" s="278"/>
      <c r="C1127" s="278"/>
      <c r="D1127" s="278"/>
      <c r="E1127" s="278"/>
      <c r="F1127" s="278"/>
      <c r="G1127" s="278"/>
      <c r="H1127" s="278"/>
      <c r="I1127" s="278"/>
      <c r="J1127" s="278"/>
      <c r="K1127" s="278"/>
      <c r="L1127" s="278"/>
      <c r="M1127" s="278"/>
      <c r="N1127" s="278"/>
    </row>
    <row r="1128" spans="1:14">
      <c r="A1128" s="307"/>
      <c r="B1128" s="278"/>
      <c r="C1128" s="278"/>
      <c r="D1128" s="278"/>
      <c r="E1128" s="278"/>
      <c r="F1128" s="278"/>
      <c r="G1128" s="278"/>
      <c r="H1128" s="278"/>
      <c r="I1128" s="278"/>
      <c r="J1128" s="278"/>
      <c r="K1128" s="278"/>
      <c r="L1128" s="278"/>
      <c r="M1128" s="278"/>
      <c r="N1128" s="278"/>
    </row>
    <row r="1129" spans="1:14">
      <c r="A1129" s="307"/>
      <c r="B1129" s="278"/>
      <c r="C1129" s="278"/>
      <c r="D1129" s="278"/>
      <c r="E1129" s="278"/>
      <c r="F1129" s="278"/>
      <c r="G1129" s="278"/>
      <c r="H1129" s="278"/>
      <c r="I1129" s="278"/>
      <c r="J1129" s="278"/>
      <c r="K1129" s="278"/>
      <c r="L1129" s="278"/>
      <c r="M1129" s="278"/>
      <c r="N1129" s="278"/>
    </row>
    <row r="1130" spans="1:14">
      <c r="A1130" s="307"/>
      <c r="B1130" s="278"/>
      <c r="C1130" s="278"/>
      <c r="D1130" s="278"/>
      <c r="E1130" s="278"/>
      <c r="F1130" s="278"/>
      <c r="G1130" s="278"/>
      <c r="H1130" s="278"/>
      <c r="I1130" s="278"/>
      <c r="J1130" s="278"/>
      <c r="K1130" s="278"/>
      <c r="L1130" s="278"/>
      <c r="M1130" s="278"/>
      <c r="N1130" s="278"/>
    </row>
    <row r="1131" spans="1:14">
      <c r="A1131" s="307"/>
      <c r="B1131" s="278"/>
      <c r="C1131" s="278"/>
      <c r="D1131" s="278"/>
      <c r="E1131" s="278"/>
      <c r="F1131" s="278"/>
      <c r="G1131" s="278"/>
      <c r="H1131" s="278"/>
      <c r="I1131" s="278"/>
      <c r="J1131" s="278"/>
      <c r="K1131" s="278"/>
      <c r="L1131" s="278"/>
      <c r="M1131" s="278"/>
      <c r="N1131" s="278"/>
    </row>
    <row r="1132" spans="1:14">
      <c r="A1132" s="307"/>
      <c r="B1132" s="278"/>
      <c r="C1132" s="278"/>
      <c r="D1132" s="278"/>
      <c r="E1132" s="278"/>
      <c r="F1132" s="278"/>
      <c r="G1132" s="278"/>
      <c r="H1132" s="278"/>
      <c r="I1132" s="278"/>
      <c r="J1132" s="278"/>
      <c r="K1132" s="278"/>
      <c r="L1132" s="278"/>
      <c r="M1132" s="278"/>
      <c r="N1132" s="278"/>
    </row>
    <row r="1133" spans="1:14">
      <c r="A1133" s="307"/>
      <c r="B1133" s="278"/>
      <c r="C1133" s="278"/>
      <c r="D1133" s="278"/>
      <c r="E1133" s="278"/>
      <c r="F1133" s="278"/>
      <c r="G1133" s="278"/>
      <c r="H1133" s="278"/>
      <c r="I1133" s="278"/>
      <c r="J1133" s="278"/>
      <c r="K1133" s="278"/>
      <c r="L1133" s="278"/>
      <c r="M1133" s="278"/>
      <c r="N1133" s="278"/>
    </row>
    <row r="1134" spans="1:14">
      <c r="A1134" s="307"/>
      <c r="B1134" s="278"/>
      <c r="C1134" s="278"/>
      <c r="D1134" s="278"/>
      <c r="E1134" s="278"/>
      <c r="F1134" s="278"/>
      <c r="G1134" s="278"/>
      <c r="H1134" s="278"/>
      <c r="I1134" s="278"/>
      <c r="J1134" s="278"/>
      <c r="K1134" s="278"/>
      <c r="L1134" s="278"/>
      <c r="M1134" s="278"/>
      <c r="N1134" s="278"/>
    </row>
    <row r="1135" spans="1:14">
      <c r="A1135" s="307"/>
      <c r="B1135" s="278"/>
      <c r="C1135" s="278"/>
      <c r="D1135" s="278"/>
      <c r="E1135" s="278"/>
      <c r="F1135" s="278"/>
      <c r="G1135" s="278"/>
      <c r="H1135" s="278"/>
      <c r="I1135" s="278"/>
      <c r="J1135" s="278"/>
      <c r="K1135" s="278"/>
      <c r="L1135" s="278"/>
      <c r="M1135" s="278"/>
      <c r="N1135" s="278"/>
    </row>
    <row r="1136" spans="1:14">
      <c r="A1136" s="307"/>
      <c r="B1136" s="278"/>
      <c r="C1136" s="278"/>
      <c r="D1136" s="278"/>
      <c r="E1136" s="278"/>
      <c r="F1136" s="278"/>
      <c r="G1136" s="278"/>
      <c r="H1136" s="278"/>
      <c r="I1136" s="278"/>
      <c r="J1136" s="278"/>
      <c r="K1136" s="278"/>
      <c r="L1136" s="278"/>
      <c r="M1136" s="278"/>
      <c r="N1136" s="278"/>
    </row>
    <row r="1137" spans="1:14">
      <c r="A1137" s="307"/>
      <c r="B1137" s="278"/>
      <c r="C1137" s="278"/>
      <c r="D1137" s="278"/>
      <c r="E1137" s="278"/>
      <c r="F1137" s="278"/>
      <c r="G1137" s="278"/>
      <c r="H1137" s="278"/>
      <c r="I1137" s="278"/>
      <c r="J1137" s="278"/>
      <c r="K1137" s="278"/>
      <c r="L1137" s="278"/>
      <c r="M1137" s="278"/>
      <c r="N1137" s="278"/>
    </row>
    <row r="1138" spans="1:14">
      <c r="A1138" s="307"/>
      <c r="B1138" s="278"/>
      <c r="C1138" s="278"/>
      <c r="D1138" s="278"/>
      <c r="E1138" s="278"/>
      <c r="F1138" s="278"/>
      <c r="G1138" s="278"/>
      <c r="H1138" s="278"/>
      <c r="I1138" s="278"/>
      <c r="J1138" s="278"/>
      <c r="K1138" s="278"/>
      <c r="L1138" s="278"/>
      <c r="M1138" s="278"/>
      <c r="N1138" s="278"/>
    </row>
    <row r="1139" spans="1:14">
      <c r="A1139" s="307"/>
      <c r="B1139" s="278"/>
      <c r="C1139" s="278"/>
      <c r="D1139" s="278"/>
      <c r="E1139" s="278"/>
      <c r="F1139" s="278"/>
      <c r="G1139" s="278"/>
      <c r="H1139" s="278"/>
      <c r="I1139" s="278"/>
      <c r="J1139" s="278"/>
      <c r="K1139" s="278"/>
      <c r="L1139" s="278"/>
      <c r="M1139" s="278"/>
      <c r="N1139" s="278"/>
    </row>
    <row r="1140" spans="1:14">
      <c r="A1140" s="307"/>
      <c r="B1140" s="278"/>
      <c r="C1140" s="278"/>
      <c r="D1140" s="278"/>
      <c r="E1140" s="278"/>
      <c r="F1140" s="278"/>
      <c r="G1140" s="278"/>
      <c r="H1140" s="278"/>
      <c r="I1140" s="278"/>
      <c r="J1140" s="278"/>
      <c r="K1140" s="278"/>
      <c r="L1140" s="278"/>
      <c r="M1140" s="278"/>
      <c r="N1140" s="278"/>
    </row>
    <row r="1141" spans="1:14">
      <c r="A1141" s="307"/>
      <c r="B1141" s="278"/>
      <c r="C1141" s="278"/>
      <c r="D1141" s="278"/>
      <c r="E1141" s="278"/>
      <c r="F1141" s="278"/>
      <c r="G1141" s="278"/>
      <c r="H1141" s="278"/>
      <c r="I1141" s="278"/>
      <c r="J1141" s="278"/>
      <c r="K1141" s="278"/>
      <c r="L1141" s="278"/>
      <c r="M1141" s="278"/>
      <c r="N1141" s="278"/>
    </row>
    <row r="1142" spans="1:14">
      <c r="A1142" s="307"/>
      <c r="B1142" s="278"/>
      <c r="C1142" s="278"/>
      <c r="D1142" s="278"/>
      <c r="E1142" s="278"/>
      <c r="F1142" s="278"/>
      <c r="G1142" s="278"/>
      <c r="H1142" s="278"/>
      <c r="I1142" s="278"/>
      <c r="J1142" s="278"/>
      <c r="K1142" s="278"/>
      <c r="L1142" s="278"/>
      <c r="M1142" s="278"/>
      <c r="N1142" s="278"/>
    </row>
    <row r="1143" spans="1:14">
      <c r="A1143" s="307"/>
      <c r="B1143" s="278"/>
      <c r="C1143" s="278"/>
      <c r="D1143" s="278"/>
      <c r="E1143" s="278"/>
      <c r="F1143" s="278"/>
      <c r="G1143" s="278"/>
      <c r="H1143" s="278"/>
      <c r="I1143" s="278"/>
      <c r="J1143" s="278"/>
      <c r="K1143" s="278"/>
      <c r="L1143" s="278"/>
      <c r="M1143" s="278"/>
      <c r="N1143" s="278"/>
    </row>
    <row r="1144" spans="1:14">
      <c r="A1144" s="307"/>
      <c r="B1144" s="278"/>
      <c r="C1144" s="278"/>
      <c r="D1144" s="278"/>
      <c r="E1144" s="278"/>
      <c r="F1144" s="278"/>
      <c r="G1144" s="278"/>
      <c r="H1144" s="278"/>
      <c r="I1144" s="278"/>
      <c r="J1144" s="278"/>
      <c r="K1144" s="278"/>
      <c r="L1144" s="278"/>
      <c r="M1144" s="278"/>
      <c r="N1144" s="278"/>
    </row>
    <row r="1145" spans="1:14">
      <c r="A1145" s="307"/>
      <c r="B1145" s="278"/>
      <c r="C1145" s="278"/>
      <c r="D1145" s="278"/>
      <c r="E1145" s="278"/>
      <c r="F1145" s="278"/>
      <c r="G1145" s="278"/>
      <c r="H1145" s="278"/>
      <c r="I1145" s="278"/>
      <c r="J1145" s="278"/>
      <c r="K1145" s="278"/>
      <c r="L1145" s="278"/>
      <c r="M1145" s="278"/>
      <c r="N1145" s="278"/>
    </row>
    <row r="1146" spans="1:14">
      <c r="A1146" s="307"/>
      <c r="B1146" s="278"/>
      <c r="C1146" s="278"/>
      <c r="D1146" s="278"/>
      <c r="E1146" s="278"/>
      <c r="F1146" s="278"/>
      <c r="G1146" s="278"/>
      <c r="H1146" s="278"/>
      <c r="I1146" s="278"/>
      <c r="J1146" s="278"/>
      <c r="K1146" s="278"/>
      <c r="L1146" s="278"/>
      <c r="M1146" s="278"/>
      <c r="N1146" s="278"/>
    </row>
    <row r="1147" spans="1:14">
      <c r="A1147" s="307"/>
      <c r="B1147" s="278"/>
      <c r="C1147" s="278"/>
      <c r="D1147" s="278"/>
      <c r="E1147" s="278"/>
      <c r="F1147" s="278"/>
      <c r="G1147" s="278"/>
      <c r="H1147" s="278"/>
      <c r="I1147" s="278"/>
      <c r="J1147" s="278"/>
      <c r="K1147" s="278"/>
      <c r="L1147" s="278"/>
      <c r="M1147" s="278"/>
      <c r="N1147" s="278"/>
    </row>
    <row r="1148" spans="1:14">
      <c r="A1148" s="307"/>
      <c r="B1148" s="278"/>
      <c r="C1148" s="278"/>
      <c r="D1148" s="278"/>
      <c r="E1148" s="278"/>
      <c r="F1148" s="278"/>
      <c r="G1148" s="278"/>
      <c r="H1148" s="278"/>
      <c r="I1148" s="278"/>
      <c r="J1148" s="278"/>
      <c r="K1148" s="278"/>
      <c r="L1148" s="278"/>
      <c r="M1148" s="278"/>
      <c r="N1148" s="278"/>
    </row>
    <row r="1149" spans="1:14">
      <c r="A1149" s="307"/>
      <c r="B1149" s="278"/>
      <c r="C1149" s="278"/>
      <c r="D1149" s="278"/>
      <c r="E1149" s="278"/>
      <c r="F1149" s="278"/>
      <c r="G1149" s="278"/>
      <c r="H1149" s="278"/>
      <c r="I1149" s="278"/>
      <c r="J1149" s="278"/>
      <c r="K1149" s="278"/>
      <c r="L1149" s="278"/>
      <c r="M1149" s="278"/>
      <c r="N1149" s="278"/>
    </row>
    <row r="1150" spans="1:14">
      <c r="A1150" s="307"/>
      <c r="B1150" s="278"/>
      <c r="C1150" s="278"/>
      <c r="D1150" s="278"/>
      <c r="E1150" s="278"/>
      <c r="F1150" s="278"/>
      <c r="G1150" s="278"/>
      <c r="H1150" s="278"/>
      <c r="I1150" s="278"/>
      <c r="J1150" s="278"/>
      <c r="K1150" s="278"/>
      <c r="L1150" s="278"/>
      <c r="M1150" s="278"/>
      <c r="N1150" s="278"/>
    </row>
    <row r="1151" spans="1:14">
      <c r="A1151" s="307"/>
      <c r="B1151" s="278"/>
      <c r="C1151" s="278"/>
      <c r="D1151" s="278"/>
      <c r="E1151" s="278"/>
      <c r="F1151" s="278"/>
      <c r="G1151" s="278"/>
      <c r="H1151" s="278"/>
      <c r="I1151" s="278"/>
      <c r="J1151" s="278"/>
      <c r="K1151" s="278"/>
      <c r="L1151" s="278"/>
      <c r="M1151" s="278"/>
      <c r="N1151" s="278"/>
    </row>
    <row r="1152" spans="1:14">
      <c r="A1152" s="307"/>
      <c r="B1152" s="278"/>
      <c r="C1152" s="278"/>
      <c r="D1152" s="278"/>
      <c r="E1152" s="278"/>
      <c r="F1152" s="278"/>
      <c r="G1152" s="278"/>
      <c r="H1152" s="278"/>
      <c r="I1152" s="278"/>
      <c r="J1152" s="278"/>
      <c r="K1152" s="278"/>
      <c r="L1152" s="278"/>
      <c r="M1152" s="278"/>
      <c r="N1152" s="278"/>
    </row>
    <row r="1153" spans="1:14">
      <c r="A1153" s="307"/>
      <c r="B1153" s="278"/>
      <c r="C1153" s="278"/>
      <c r="D1153" s="278"/>
      <c r="E1153" s="278"/>
      <c r="F1153" s="278"/>
      <c r="G1153" s="278"/>
      <c r="H1153" s="278"/>
      <c r="I1153" s="278"/>
      <c r="J1153" s="278"/>
      <c r="K1153" s="278"/>
      <c r="L1153" s="278"/>
      <c r="M1153" s="278"/>
      <c r="N1153" s="278"/>
    </row>
    <row r="1154" spans="1:14">
      <c r="A1154" s="307"/>
      <c r="B1154" s="278"/>
      <c r="C1154" s="278"/>
      <c r="D1154" s="278"/>
      <c r="E1154" s="278"/>
      <c r="F1154" s="278"/>
      <c r="G1154" s="278"/>
      <c r="H1154" s="278"/>
      <c r="I1154" s="278"/>
      <c r="J1154" s="278"/>
      <c r="K1154" s="278"/>
      <c r="L1154" s="278"/>
      <c r="M1154" s="278"/>
      <c r="N1154" s="278"/>
    </row>
    <row r="1155" spans="1:14">
      <c r="A1155" s="307"/>
      <c r="B1155" s="278"/>
      <c r="C1155" s="278"/>
      <c r="D1155" s="278"/>
      <c r="E1155" s="278"/>
      <c r="F1155" s="278"/>
      <c r="G1155" s="278"/>
      <c r="H1155" s="278"/>
      <c r="I1155" s="278"/>
      <c r="J1155" s="278"/>
      <c r="K1155" s="278"/>
      <c r="L1155" s="278"/>
      <c r="M1155" s="278"/>
      <c r="N1155" s="278"/>
    </row>
    <row r="1156" spans="1:14">
      <c r="A1156" s="307"/>
      <c r="B1156" s="278"/>
      <c r="C1156" s="278"/>
      <c r="D1156" s="278"/>
      <c r="E1156" s="278"/>
      <c r="F1156" s="278"/>
      <c r="G1156" s="278"/>
      <c r="H1156" s="278"/>
      <c r="I1156" s="278"/>
      <c r="J1156" s="278"/>
      <c r="K1156" s="278"/>
      <c r="L1156" s="278"/>
      <c r="M1156" s="278"/>
      <c r="N1156" s="278"/>
    </row>
    <row r="1157" spans="1:14">
      <c r="A1157" s="307"/>
      <c r="B1157" s="278"/>
      <c r="C1157" s="278"/>
      <c r="D1157" s="278"/>
      <c r="E1157" s="278"/>
      <c r="F1157" s="278"/>
      <c r="G1157" s="278"/>
      <c r="H1157" s="278"/>
      <c r="I1157" s="278"/>
      <c r="J1157" s="278"/>
      <c r="K1157" s="278"/>
      <c r="L1157" s="278"/>
      <c r="M1157" s="278"/>
      <c r="N1157" s="278"/>
    </row>
    <row r="1158" spans="1:14">
      <c r="A1158" s="307"/>
      <c r="B1158" s="278"/>
      <c r="C1158" s="278"/>
      <c r="D1158" s="278"/>
      <c r="E1158" s="278"/>
      <c r="F1158" s="278"/>
      <c r="G1158" s="278"/>
      <c r="H1158" s="278"/>
      <c r="I1158" s="278"/>
      <c r="J1158" s="278"/>
      <c r="K1158" s="278"/>
      <c r="L1158" s="278"/>
      <c r="M1158" s="278"/>
      <c r="N1158" s="278"/>
    </row>
    <row r="1159" spans="1:14">
      <c r="A1159" s="307"/>
      <c r="B1159" s="278"/>
      <c r="C1159" s="278"/>
      <c r="D1159" s="278"/>
      <c r="E1159" s="278"/>
      <c r="F1159" s="278"/>
      <c r="G1159" s="278"/>
      <c r="H1159" s="278"/>
      <c r="I1159" s="278"/>
      <c r="J1159" s="278"/>
      <c r="K1159" s="278"/>
      <c r="L1159" s="278"/>
      <c r="M1159" s="278"/>
      <c r="N1159" s="278"/>
    </row>
    <row r="1160" spans="1:14">
      <c r="A1160" s="307"/>
      <c r="B1160" s="278"/>
      <c r="C1160" s="278"/>
      <c r="D1160" s="278"/>
      <c r="E1160" s="278"/>
      <c r="F1160" s="278"/>
      <c r="G1160" s="278"/>
      <c r="H1160" s="278"/>
      <c r="I1160" s="278"/>
      <c r="J1160" s="278"/>
      <c r="K1160" s="278"/>
      <c r="L1160" s="278"/>
      <c r="M1160" s="278"/>
      <c r="N1160" s="278"/>
    </row>
    <row r="1161" spans="1:14">
      <c r="A1161" s="307"/>
      <c r="B1161" s="278"/>
      <c r="C1161" s="278"/>
      <c r="D1161" s="278"/>
      <c r="E1161" s="278"/>
      <c r="F1161" s="278"/>
      <c r="G1161" s="278"/>
      <c r="H1161" s="278"/>
      <c r="I1161" s="278"/>
      <c r="J1161" s="278"/>
      <c r="K1161" s="278"/>
      <c r="L1161" s="278"/>
      <c r="M1161" s="278"/>
      <c r="N1161" s="278"/>
    </row>
    <row r="1162" spans="1:14">
      <c r="A1162" s="307"/>
      <c r="B1162" s="278"/>
      <c r="C1162" s="278"/>
      <c r="D1162" s="278"/>
      <c r="E1162" s="278"/>
      <c r="F1162" s="278"/>
      <c r="G1162" s="278"/>
      <c r="H1162" s="278"/>
      <c r="I1162" s="278"/>
      <c r="J1162" s="278"/>
      <c r="K1162" s="278"/>
      <c r="L1162" s="278"/>
      <c r="M1162" s="278"/>
      <c r="N1162" s="278"/>
    </row>
    <row r="1163" spans="1:14">
      <c r="A1163" s="307"/>
      <c r="B1163" s="278"/>
      <c r="C1163" s="278"/>
      <c r="D1163" s="278"/>
      <c r="E1163" s="278"/>
      <c r="F1163" s="278"/>
      <c r="G1163" s="278"/>
      <c r="H1163" s="278"/>
      <c r="I1163" s="278"/>
      <c r="J1163" s="278"/>
      <c r="K1163" s="278"/>
      <c r="L1163" s="278"/>
      <c r="M1163" s="278"/>
      <c r="N1163" s="278"/>
    </row>
    <row r="1164" spans="1:14">
      <c r="A1164" s="307"/>
      <c r="B1164" s="278"/>
      <c r="C1164" s="278"/>
      <c r="D1164" s="278"/>
      <c r="E1164" s="278"/>
      <c r="F1164" s="278"/>
      <c r="G1164" s="278"/>
      <c r="H1164" s="278"/>
      <c r="I1164" s="278"/>
      <c r="J1164" s="278"/>
      <c r="K1164" s="278"/>
      <c r="L1164" s="278"/>
      <c r="M1164" s="278"/>
      <c r="N1164" s="278"/>
    </row>
    <row r="1165" spans="1:14">
      <c r="A1165" s="307"/>
      <c r="B1165" s="278"/>
      <c r="C1165" s="278"/>
      <c r="D1165" s="278"/>
      <c r="E1165" s="278"/>
      <c r="F1165" s="278"/>
      <c r="G1165" s="278"/>
      <c r="H1165" s="278"/>
      <c r="I1165" s="278"/>
      <c r="J1165" s="278"/>
      <c r="K1165" s="278"/>
      <c r="L1165" s="278"/>
      <c r="M1165" s="278"/>
      <c r="N1165" s="278"/>
    </row>
    <row r="1166" spans="1:14">
      <c r="A1166" s="307"/>
      <c r="B1166" s="278"/>
      <c r="C1166" s="278"/>
      <c r="D1166" s="278"/>
      <c r="E1166" s="278"/>
      <c r="F1166" s="278"/>
      <c r="G1166" s="278"/>
      <c r="H1166" s="278"/>
      <c r="I1166" s="278"/>
      <c r="J1166" s="278"/>
      <c r="K1166" s="278"/>
      <c r="L1166" s="278"/>
      <c r="M1166" s="278"/>
      <c r="N1166" s="278"/>
    </row>
    <row r="1167" spans="1:14">
      <c r="A1167" s="307"/>
      <c r="B1167" s="278"/>
      <c r="C1167" s="278"/>
      <c r="D1167" s="278"/>
      <c r="E1167" s="278"/>
      <c r="F1167" s="278"/>
      <c r="G1167" s="278"/>
      <c r="H1167" s="278"/>
      <c r="I1167" s="278"/>
      <c r="J1167" s="278"/>
      <c r="K1167" s="278"/>
      <c r="L1167" s="278"/>
      <c r="M1167" s="278"/>
      <c r="N1167" s="278"/>
    </row>
    <row r="1168" spans="1:14">
      <c r="A1168" s="307"/>
      <c r="B1168" s="278"/>
      <c r="C1168" s="278"/>
      <c r="D1168" s="278"/>
      <c r="E1168" s="278"/>
      <c r="F1168" s="278"/>
      <c r="G1168" s="278"/>
      <c r="H1168" s="278"/>
      <c r="I1168" s="278"/>
      <c r="J1168" s="278"/>
      <c r="K1168" s="278"/>
      <c r="L1168" s="278"/>
      <c r="M1168" s="278"/>
      <c r="N1168" s="278"/>
    </row>
    <row r="1169" spans="1:14">
      <c r="A1169" s="307"/>
      <c r="B1169" s="278"/>
      <c r="C1169" s="278"/>
      <c r="D1169" s="278"/>
      <c r="E1169" s="278"/>
      <c r="F1169" s="278"/>
      <c r="G1169" s="278"/>
      <c r="H1169" s="278"/>
      <c r="I1169" s="278"/>
      <c r="J1169" s="278"/>
      <c r="K1169" s="278"/>
      <c r="L1169" s="278"/>
      <c r="M1169" s="278"/>
      <c r="N1169" s="278"/>
    </row>
    <row r="1170" spans="1:14">
      <c r="A1170" s="307"/>
      <c r="B1170" s="278"/>
      <c r="C1170" s="278"/>
      <c r="D1170" s="278"/>
      <c r="E1170" s="278"/>
      <c r="F1170" s="278"/>
      <c r="G1170" s="278"/>
      <c r="H1170" s="278"/>
      <c r="I1170" s="278"/>
      <c r="J1170" s="278"/>
      <c r="K1170" s="278"/>
      <c r="L1170" s="278"/>
      <c r="M1170" s="278"/>
      <c r="N1170" s="278"/>
    </row>
    <row r="1171" spans="1:14">
      <c r="A1171" s="307"/>
      <c r="B1171" s="278"/>
      <c r="C1171" s="278"/>
      <c r="D1171" s="278"/>
      <c r="E1171" s="278"/>
      <c r="F1171" s="278"/>
      <c r="G1171" s="278"/>
      <c r="H1171" s="278"/>
      <c r="I1171" s="278"/>
      <c r="J1171" s="278"/>
      <c r="K1171" s="278"/>
      <c r="L1171" s="278"/>
      <c r="M1171" s="278"/>
      <c r="N1171" s="278"/>
    </row>
    <row r="1172" spans="1:14">
      <c r="A1172" s="307"/>
      <c r="B1172" s="278"/>
      <c r="C1172" s="278"/>
      <c r="D1172" s="278"/>
      <c r="E1172" s="278"/>
      <c r="F1172" s="278"/>
      <c r="G1172" s="278"/>
      <c r="H1172" s="278"/>
      <c r="I1172" s="278"/>
      <c r="J1172" s="278"/>
      <c r="K1172" s="278"/>
      <c r="L1172" s="278"/>
      <c r="M1172" s="278"/>
      <c r="N1172" s="278"/>
    </row>
    <row r="1173" spans="1:14">
      <c r="A1173" s="307"/>
      <c r="B1173" s="278"/>
      <c r="C1173" s="278"/>
      <c r="D1173" s="278"/>
      <c r="E1173" s="278"/>
      <c r="F1173" s="278"/>
      <c r="G1173" s="278"/>
      <c r="H1173" s="278"/>
      <c r="I1173" s="278"/>
      <c r="J1173" s="278"/>
      <c r="K1173" s="278"/>
      <c r="L1173" s="278"/>
      <c r="M1173" s="278"/>
      <c r="N1173" s="278"/>
    </row>
    <row r="1174" spans="1:14">
      <c r="A1174" s="307"/>
      <c r="B1174" s="278"/>
      <c r="C1174" s="278"/>
      <c r="D1174" s="278"/>
      <c r="E1174" s="278"/>
      <c r="F1174" s="278"/>
      <c r="G1174" s="278"/>
      <c r="H1174" s="278"/>
      <c r="I1174" s="278"/>
      <c r="J1174" s="278"/>
      <c r="K1174" s="278"/>
      <c r="L1174" s="278"/>
      <c r="M1174" s="278"/>
      <c r="N1174" s="278"/>
    </row>
    <row r="1175" spans="1:14">
      <c r="A1175" s="307"/>
      <c r="B1175" s="278"/>
      <c r="C1175" s="278"/>
      <c r="D1175" s="278"/>
      <c r="E1175" s="278"/>
      <c r="F1175" s="278"/>
      <c r="G1175" s="278"/>
      <c r="H1175" s="278"/>
      <c r="I1175" s="278"/>
      <c r="J1175" s="278"/>
      <c r="K1175" s="278"/>
      <c r="L1175" s="278"/>
      <c r="M1175" s="278"/>
      <c r="N1175" s="278"/>
    </row>
    <row r="1176" spans="1:14">
      <c r="A1176" s="307"/>
      <c r="B1176" s="278"/>
      <c r="C1176" s="278"/>
      <c r="D1176" s="278"/>
      <c r="E1176" s="278"/>
      <c r="F1176" s="278"/>
      <c r="G1176" s="278"/>
      <c r="H1176" s="278"/>
      <c r="I1176" s="278"/>
      <c r="J1176" s="278"/>
      <c r="K1176" s="278"/>
      <c r="L1176" s="278"/>
      <c r="M1176" s="278"/>
      <c r="N1176" s="278"/>
    </row>
    <row r="1177" spans="1:14">
      <c r="A1177" s="307"/>
      <c r="B1177" s="278"/>
      <c r="C1177" s="278"/>
      <c r="D1177" s="278"/>
      <c r="E1177" s="278"/>
      <c r="F1177" s="278"/>
      <c r="G1177" s="278"/>
      <c r="H1177" s="278"/>
      <c r="I1177" s="278"/>
      <c r="J1177" s="278"/>
      <c r="K1177" s="278"/>
      <c r="L1177" s="278"/>
      <c r="M1177" s="278"/>
      <c r="N1177" s="278"/>
    </row>
    <row r="1178" spans="1:14">
      <c r="A1178" s="307"/>
      <c r="B1178" s="278"/>
      <c r="C1178" s="278"/>
      <c r="D1178" s="278"/>
      <c r="E1178" s="278"/>
      <c r="F1178" s="278"/>
      <c r="G1178" s="278"/>
      <c r="H1178" s="278"/>
      <c r="I1178" s="278"/>
      <c r="J1178" s="278"/>
      <c r="K1178" s="278"/>
      <c r="L1178" s="278"/>
      <c r="M1178" s="278"/>
      <c r="N1178" s="278"/>
    </row>
    <row r="1179" spans="1:14">
      <c r="A1179" s="307"/>
      <c r="B1179" s="278"/>
      <c r="C1179" s="278"/>
      <c r="D1179" s="278"/>
      <c r="E1179" s="278"/>
      <c r="F1179" s="278"/>
      <c r="G1179" s="278"/>
      <c r="H1179" s="278"/>
      <c r="I1179" s="278"/>
      <c r="J1179" s="278"/>
      <c r="K1179" s="278"/>
      <c r="L1179" s="278"/>
      <c r="M1179" s="278"/>
      <c r="N1179" s="278"/>
    </row>
    <row r="1180" spans="1:14">
      <c r="A1180" s="307"/>
      <c r="B1180" s="278"/>
      <c r="C1180" s="278"/>
      <c r="D1180" s="278"/>
      <c r="E1180" s="278"/>
      <c r="F1180" s="278"/>
      <c r="G1180" s="278"/>
      <c r="H1180" s="278"/>
      <c r="I1180" s="278"/>
      <c r="J1180" s="278"/>
      <c r="K1180" s="278"/>
      <c r="L1180" s="278"/>
      <c r="M1180" s="278"/>
      <c r="N1180" s="278"/>
    </row>
    <row r="1181" spans="1:14">
      <c r="A1181" s="307"/>
      <c r="B1181" s="278"/>
      <c r="C1181" s="278"/>
      <c r="D1181" s="278"/>
      <c r="E1181" s="278"/>
      <c r="F1181" s="278"/>
      <c r="G1181" s="278"/>
      <c r="H1181" s="278"/>
      <c r="I1181" s="278"/>
      <c r="J1181" s="278"/>
      <c r="K1181" s="278"/>
      <c r="L1181" s="278"/>
      <c r="M1181" s="278"/>
      <c r="N1181" s="278"/>
    </row>
    <row r="1182" spans="1:14">
      <c r="A1182" s="307"/>
      <c r="B1182" s="278"/>
      <c r="C1182" s="278"/>
      <c r="D1182" s="278"/>
      <c r="E1182" s="278"/>
      <c r="F1182" s="278"/>
      <c r="G1182" s="278"/>
      <c r="H1182" s="278"/>
      <c r="I1182" s="278"/>
      <c r="J1182" s="278"/>
      <c r="K1182" s="278"/>
      <c r="L1182" s="278"/>
      <c r="M1182" s="278"/>
      <c r="N1182" s="278"/>
    </row>
    <row r="1183" spans="1:14">
      <c r="A1183" s="307"/>
      <c r="B1183" s="278"/>
      <c r="C1183" s="278"/>
      <c r="D1183" s="278"/>
      <c r="E1183" s="278"/>
      <c r="F1183" s="278"/>
      <c r="G1183" s="278"/>
      <c r="H1183" s="278"/>
      <c r="I1183" s="278"/>
      <c r="J1183" s="278"/>
      <c r="K1183" s="278"/>
      <c r="L1183" s="278"/>
      <c r="M1183" s="278"/>
      <c r="N1183" s="278"/>
    </row>
    <row r="1184" spans="1:14">
      <c r="A1184" s="307"/>
      <c r="B1184" s="278"/>
      <c r="C1184" s="278"/>
      <c r="D1184" s="278"/>
      <c r="E1184" s="278"/>
      <c r="F1184" s="278"/>
      <c r="G1184" s="278"/>
      <c r="H1184" s="278"/>
      <c r="I1184" s="278"/>
      <c r="J1184" s="278"/>
      <c r="K1184" s="278"/>
      <c r="L1184" s="278"/>
      <c r="M1184" s="278"/>
      <c r="N1184" s="278"/>
    </row>
    <row r="1185" spans="1:14">
      <c r="A1185" s="307"/>
      <c r="B1185" s="278"/>
      <c r="C1185" s="278"/>
      <c r="D1185" s="278"/>
      <c r="E1185" s="278"/>
      <c r="F1185" s="278"/>
      <c r="G1185" s="278"/>
      <c r="H1185" s="278"/>
      <c r="I1185" s="278"/>
      <c r="J1185" s="278"/>
      <c r="K1185" s="278"/>
      <c r="L1185" s="278"/>
      <c r="M1185" s="278"/>
      <c r="N1185" s="278"/>
    </row>
    <row r="1186" spans="1:14">
      <c r="A1186" s="307"/>
      <c r="B1186" s="278"/>
      <c r="C1186" s="278"/>
      <c r="D1186" s="278"/>
      <c r="E1186" s="278"/>
      <c r="F1186" s="278"/>
      <c r="G1186" s="278"/>
      <c r="H1186" s="278"/>
      <c r="I1186" s="278"/>
      <c r="J1186" s="278"/>
      <c r="K1186" s="278"/>
      <c r="L1186" s="278"/>
      <c r="M1186" s="278"/>
      <c r="N1186" s="278"/>
    </row>
    <row r="1187" spans="1:14">
      <c r="A1187" s="307"/>
      <c r="B1187" s="278"/>
      <c r="C1187" s="278"/>
      <c r="D1187" s="278"/>
      <c r="E1187" s="278"/>
      <c r="F1187" s="278"/>
      <c r="G1187" s="278"/>
      <c r="H1187" s="278"/>
      <c r="I1187" s="278"/>
      <c r="J1187" s="278"/>
      <c r="K1187" s="278"/>
      <c r="L1187" s="278"/>
      <c r="M1187" s="278"/>
      <c r="N1187" s="278"/>
    </row>
    <row r="1188" spans="1:14">
      <c r="A1188" s="307"/>
      <c r="B1188" s="278"/>
      <c r="C1188" s="278"/>
      <c r="D1188" s="278"/>
      <c r="E1188" s="278"/>
      <c r="F1188" s="278"/>
      <c r="G1188" s="278"/>
      <c r="H1188" s="278"/>
      <c r="I1188" s="278"/>
      <c r="J1188" s="278"/>
      <c r="K1188" s="278"/>
      <c r="L1188" s="278"/>
      <c r="M1188" s="278"/>
      <c r="N1188" s="278"/>
    </row>
    <row r="1189" spans="1:14">
      <c r="A1189" s="307"/>
      <c r="B1189" s="278"/>
      <c r="C1189" s="278"/>
      <c r="D1189" s="278"/>
      <c r="E1189" s="278"/>
      <c r="F1189" s="278"/>
      <c r="G1189" s="278"/>
      <c r="H1189" s="278"/>
      <c r="I1189" s="278"/>
      <c r="J1189" s="278"/>
      <c r="K1189" s="278"/>
      <c r="L1189" s="278"/>
      <c r="M1189" s="278"/>
      <c r="N1189" s="278"/>
    </row>
    <row r="1190" spans="1:14">
      <c r="A1190" s="307"/>
      <c r="B1190" s="278"/>
      <c r="C1190" s="278"/>
      <c r="D1190" s="278"/>
      <c r="E1190" s="278"/>
      <c r="F1190" s="278"/>
      <c r="G1190" s="278"/>
      <c r="H1190" s="278"/>
      <c r="I1190" s="278"/>
      <c r="J1190" s="278"/>
      <c r="K1190" s="278"/>
      <c r="L1190" s="278"/>
      <c r="M1190" s="278"/>
      <c r="N1190" s="278"/>
    </row>
    <row r="1191" spans="1:14">
      <c r="A1191" s="307"/>
      <c r="B1191" s="278"/>
      <c r="C1191" s="278"/>
      <c r="D1191" s="278"/>
      <c r="E1191" s="278"/>
      <c r="F1191" s="278"/>
      <c r="G1191" s="278"/>
      <c r="H1191" s="278"/>
      <c r="I1191" s="278"/>
      <c r="J1191" s="278"/>
      <c r="K1191" s="278"/>
      <c r="L1191" s="278"/>
      <c r="M1191" s="278"/>
      <c r="N1191" s="278"/>
    </row>
    <row r="1192" spans="1:14">
      <c r="A1192" s="307"/>
      <c r="B1192" s="278"/>
      <c r="C1192" s="278"/>
      <c r="D1192" s="278"/>
      <c r="E1192" s="278"/>
      <c r="F1192" s="278"/>
      <c r="G1192" s="278"/>
      <c r="H1192" s="278"/>
      <c r="I1192" s="278"/>
      <c r="J1192" s="278"/>
      <c r="K1192" s="278"/>
      <c r="L1192" s="278"/>
      <c r="M1192" s="278"/>
      <c r="N1192" s="278"/>
    </row>
    <row r="1193" spans="1:14">
      <c r="A1193" s="307"/>
      <c r="B1193" s="278"/>
      <c r="C1193" s="278"/>
      <c r="D1193" s="278"/>
      <c r="E1193" s="278"/>
      <c r="F1193" s="278"/>
      <c r="G1193" s="278"/>
      <c r="H1193" s="278"/>
      <c r="I1193" s="278"/>
      <c r="J1193" s="278"/>
      <c r="K1193" s="278"/>
      <c r="L1193" s="278"/>
      <c r="M1193" s="278"/>
      <c r="N1193" s="278"/>
    </row>
    <row r="1194" spans="1:14">
      <c r="A1194" s="307"/>
      <c r="B1194" s="278"/>
      <c r="C1194" s="278"/>
      <c r="D1194" s="278"/>
      <c r="E1194" s="278"/>
      <c r="F1194" s="278"/>
      <c r="G1194" s="278"/>
      <c r="H1194" s="278"/>
      <c r="I1194" s="278"/>
      <c r="J1194" s="278"/>
      <c r="K1194" s="278"/>
      <c r="L1194" s="278"/>
      <c r="M1194" s="278"/>
      <c r="N1194" s="278"/>
    </row>
    <row r="1195" spans="1:14">
      <c r="A1195" s="307"/>
      <c r="B1195" s="278"/>
      <c r="C1195" s="278"/>
      <c r="D1195" s="278"/>
      <c r="E1195" s="278"/>
      <c r="F1195" s="278"/>
      <c r="G1195" s="278"/>
      <c r="H1195" s="278"/>
      <c r="I1195" s="278"/>
      <c r="J1195" s="278"/>
      <c r="K1195" s="278"/>
      <c r="L1195" s="278"/>
      <c r="M1195" s="278"/>
      <c r="N1195" s="278"/>
    </row>
    <row r="1196" spans="1:14">
      <c r="A1196" s="307"/>
      <c r="B1196" s="278"/>
      <c r="C1196" s="278"/>
      <c r="D1196" s="278"/>
      <c r="E1196" s="278"/>
      <c r="F1196" s="278"/>
      <c r="G1196" s="278"/>
      <c r="H1196" s="278"/>
      <c r="I1196" s="278"/>
      <c r="J1196" s="278"/>
      <c r="K1196" s="278"/>
      <c r="L1196" s="278"/>
      <c r="M1196" s="278"/>
      <c r="N1196" s="278"/>
    </row>
    <row r="1197" spans="1:14">
      <c r="A1197" s="307"/>
      <c r="B1197" s="278"/>
      <c r="C1197" s="278"/>
      <c r="D1197" s="278"/>
      <c r="E1197" s="278"/>
      <c r="F1197" s="278"/>
      <c r="G1197" s="278"/>
      <c r="H1197" s="278"/>
      <c r="I1197" s="278"/>
      <c r="J1197" s="278"/>
      <c r="K1197" s="278"/>
      <c r="L1197" s="278"/>
      <c r="M1197" s="278"/>
      <c r="N1197" s="278"/>
    </row>
    <row r="1198" spans="1:14">
      <c r="A1198" s="307"/>
      <c r="B1198" s="278"/>
      <c r="C1198" s="278"/>
      <c r="D1198" s="278"/>
      <c r="E1198" s="278"/>
      <c r="F1198" s="278"/>
      <c r="G1198" s="278"/>
      <c r="H1198" s="278"/>
      <c r="I1198" s="278"/>
      <c r="J1198" s="278"/>
      <c r="K1198" s="278"/>
      <c r="L1198" s="278"/>
      <c r="M1198" s="278"/>
      <c r="N1198" s="278"/>
    </row>
    <row r="1199" spans="1:14">
      <c r="A1199" s="307"/>
      <c r="B1199" s="278"/>
      <c r="C1199" s="278"/>
      <c r="D1199" s="278"/>
      <c r="E1199" s="278"/>
      <c r="F1199" s="278"/>
      <c r="G1199" s="278"/>
      <c r="H1199" s="278"/>
      <c r="I1199" s="278"/>
      <c r="J1199" s="278"/>
      <c r="K1199" s="278"/>
      <c r="L1199" s="278"/>
      <c r="M1199" s="278"/>
      <c r="N1199" s="278"/>
    </row>
    <row r="1200" spans="1:14">
      <c r="A1200" s="307"/>
      <c r="B1200" s="278"/>
      <c r="C1200" s="278"/>
      <c r="D1200" s="278"/>
      <c r="E1200" s="278"/>
      <c r="F1200" s="278"/>
      <c r="G1200" s="278"/>
      <c r="H1200" s="278"/>
      <c r="I1200" s="278"/>
      <c r="J1200" s="278"/>
      <c r="K1200" s="278"/>
      <c r="L1200" s="278"/>
      <c r="M1200" s="278"/>
      <c r="N1200" s="278"/>
    </row>
    <row r="1201" spans="1:14">
      <c r="A1201" s="307"/>
      <c r="B1201" s="278"/>
      <c r="C1201" s="278"/>
      <c r="D1201" s="278"/>
      <c r="E1201" s="278"/>
      <c r="F1201" s="278"/>
      <c r="G1201" s="278"/>
      <c r="H1201" s="278"/>
      <c r="I1201" s="278"/>
      <c r="J1201" s="278"/>
      <c r="K1201" s="278"/>
      <c r="L1201" s="278"/>
      <c r="M1201" s="278"/>
      <c r="N1201" s="278"/>
    </row>
    <row r="1202" spans="1:14">
      <c r="A1202" s="307"/>
      <c r="B1202" s="278"/>
      <c r="C1202" s="278"/>
      <c r="D1202" s="278"/>
      <c r="E1202" s="278"/>
      <c r="F1202" s="278"/>
      <c r="G1202" s="278"/>
      <c r="H1202" s="278"/>
      <c r="I1202" s="278"/>
      <c r="J1202" s="278"/>
      <c r="K1202" s="278"/>
      <c r="L1202" s="278"/>
      <c r="M1202" s="278"/>
      <c r="N1202" s="278"/>
    </row>
    <row r="1203" spans="1:14">
      <c r="A1203" s="307"/>
      <c r="B1203" s="278"/>
      <c r="C1203" s="278"/>
      <c r="D1203" s="278"/>
      <c r="E1203" s="278"/>
      <c r="F1203" s="278"/>
      <c r="G1203" s="278"/>
      <c r="H1203" s="278"/>
      <c r="I1203" s="278"/>
      <c r="J1203" s="278"/>
      <c r="K1203" s="278"/>
      <c r="L1203" s="278"/>
      <c r="M1203" s="278"/>
      <c r="N1203" s="278"/>
    </row>
    <row r="1204" spans="1:14">
      <c r="A1204" s="307"/>
      <c r="B1204" s="278"/>
      <c r="C1204" s="278"/>
      <c r="D1204" s="278"/>
      <c r="E1204" s="278"/>
      <c r="F1204" s="278"/>
      <c r="G1204" s="278"/>
      <c r="H1204" s="278"/>
      <c r="I1204" s="278"/>
      <c r="J1204" s="278"/>
      <c r="K1204" s="278"/>
      <c r="L1204" s="278"/>
      <c r="M1204" s="278"/>
      <c r="N1204" s="278"/>
    </row>
    <row r="1205" spans="1:14">
      <c r="A1205" s="307"/>
      <c r="B1205" s="278"/>
      <c r="C1205" s="278"/>
      <c r="D1205" s="278"/>
      <c r="E1205" s="278"/>
      <c r="F1205" s="278"/>
      <c r="G1205" s="278"/>
      <c r="H1205" s="278"/>
      <c r="I1205" s="278"/>
      <c r="J1205" s="278"/>
      <c r="K1205" s="278"/>
      <c r="L1205" s="278"/>
      <c r="M1205" s="278"/>
      <c r="N1205" s="278"/>
    </row>
    <row r="1206" spans="1:14">
      <c r="A1206" s="307"/>
      <c r="B1206" s="278"/>
      <c r="C1206" s="278"/>
      <c r="D1206" s="278"/>
      <c r="E1206" s="278"/>
      <c r="F1206" s="278"/>
      <c r="G1206" s="278"/>
      <c r="H1206" s="278"/>
      <c r="I1206" s="278"/>
      <c r="J1206" s="278"/>
      <c r="K1206" s="278"/>
      <c r="L1206" s="278"/>
      <c r="M1206" s="278"/>
      <c r="N1206" s="278"/>
    </row>
    <row r="1207" spans="1:14">
      <c r="A1207" s="307"/>
      <c r="B1207" s="278"/>
      <c r="C1207" s="278"/>
      <c r="D1207" s="278"/>
      <c r="E1207" s="278"/>
      <c r="F1207" s="278"/>
      <c r="G1207" s="278"/>
      <c r="H1207" s="278"/>
      <c r="I1207" s="278"/>
      <c r="J1207" s="278"/>
      <c r="K1207" s="278"/>
      <c r="L1207" s="278"/>
      <c r="M1207" s="278"/>
      <c r="N1207" s="278"/>
    </row>
    <row r="1208" spans="1:14">
      <c r="A1208" s="307"/>
      <c r="B1208" s="278"/>
      <c r="C1208" s="278"/>
      <c r="D1208" s="278"/>
      <c r="E1208" s="278"/>
      <c r="F1208" s="278"/>
      <c r="G1208" s="278"/>
      <c r="H1208" s="278"/>
      <c r="I1208" s="278"/>
      <c r="J1208" s="278"/>
      <c r="K1208" s="278"/>
      <c r="L1208" s="278"/>
      <c r="M1208" s="278"/>
      <c r="N1208" s="278"/>
    </row>
    <row r="1209" spans="1:14">
      <c r="A1209" s="307"/>
      <c r="B1209" s="278"/>
      <c r="C1209" s="278"/>
      <c r="D1209" s="278"/>
      <c r="E1209" s="278"/>
      <c r="F1209" s="278"/>
      <c r="G1209" s="278"/>
      <c r="H1209" s="278"/>
      <c r="I1209" s="278"/>
      <c r="J1209" s="278"/>
      <c r="K1209" s="278"/>
      <c r="L1209" s="278"/>
      <c r="M1209" s="278"/>
      <c r="N1209" s="278"/>
    </row>
    <row r="1210" spans="1:14">
      <c r="A1210" s="307"/>
      <c r="B1210" s="278"/>
      <c r="C1210" s="278"/>
      <c r="D1210" s="278"/>
      <c r="E1210" s="278"/>
      <c r="F1210" s="278"/>
      <c r="G1210" s="278"/>
      <c r="H1210" s="278"/>
      <c r="I1210" s="278"/>
      <c r="J1210" s="278"/>
      <c r="K1210" s="278"/>
      <c r="L1210" s="278"/>
      <c r="M1210" s="278"/>
      <c r="N1210" s="278"/>
    </row>
    <row r="1211" spans="1:14">
      <c r="A1211" s="307"/>
      <c r="B1211" s="278"/>
      <c r="C1211" s="278"/>
      <c r="D1211" s="278"/>
      <c r="E1211" s="278"/>
      <c r="F1211" s="278"/>
      <c r="G1211" s="278"/>
      <c r="H1211" s="278"/>
      <c r="I1211" s="278"/>
      <c r="J1211" s="278"/>
      <c r="K1211" s="278"/>
      <c r="L1211" s="278"/>
      <c r="M1211" s="278"/>
      <c r="N1211" s="278"/>
    </row>
    <row r="1212" spans="1:14">
      <c r="A1212" s="307"/>
      <c r="B1212" s="278"/>
      <c r="C1212" s="278"/>
      <c r="D1212" s="278"/>
      <c r="E1212" s="278"/>
      <c r="F1212" s="278"/>
      <c r="G1212" s="278"/>
      <c r="H1212" s="278"/>
      <c r="I1212" s="278"/>
      <c r="J1212" s="278"/>
      <c r="K1212" s="278"/>
      <c r="L1212" s="278"/>
      <c r="M1212" s="278"/>
      <c r="N1212" s="278"/>
    </row>
    <row r="1213" spans="1:14">
      <c r="A1213" s="307"/>
      <c r="B1213" s="278"/>
      <c r="C1213" s="278"/>
      <c r="D1213" s="278"/>
      <c r="E1213" s="278"/>
      <c r="F1213" s="278"/>
      <c r="G1213" s="278"/>
      <c r="H1213" s="278"/>
      <c r="I1213" s="278"/>
      <c r="J1213" s="278"/>
      <c r="K1213" s="278"/>
      <c r="L1213" s="278"/>
      <c r="M1213" s="278"/>
      <c r="N1213" s="278"/>
    </row>
    <row r="1214" spans="1:14">
      <c r="A1214" s="307"/>
      <c r="B1214" s="278"/>
      <c r="C1214" s="278"/>
      <c r="D1214" s="278"/>
      <c r="E1214" s="278"/>
      <c r="F1214" s="278"/>
      <c r="G1214" s="278"/>
      <c r="H1214" s="278"/>
      <c r="I1214" s="278"/>
      <c r="J1214" s="278"/>
      <c r="K1214" s="278"/>
      <c r="L1214" s="278"/>
      <c r="M1214" s="278"/>
      <c r="N1214" s="278"/>
    </row>
    <row r="1215" spans="1:14">
      <c r="A1215" s="307"/>
      <c r="B1215" s="278"/>
      <c r="C1215" s="278"/>
      <c r="D1215" s="278"/>
      <c r="E1215" s="278"/>
      <c r="F1215" s="278"/>
      <c r="G1215" s="278"/>
      <c r="H1215" s="278"/>
      <c r="I1215" s="278"/>
      <c r="J1215" s="278"/>
      <c r="K1215" s="278"/>
      <c r="L1215" s="278"/>
      <c r="M1215" s="278"/>
      <c r="N1215" s="278"/>
    </row>
    <row r="1216" spans="1:14">
      <c r="A1216" s="307"/>
      <c r="B1216" s="278"/>
      <c r="C1216" s="278"/>
      <c r="D1216" s="278"/>
      <c r="E1216" s="278"/>
      <c r="F1216" s="278"/>
      <c r="G1216" s="278"/>
      <c r="H1216" s="278"/>
      <c r="I1216" s="278"/>
      <c r="J1216" s="278"/>
      <c r="K1216" s="278"/>
      <c r="L1216" s="278"/>
      <c r="M1216" s="278"/>
      <c r="N1216" s="278"/>
    </row>
    <row r="1217" spans="1:14">
      <c r="A1217" s="307"/>
      <c r="B1217" s="278"/>
      <c r="C1217" s="278"/>
      <c r="D1217" s="278"/>
      <c r="E1217" s="278"/>
      <c r="F1217" s="278"/>
      <c r="G1217" s="278"/>
      <c r="H1217" s="278"/>
      <c r="I1217" s="278"/>
      <c r="J1217" s="278"/>
      <c r="K1217" s="278"/>
      <c r="L1217" s="278"/>
      <c r="M1217" s="278"/>
      <c r="N1217" s="278"/>
    </row>
    <row r="1218" spans="1:14">
      <c r="A1218" s="307"/>
      <c r="B1218" s="278"/>
      <c r="C1218" s="278"/>
      <c r="D1218" s="278"/>
      <c r="E1218" s="278"/>
      <c r="F1218" s="278"/>
      <c r="G1218" s="278"/>
      <c r="H1218" s="278"/>
      <c r="I1218" s="278"/>
      <c r="J1218" s="278"/>
      <c r="K1218" s="278"/>
      <c r="L1218" s="278"/>
      <c r="M1218" s="278"/>
      <c r="N1218" s="278"/>
    </row>
    <row r="1219" spans="1:14">
      <c r="A1219" s="307"/>
      <c r="B1219" s="278"/>
      <c r="C1219" s="278"/>
      <c r="D1219" s="278"/>
      <c r="E1219" s="278"/>
      <c r="F1219" s="278"/>
      <c r="G1219" s="278"/>
      <c r="H1219" s="278"/>
      <c r="I1219" s="278"/>
      <c r="J1219" s="278"/>
      <c r="K1219" s="278"/>
      <c r="L1219" s="278"/>
      <c r="M1219" s="278"/>
      <c r="N1219" s="278"/>
    </row>
    <row r="1220" spans="1:14">
      <c r="A1220" s="307"/>
      <c r="B1220" s="278"/>
      <c r="C1220" s="278"/>
      <c r="D1220" s="278"/>
      <c r="E1220" s="278"/>
      <c r="F1220" s="278"/>
      <c r="G1220" s="278"/>
      <c r="H1220" s="278"/>
      <c r="I1220" s="278"/>
      <c r="J1220" s="278"/>
      <c r="K1220" s="278"/>
      <c r="L1220" s="278"/>
      <c r="M1220" s="278"/>
      <c r="N1220" s="278"/>
    </row>
    <row r="1221" spans="1:14">
      <c r="A1221" s="307"/>
      <c r="B1221" s="278"/>
      <c r="C1221" s="278"/>
      <c r="D1221" s="278"/>
      <c r="E1221" s="278"/>
      <c r="F1221" s="278"/>
      <c r="G1221" s="278"/>
      <c r="H1221" s="278"/>
      <c r="I1221" s="278"/>
      <c r="J1221" s="278"/>
      <c r="K1221" s="278"/>
      <c r="L1221" s="278"/>
      <c r="M1221" s="278"/>
      <c r="N1221" s="278"/>
    </row>
    <row r="1222" spans="1:14">
      <c r="A1222" s="307"/>
      <c r="B1222" s="278"/>
      <c r="C1222" s="278"/>
      <c r="D1222" s="278"/>
      <c r="E1222" s="278"/>
      <c r="F1222" s="278"/>
      <c r="G1222" s="278"/>
      <c r="H1222" s="278"/>
      <c r="I1222" s="278"/>
      <c r="J1222" s="278"/>
      <c r="K1222" s="278"/>
      <c r="L1222" s="278"/>
      <c r="M1222" s="278"/>
      <c r="N1222" s="278"/>
    </row>
    <row r="1223" spans="1:14">
      <c r="A1223" s="307"/>
      <c r="B1223" s="278"/>
      <c r="C1223" s="278"/>
      <c r="D1223" s="278"/>
      <c r="E1223" s="278"/>
      <c r="F1223" s="278"/>
      <c r="G1223" s="278"/>
      <c r="H1223" s="278"/>
      <c r="I1223" s="278"/>
      <c r="J1223" s="278"/>
      <c r="K1223" s="278"/>
      <c r="L1223" s="278"/>
      <c r="M1223" s="278"/>
      <c r="N1223" s="278"/>
    </row>
    <row r="1224" spans="1:14">
      <c r="A1224" s="307"/>
      <c r="B1224" s="278"/>
      <c r="C1224" s="278"/>
      <c r="D1224" s="278"/>
      <c r="E1224" s="278"/>
      <c r="F1224" s="278"/>
      <c r="G1224" s="278"/>
      <c r="H1224" s="278"/>
      <c r="I1224" s="278"/>
      <c r="J1224" s="278"/>
      <c r="K1224" s="278"/>
      <c r="L1224" s="278"/>
      <c r="M1224" s="278"/>
      <c r="N1224" s="278"/>
    </row>
    <row r="1225" spans="1:14">
      <c r="A1225" s="307"/>
      <c r="B1225" s="278"/>
      <c r="C1225" s="278"/>
      <c r="D1225" s="278"/>
      <c r="E1225" s="278"/>
      <c r="F1225" s="278"/>
      <c r="G1225" s="278"/>
      <c r="H1225" s="278"/>
      <c r="I1225" s="278"/>
      <c r="J1225" s="278"/>
      <c r="K1225" s="278"/>
      <c r="L1225" s="278"/>
      <c r="M1225" s="278"/>
      <c r="N1225" s="278"/>
    </row>
    <row r="1226" spans="1:14">
      <c r="A1226" s="307"/>
      <c r="B1226" s="278"/>
      <c r="C1226" s="278"/>
      <c r="D1226" s="278"/>
      <c r="E1226" s="278"/>
      <c r="F1226" s="278"/>
      <c r="G1226" s="278"/>
      <c r="H1226" s="278"/>
      <c r="I1226" s="278"/>
      <c r="J1226" s="278"/>
      <c r="K1226" s="278"/>
      <c r="L1226" s="278"/>
      <c r="M1226" s="278"/>
      <c r="N1226" s="278"/>
    </row>
    <row r="1227" spans="1:14">
      <c r="A1227" s="307"/>
      <c r="B1227" s="278"/>
      <c r="C1227" s="278"/>
      <c r="D1227" s="278"/>
      <c r="E1227" s="278"/>
      <c r="F1227" s="278"/>
      <c r="G1227" s="278"/>
      <c r="H1227" s="278"/>
      <c r="I1227" s="278"/>
      <c r="J1227" s="278"/>
      <c r="K1227" s="278"/>
      <c r="L1227" s="278"/>
      <c r="M1227" s="278"/>
      <c r="N1227" s="278"/>
    </row>
    <row r="1228" spans="1:14">
      <c r="A1228" s="307"/>
      <c r="B1228" s="278"/>
      <c r="C1228" s="278"/>
      <c r="D1228" s="278"/>
      <c r="E1228" s="278"/>
      <c r="F1228" s="278"/>
      <c r="G1228" s="278"/>
      <c r="H1228" s="278"/>
      <c r="I1228" s="278"/>
      <c r="J1228" s="278"/>
      <c r="K1228" s="278"/>
      <c r="L1228" s="278"/>
      <c r="M1228" s="278"/>
      <c r="N1228" s="278"/>
    </row>
    <row r="1229" spans="1:14">
      <c r="A1229" s="307"/>
      <c r="B1229" s="278"/>
      <c r="C1229" s="278"/>
      <c r="D1229" s="278"/>
      <c r="E1229" s="278"/>
      <c r="F1229" s="278"/>
      <c r="G1229" s="278"/>
      <c r="H1229" s="278"/>
      <c r="I1229" s="278"/>
      <c r="J1229" s="278"/>
      <c r="K1229" s="278"/>
      <c r="L1229" s="278"/>
      <c r="M1229" s="278"/>
      <c r="N1229" s="278"/>
    </row>
    <row r="1230" spans="1:14">
      <c r="A1230" s="307"/>
      <c r="B1230" s="278"/>
      <c r="C1230" s="278"/>
      <c r="D1230" s="278"/>
      <c r="E1230" s="278"/>
      <c r="F1230" s="278"/>
      <c r="G1230" s="278"/>
      <c r="H1230" s="278"/>
      <c r="I1230" s="278"/>
      <c r="J1230" s="278"/>
      <c r="K1230" s="278"/>
      <c r="L1230" s="278"/>
      <c r="M1230" s="278"/>
      <c r="N1230" s="278"/>
    </row>
    <row r="1231" spans="1:14">
      <c r="A1231" s="307"/>
      <c r="B1231" s="278"/>
      <c r="C1231" s="278"/>
      <c r="D1231" s="278"/>
      <c r="E1231" s="278"/>
      <c r="F1231" s="278"/>
      <c r="G1231" s="278"/>
      <c r="H1231" s="278"/>
      <c r="I1231" s="278"/>
      <c r="J1231" s="278"/>
      <c r="K1231" s="278"/>
      <c r="L1231" s="278"/>
      <c r="M1231" s="278"/>
      <c r="N1231" s="278"/>
    </row>
    <row r="1232" spans="1:14">
      <c r="A1232" s="307"/>
      <c r="B1232" s="278"/>
      <c r="C1232" s="278"/>
      <c r="D1232" s="278"/>
      <c r="E1232" s="278"/>
      <c r="F1232" s="278"/>
      <c r="G1232" s="278"/>
      <c r="H1232" s="278"/>
      <c r="I1232" s="278"/>
      <c r="J1232" s="278"/>
      <c r="K1232" s="278"/>
      <c r="L1232" s="278"/>
      <c r="M1232" s="278"/>
      <c r="N1232" s="278"/>
    </row>
    <row r="1233" spans="1:14">
      <c r="A1233" s="307"/>
      <c r="B1233" s="278"/>
      <c r="C1233" s="278"/>
      <c r="D1233" s="278"/>
      <c r="E1233" s="278"/>
      <c r="F1233" s="278"/>
      <c r="G1233" s="278"/>
      <c r="H1233" s="278"/>
      <c r="I1233" s="278"/>
      <c r="J1233" s="278"/>
      <c r="K1233" s="278"/>
      <c r="L1233" s="278"/>
      <c r="M1233" s="278"/>
      <c r="N1233" s="278"/>
    </row>
    <row r="1234" spans="1:14">
      <c r="A1234" s="307"/>
      <c r="B1234" s="278"/>
      <c r="C1234" s="278"/>
      <c r="D1234" s="278"/>
      <c r="E1234" s="278"/>
      <c r="F1234" s="278"/>
      <c r="G1234" s="278"/>
      <c r="H1234" s="278"/>
      <c r="I1234" s="278"/>
      <c r="J1234" s="278"/>
      <c r="K1234" s="278"/>
      <c r="L1234" s="278"/>
      <c r="M1234" s="278"/>
      <c r="N1234" s="278"/>
    </row>
    <row r="1235" spans="1:14">
      <c r="A1235" s="307"/>
      <c r="B1235" s="278"/>
      <c r="C1235" s="278"/>
      <c r="D1235" s="278"/>
      <c r="E1235" s="278"/>
      <c r="F1235" s="278"/>
      <c r="G1235" s="278"/>
      <c r="H1235" s="278"/>
      <c r="I1235" s="278"/>
      <c r="J1235" s="278"/>
      <c r="K1235" s="278"/>
      <c r="L1235" s="278"/>
      <c r="M1235" s="278"/>
      <c r="N1235" s="278"/>
    </row>
    <row r="1236" spans="1:14">
      <c r="A1236" s="307"/>
      <c r="B1236" s="278"/>
      <c r="C1236" s="278"/>
      <c r="D1236" s="278"/>
      <c r="E1236" s="278"/>
      <c r="F1236" s="278"/>
      <c r="G1236" s="278"/>
      <c r="H1236" s="278"/>
      <c r="I1236" s="278"/>
      <c r="J1236" s="278"/>
      <c r="K1236" s="278"/>
      <c r="L1236" s="278"/>
      <c r="M1236" s="278"/>
      <c r="N1236" s="278"/>
    </row>
    <row r="1237" spans="1:14">
      <c r="A1237" s="307"/>
      <c r="B1237" s="278"/>
      <c r="C1237" s="278"/>
      <c r="D1237" s="278"/>
      <c r="E1237" s="278"/>
      <c r="F1237" s="278"/>
      <c r="G1237" s="278"/>
      <c r="H1237" s="278"/>
      <c r="I1237" s="278"/>
      <c r="J1237" s="278"/>
      <c r="K1237" s="278"/>
      <c r="L1237" s="278"/>
      <c r="M1237" s="278"/>
      <c r="N1237" s="278"/>
    </row>
    <row r="1238" spans="1:14">
      <c r="A1238" s="307"/>
      <c r="B1238" s="278"/>
      <c r="C1238" s="278"/>
      <c r="D1238" s="278"/>
      <c r="E1238" s="278"/>
      <c r="F1238" s="278"/>
      <c r="G1238" s="278"/>
      <c r="H1238" s="278"/>
      <c r="I1238" s="278"/>
      <c r="J1238" s="278"/>
      <c r="K1238" s="278"/>
      <c r="L1238" s="278"/>
      <c r="M1238" s="278"/>
      <c r="N1238" s="278"/>
    </row>
    <row r="1239" spans="1:14">
      <c r="A1239" s="307"/>
      <c r="B1239" s="278"/>
      <c r="C1239" s="278"/>
      <c r="D1239" s="278"/>
      <c r="E1239" s="278"/>
      <c r="F1239" s="278"/>
      <c r="G1239" s="278"/>
      <c r="H1239" s="278"/>
      <c r="I1239" s="278"/>
      <c r="J1239" s="278"/>
      <c r="K1239" s="278"/>
      <c r="L1239" s="278"/>
      <c r="M1239" s="278"/>
      <c r="N1239" s="278"/>
    </row>
    <row r="1240" spans="1:14">
      <c r="A1240" s="307"/>
      <c r="B1240" s="278"/>
      <c r="C1240" s="278"/>
      <c r="D1240" s="278"/>
      <c r="E1240" s="278"/>
      <c r="F1240" s="278"/>
      <c r="G1240" s="278"/>
      <c r="H1240" s="278"/>
      <c r="I1240" s="278"/>
      <c r="J1240" s="278"/>
      <c r="K1240" s="278"/>
      <c r="L1240" s="278"/>
      <c r="M1240" s="278"/>
      <c r="N1240" s="278"/>
    </row>
    <row r="1241" spans="1:14">
      <c r="A1241" s="307"/>
      <c r="B1241" s="278"/>
      <c r="C1241" s="278"/>
      <c r="D1241" s="278"/>
      <c r="E1241" s="278"/>
      <c r="F1241" s="278"/>
      <c r="G1241" s="278"/>
      <c r="H1241" s="278"/>
      <c r="I1241" s="278"/>
      <c r="J1241" s="278"/>
      <c r="K1241" s="278"/>
      <c r="L1241" s="278"/>
      <c r="M1241" s="278"/>
      <c r="N1241" s="278"/>
    </row>
    <row r="1242" spans="1:14">
      <c r="A1242" s="307"/>
      <c r="B1242" s="278"/>
      <c r="C1242" s="278"/>
      <c r="D1242" s="278"/>
      <c r="E1242" s="278"/>
      <c r="F1242" s="278"/>
      <c r="G1242" s="278"/>
      <c r="H1242" s="278"/>
      <c r="I1242" s="278"/>
      <c r="J1242" s="278"/>
      <c r="K1242" s="278"/>
      <c r="L1242" s="278"/>
      <c r="M1242" s="278"/>
      <c r="N1242" s="278"/>
    </row>
    <row r="1243" spans="1:14">
      <c r="A1243" s="307"/>
      <c r="B1243" s="278"/>
      <c r="C1243" s="278"/>
      <c r="D1243" s="278"/>
      <c r="E1243" s="278"/>
      <c r="F1243" s="278"/>
      <c r="G1243" s="278"/>
      <c r="H1243" s="278"/>
      <c r="I1243" s="278"/>
      <c r="J1243" s="278"/>
      <c r="K1243" s="278"/>
      <c r="L1243" s="278"/>
      <c r="M1243" s="278"/>
      <c r="N1243" s="278"/>
    </row>
    <row r="1244" spans="1:14">
      <c r="A1244" s="307"/>
      <c r="B1244" s="278"/>
      <c r="C1244" s="278"/>
      <c r="D1244" s="278"/>
      <c r="E1244" s="278"/>
      <c r="F1244" s="278"/>
      <c r="G1244" s="278"/>
      <c r="H1244" s="278"/>
      <c r="I1244" s="278"/>
      <c r="J1244" s="278"/>
      <c r="K1244" s="278"/>
      <c r="L1244" s="278"/>
      <c r="M1244" s="278"/>
      <c r="N1244" s="278"/>
    </row>
    <row r="1245" spans="1:14">
      <c r="A1245" s="307"/>
      <c r="B1245" s="278"/>
      <c r="C1245" s="278"/>
      <c r="D1245" s="278"/>
      <c r="E1245" s="278"/>
      <c r="F1245" s="278"/>
      <c r="G1245" s="278"/>
      <c r="H1245" s="278"/>
      <c r="I1245" s="278"/>
      <c r="J1245" s="278"/>
      <c r="K1245" s="278"/>
      <c r="L1245" s="278"/>
      <c r="M1245" s="278"/>
      <c r="N1245" s="278"/>
    </row>
    <row r="1246" spans="1:14">
      <c r="A1246" s="307"/>
      <c r="B1246" s="278"/>
      <c r="C1246" s="278"/>
      <c r="D1246" s="278"/>
      <c r="E1246" s="278"/>
      <c r="F1246" s="278"/>
      <c r="G1246" s="278"/>
      <c r="H1246" s="278"/>
      <c r="I1246" s="278"/>
      <c r="J1246" s="278"/>
      <c r="K1246" s="278"/>
      <c r="L1246" s="278"/>
      <c r="M1246" s="278"/>
      <c r="N1246" s="278"/>
    </row>
    <row r="1247" spans="1:14">
      <c r="A1247" s="307"/>
      <c r="B1247" s="278"/>
      <c r="C1247" s="278"/>
      <c r="D1247" s="278"/>
      <c r="E1247" s="278"/>
      <c r="F1247" s="278"/>
      <c r="G1247" s="278"/>
      <c r="H1247" s="278"/>
      <c r="I1247" s="278"/>
      <c r="J1247" s="278"/>
      <c r="K1247" s="278"/>
      <c r="L1247" s="278"/>
      <c r="M1247" s="278"/>
      <c r="N1247" s="278"/>
    </row>
    <row r="1248" spans="1:14">
      <c r="A1248" s="307"/>
      <c r="B1248" s="278"/>
      <c r="C1248" s="278"/>
      <c r="D1248" s="278"/>
      <c r="E1248" s="278"/>
      <c r="F1248" s="278"/>
      <c r="G1248" s="278"/>
      <c r="H1248" s="278"/>
      <c r="I1248" s="278"/>
      <c r="J1248" s="278"/>
      <c r="K1248" s="278"/>
      <c r="L1248" s="278"/>
      <c r="M1248" s="278"/>
      <c r="N1248" s="278"/>
    </row>
    <row r="1249" spans="1:14">
      <c r="A1249" s="307"/>
      <c r="B1249" s="278"/>
      <c r="C1249" s="278"/>
      <c r="D1249" s="278"/>
      <c r="E1249" s="278"/>
      <c r="F1249" s="278"/>
      <c r="G1249" s="278"/>
      <c r="H1249" s="278"/>
      <c r="I1249" s="278"/>
      <c r="J1249" s="278"/>
      <c r="K1249" s="278"/>
      <c r="L1249" s="278"/>
      <c r="M1249" s="278"/>
      <c r="N1249" s="278"/>
    </row>
    <row r="1250" spans="1:14">
      <c r="A1250" s="307"/>
      <c r="B1250" s="278"/>
      <c r="C1250" s="278"/>
      <c r="D1250" s="278"/>
      <c r="E1250" s="278"/>
      <c r="F1250" s="278"/>
      <c r="G1250" s="278"/>
      <c r="H1250" s="278"/>
      <c r="I1250" s="278"/>
      <c r="J1250" s="278"/>
      <c r="K1250" s="278"/>
      <c r="L1250" s="278"/>
      <c r="M1250" s="278"/>
      <c r="N1250" s="278"/>
    </row>
    <row r="1251" spans="1:14">
      <c r="A1251" s="307"/>
      <c r="B1251" s="278"/>
      <c r="C1251" s="278"/>
      <c r="D1251" s="278"/>
      <c r="E1251" s="278"/>
      <c r="F1251" s="278"/>
      <c r="G1251" s="278"/>
      <c r="H1251" s="278"/>
      <c r="I1251" s="278"/>
      <c r="J1251" s="278"/>
      <c r="K1251" s="278"/>
      <c r="L1251" s="278"/>
      <c r="M1251" s="278"/>
      <c r="N1251" s="278"/>
    </row>
    <row r="1252" spans="1:14">
      <c r="A1252" s="307"/>
      <c r="B1252" s="278"/>
      <c r="C1252" s="278"/>
      <c r="D1252" s="278"/>
      <c r="E1252" s="278"/>
      <c r="F1252" s="278"/>
      <c r="G1252" s="278"/>
      <c r="H1252" s="278"/>
      <c r="I1252" s="278"/>
      <c r="J1252" s="278"/>
      <c r="K1252" s="278"/>
      <c r="L1252" s="278"/>
      <c r="M1252" s="278"/>
      <c r="N1252" s="278"/>
    </row>
    <row r="1253" spans="1:14">
      <c r="A1253" s="307"/>
      <c r="B1253" s="278"/>
      <c r="C1253" s="278"/>
      <c r="D1253" s="278"/>
      <c r="E1253" s="278"/>
      <c r="F1253" s="278"/>
      <c r="G1253" s="278"/>
      <c r="H1253" s="278"/>
      <c r="I1253" s="278"/>
      <c r="J1253" s="278"/>
      <c r="K1253" s="278"/>
      <c r="L1253" s="278"/>
      <c r="M1253" s="278"/>
      <c r="N1253" s="278"/>
    </row>
    <row r="1254" spans="1:14">
      <c r="A1254" s="307"/>
      <c r="B1254" s="278"/>
      <c r="C1254" s="278"/>
      <c r="D1254" s="278"/>
      <c r="E1254" s="278"/>
      <c r="F1254" s="278"/>
      <c r="G1254" s="278"/>
      <c r="H1254" s="278"/>
      <c r="I1254" s="278"/>
      <c r="J1254" s="278"/>
      <c r="K1254" s="278"/>
      <c r="L1254" s="278"/>
      <c r="M1254" s="278"/>
      <c r="N1254" s="278"/>
    </row>
    <row r="1255" spans="1:14">
      <c r="A1255" s="307"/>
      <c r="B1255" s="278"/>
      <c r="C1255" s="278"/>
      <c r="D1255" s="278"/>
      <c r="E1255" s="278"/>
      <c r="F1255" s="278"/>
      <c r="G1255" s="278"/>
      <c r="H1255" s="278"/>
      <c r="I1255" s="278"/>
      <c r="J1255" s="278"/>
      <c r="K1255" s="278"/>
      <c r="L1255" s="278"/>
      <c r="M1255" s="278"/>
      <c r="N1255" s="278"/>
    </row>
    <row r="1256" spans="1:14">
      <c r="A1256" s="307"/>
      <c r="B1256" s="278"/>
      <c r="C1256" s="278"/>
      <c r="D1256" s="278"/>
      <c r="E1256" s="278"/>
      <c r="F1256" s="278"/>
      <c r="G1256" s="278"/>
      <c r="H1256" s="278"/>
      <c r="I1256" s="278"/>
      <c r="J1256" s="278"/>
      <c r="K1256" s="278"/>
      <c r="L1256" s="278"/>
      <c r="M1256" s="278"/>
      <c r="N1256" s="278"/>
    </row>
    <row r="1257" spans="1:14">
      <c r="A1257" s="307"/>
      <c r="B1257" s="278"/>
      <c r="C1257" s="278"/>
      <c r="D1257" s="278"/>
      <c r="E1257" s="278"/>
      <c r="F1257" s="278"/>
      <c r="G1257" s="278"/>
      <c r="H1257" s="278"/>
      <c r="I1257" s="278"/>
      <c r="J1257" s="278"/>
      <c r="K1257" s="278"/>
      <c r="L1257" s="278"/>
      <c r="M1257" s="278"/>
      <c r="N1257" s="278"/>
    </row>
    <row r="1258" spans="1:14">
      <c r="A1258" s="307"/>
      <c r="B1258" s="278"/>
      <c r="C1258" s="278"/>
      <c r="D1258" s="278"/>
      <c r="E1258" s="278"/>
      <c r="F1258" s="278"/>
      <c r="G1258" s="278"/>
      <c r="H1258" s="278"/>
      <c r="I1258" s="278"/>
      <c r="J1258" s="278"/>
      <c r="K1258" s="278"/>
      <c r="L1258" s="278"/>
      <c r="M1258" s="278"/>
      <c r="N1258" s="278"/>
    </row>
    <row r="1259" spans="1:14">
      <c r="A1259" s="307"/>
      <c r="B1259" s="278"/>
      <c r="C1259" s="278"/>
      <c r="D1259" s="278"/>
      <c r="E1259" s="278"/>
      <c r="F1259" s="278"/>
      <c r="G1259" s="278"/>
      <c r="H1259" s="278"/>
      <c r="I1259" s="278"/>
      <c r="J1259" s="278"/>
      <c r="K1259" s="278"/>
      <c r="L1259" s="278"/>
      <c r="M1259" s="278"/>
      <c r="N1259" s="278"/>
    </row>
    <row r="1260" spans="1:14">
      <c r="A1260" s="307"/>
      <c r="B1260" s="278"/>
      <c r="C1260" s="278"/>
      <c r="D1260" s="278"/>
      <c r="E1260" s="278"/>
      <c r="F1260" s="278"/>
      <c r="G1260" s="278"/>
      <c r="H1260" s="278"/>
      <c r="I1260" s="278"/>
      <c r="J1260" s="278"/>
      <c r="K1260" s="278"/>
      <c r="L1260" s="278"/>
      <c r="M1260" s="278"/>
      <c r="N1260" s="278"/>
    </row>
    <row r="1261" spans="1:14">
      <c r="A1261" s="307"/>
      <c r="B1261" s="278"/>
      <c r="C1261" s="278"/>
      <c r="D1261" s="278"/>
      <c r="E1261" s="278"/>
      <c r="F1261" s="278"/>
      <c r="G1261" s="278"/>
      <c r="H1261" s="278"/>
      <c r="I1261" s="278"/>
      <c r="J1261" s="278"/>
      <c r="K1261" s="278"/>
      <c r="L1261" s="278"/>
      <c r="M1261" s="278"/>
      <c r="N1261" s="278"/>
    </row>
    <row r="1262" spans="1:14">
      <c r="A1262" s="307"/>
      <c r="B1262" s="278"/>
      <c r="C1262" s="278"/>
      <c r="D1262" s="278"/>
      <c r="E1262" s="278"/>
      <c r="F1262" s="278"/>
      <c r="G1262" s="278"/>
      <c r="H1262" s="278"/>
      <c r="I1262" s="278"/>
      <c r="J1262" s="278"/>
      <c r="K1262" s="278"/>
      <c r="L1262" s="278"/>
      <c r="M1262" s="278"/>
      <c r="N1262" s="278"/>
    </row>
    <row r="1263" spans="1:14">
      <c r="A1263" s="307"/>
      <c r="B1263" s="278"/>
      <c r="C1263" s="278"/>
      <c r="D1263" s="278"/>
      <c r="E1263" s="278"/>
      <c r="F1263" s="278"/>
      <c r="G1263" s="278"/>
      <c r="H1263" s="278"/>
      <c r="I1263" s="278"/>
      <c r="J1263" s="278"/>
      <c r="K1263" s="278"/>
      <c r="L1263" s="278"/>
      <c r="M1263" s="278"/>
      <c r="N1263" s="278"/>
    </row>
    <row r="1264" spans="1:14">
      <c r="A1264" s="307"/>
      <c r="B1264" s="278"/>
      <c r="C1264" s="278"/>
      <c r="D1264" s="278"/>
      <c r="E1264" s="278"/>
      <c r="F1264" s="278"/>
      <c r="G1264" s="278"/>
      <c r="H1264" s="278"/>
      <c r="I1264" s="278"/>
      <c r="J1264" s="278"/>
      <c r="K1264" s="278"/>
      <c r="L1264" s="278"/>
      <c r="M1264" s="278"/>
      <c r="N1264" s="278"/>
    </row>
    <row r="1265" spans="1:14">
      <c r="A1265" s="307"/>
      <c r="B1265" s="278"/>
      <c r="C1265" s="278"/>
      <c r="D1265" s="278"/>
      <c r="E1265" s="278"/>
      <c r="F1265" s="278"/>
      <c r="G1265" s="278"/>
      <c r="H1265" s="278"/>
      <c r="I1265" s="278"/>
      <c r="J1265" s="278"/>
      <c r="K1265" s="278"/>
      <c r="L1265" s="278"/>
      <c r="M1265" s="278"/>
      <c r="N1265" s="278"/>
    </row>
    <row r="1266" spans="1:14">
      <c r="A1266" s="307"/>
      <c r="B1266" s="278"/>
      <c r="C1266" s="278"/>
      <c r="D1266" s="278"/>
      <c r="E1266" s="278"/>
      <c r="F1266" s="278"/>
      <c r="G1266" s="278"/>
      <c r="H1266" s="278"/>
      <c r="I1266" s="278"/>
      <c r="J1266" s="278"/>
      <c r="K1266" s="278"/>
      <c r="L1266" s="278"/>
      <c r="M1266" s="278"/>
      <c r="N1266" s="278"/>
    </row>
    <row r="1267" spans="1:14">
      <c r="A1267" s="307"/>
      <c r="B1267" s="278"/>
      <c r="C1267" s="278"/>
      <c r="D1267" s="278"/>
      <c r="E1267" s="278"/>
      <c r="F1267" s="278"/>
      <c r="G1267" s="278"/>
      <c r="H1267" s="278"/>
      <c r="I1267" s="278"/>
      <c r="J1267" s="278"/>
      <c r="K1267" s="278"/>
      <c r="L1267" s="278"/>
      <c r="M1267" s="278"/>
      <c r="N1267" s="278"/>
    </row>
    <row r="1268" spans="1:14">
      <c r="A1268" s="307"/>
      <c r="B1268" s="278"/>
      <c r="C1268" s="278"/>
      <c r="D1268" s="278"/>
      <c r="E1268" s="278"/>
      <c r="F1268" s="278"/>
      <c r="G1268" s="278"/>
      <c r="H1268" s="278"/>
      <c r="I1268" s="278"/>
      <c r="J1268" s="278"/>
      <c r="K1268" s="278"/>
      <c r="L1268" s="278"/>
      <c r="M1268" s="278"/>
      <c r="N1268" s="278"/>
    </row>
    <row r="1269" spans="1:14">
      <c r="A1269" s="307"/>
      <c r="B1269" s="278"/>
      <c r="C1269" s="278"/>
      <c r="D1269" s="278"/>
      <c r="E1269" s="278"/>
      <c r="F1269" s="278"/>
      <c r="G1269" s="278"/>
      <c r="H1269" s="278"/>
      <c r="I1269" s="278"/>
      <c r="J1269" s="278"/>
      <c r="K1269" s="278"/>
      <c r="L1269" s="278"/>
      <c r="M1269" s="278"/>
      <c r="N1269" s="278"/>
    </row>
    <row r="1270" spans="1:14">
      <c r="A1270" s="307"/>
      <c r="B1270" s="278"/>
      <c r="C1270" s="278"/>
      <c r="D1270" s="278"/>
      <c r="E1270" s="278"/>
      <c r="F1270" s="278"/>
      <c r="G1270" s="278"/>
      <c r="H1270" s="278"/>
      <c r="I1270" s="278"/>
      <c r="J1270" s="278"/>
      <c r="K1270" s="278"/>
      <c r="L1270" s="278"/>
      <c r="M1270" s="278"/>
      <c r="N1270" s="278"/>
    </row>
    <row r="1271" spans="1:14">
      <c r="A1271" s="307"/>
      <c r="B1271" s="278"/>
      <c r="C1271" s="278"/>
      <c r="D1271" s="278"/>
      <c r="E1271" s="278"/>
      <c r="F1271" s="278"/>
      <c r="G1271" s="278"/>
      <c r="H1271" s="278"/>
      <c r="I1271" s="278"/>
      <c r="J1271" s="278"/>
      <c r="K1271" s="278"/>
      <c r="L1271" s="278"/>
      <c r="M1271" s="278"/>
      <c r="N1271" s="278"/>
    </row>
    <row r="1272" spans="1:14">
      <c r="A1272" s="307"/>
      <c r="B1272" s="278"/>
      <c r="C1272" s="278"/>
      <c r="D1272" s="278"/>
      <c r="E1272" s="278"/>
      <c r="F1272" s="278"/>
      <c r="G1272" s="278"/>
      <c r="H1272" s="278"/>
      <c r="I1272" s="278"/>
      <c r="J1272" s="278"/>
      <c r="K1272" s="278"/>
      <c r="L1272" s="278"/>
      <c r="M1272" s="278"/>
      <c r="N1272" s="278"/>
    </row>
    <row r="1273" spans="1:14">
      <c r="A1273" s="307"/>
      <c r="B1273" s="278"/>
      <c r="C1273" s="278"/>
      <c r="D1273" s="278"/>
      <c r="E1273" s="278"/>
      <c r="F1273" s="278"/>
      <c r="G1273" s="278"/>
      <c r="H1273" s="278"/>
      <c r="I1273" s="278"/>
      <c r="J1273" s="278"/>
      <c r="K1273" s="278"/>
      <c r="L1273" s="278"/>
      <c r="M1273" s="278"/>
      <c r="N1273" s="278"/>
    </row>
    <row r="1274" spans="1:14">
      <c r="A1274" s="307"/>
      <c r="B1274" s="278"/>
      <c r="C1274" s="278"/>
      <c r="D1274" s="278"/>
      <c r="E1274" s="278"/>
      <c r="F1274" s="278"/>
      <c r="G1274" s="278"/>
      <c r="H1274" s="278"/>
      <c r="I1274" s="278"/>
      <c r="J1274" s="278"/>
      <c r="K1274" s="278"/>
      <c r="L1274" s="278"/>
      <c r="M1274" s="278"/>
      <c r="N1274" s="278"/>
    </row>
    <row r="1275" spans="1:14">
      <c r="A1275" s="307"/>
      <c r="B1275" s="278"/>
      <c r="C1275" s="278"/>
      <c r="D1275" s="278"/>
      <c r="E1275" s="278"/>
      <c r="F1275" s="278"/>
      <c r="G1275" s="278"/>
      <c r="H1275" s="278"/>
      <c r="I1275" s="278"/>
      <c r="J1275" s="278"/>
      <c r="K1275" s="278"/>
      <c r="L1275" s="278"/>
      <c r="M1275" s="278"/>
      <c r="N1275" s="278"/>
    </row>
    <row r="1276" spans="1:14">
      <c r="A1276" s="307"/>
      <c r="B1276" s="278"/>
      <c r="C1276" s="278"/>
      <c r="D1276" s="278"/>
      <c r="E1276" s="278"/>
      <c r="F1276" s="278"/>
      <c r="G1276" s="278"/>
      <c r="H1276" s="278"/>
      <c r="I1276" s="278"/>
      <c r="J1276" s="278"/>
      <c r="K1276" s="278"/>
      <c r="L1276" s="278"/>
      <c r="M1276" s="278"/>
      <c r="N1276" s="278"/>
    </row>
    <row r="1277" spans="1:14">
      <c r="A1277" s="307"/>
      <c r="B1277" s="278"/>
      <c r="C1277" s="278"/>
      <c r="D1277" s="278"/>
      <c r="E1277" s="278"/>
      <c r="F1277" s="278"/>
      <c r="G1277" s="278"/>
      <c r="H1277" s="278"/>
      <c r="I1277" s="278"/>
      <c r="J1277" s="278"/>
      <c r="K1277" s="278"/>
      <c r="L1277" s="278"/>
      <c r="M1277" s="278"/>
      <c r="N1277" s="278"/>
    </row>
    <row r="1278" spans="1:14">
      <c r="A1278" s="307"/>
      <c r="B1278" s="278"/>
      <c r="C1278" s="278"/>
      <c r="D1278" s="278"/>
      <c r="E1278" s="278"/>
      <c r="F1278" s="278"/>
      <c r="G1278" s="278"/>
      <c r="H1278" s="278"/>
      <c r="I1278" s="278"/>
      <c r="J1278" s="278"/>
      <c r="K1278" s="278"/>
      <c r="L1278" s="278"/>
      <c r="M1278" s="278"/>
      <c r="N1278" s="278"/>
    </row>
    <row r="1279" spans="1:14">
      <c r="A1279" s="307"/>
      <c r="B1279" s="278"/>
      <c r="C1279" s="278"/>
      <c r="D1279" s="278"/>
      <c r="E1279" s="278"/>
      <c r="F1279" s="278"/>
      <c r="G1279" s="278"/>
      <c r="H1279" s="278"/>
      <c r="I1279" s="278"/>
      <c r="J1279" s="278"/>
      <c r="K1279" s="278"/>
      <c r="L1279" s="278"/>
      <c r="M1279" s="278"/>
      <c r="N1279" s="278"/>
    </row>
    <row r="1280" spans="1:14">
      <c r="A1280" s="307"/>
      <c r="B1280" s="278"/>
      <c r="C1280" s="278"/>
      <c r="D1280" s="278"/>
      <c r="E1280" s="278"/>
      <c r="F1280" s="278"/>
      <c r="G1280" s="278"/>
      <c r="H1280" s="278"/>
      <c r="I1280" s="278"/>
      <c r="J1280" s="278"/>
      <c r="K1280" s="278"/>
      <c r="L1280" s="278"/>
      <c r="M1280" s="278"/>
      <c r="N1280" s="278"/>
    </row>
    <row r="1281" spans="1:14">
      <c r="A1281" s="307"/>
      <c r="B1281" s="278"/>
      <c r="C1281" s="278"/>
      <c r="D1281" s="278"/>
      <c r="E1281" s="278"/>
      <c r="F1281" s="278"/>
      <c r="G1281" s="278"/>
      <c r="H1281" s="278"/>
      <c r="I1281" s="278"/>
      <c r="J1281" s="278"/>
      <c r="K1281" s="278"/>
      <c r="L1281" s="278"/>
      <c r="M1281" s="278"/>
      <c r="N1281" s="278"/>
    </row>
    <row r="1282" spans="1:14">
      <c r="A1282" s="307"/>
      <c r="B1282" s="278"/>
      <c r="C1282" s="278"/>
      <c r="D1282" s="278"/>
      <c r="E1282" s="278"/>
      <c r="F1282" s="278"/>
      <c r="G1282" s="278"/>
      <c r="H1282" s="278"/>
      <c r="I1282" s="278"/>
      <c r="J1282" s="278"/>
      <c r="K1282" s="278"/>
      <c r="L1282" s="278"/>
      <c r="M1282" s="278"/>
      <c r="N1282" s="278"/>
    </row>
    <row r="1283" spans="1:14">
      <c r="A1283" s="307"/>
      <c r="B1283" s="278"/>
      <c r="C1283" s="278"/>
      <c r="D1283" s="278"/>
      <c r="E1283" s="278"/>
      <c r="F1283" s="278"/>
      <c r="G1283" s="278"/>
      <c r="H1283" s="278"/>
      <c r="I1283" s="278"/>
      <c r="J1283" s="278"/>
      <c r="K1283" s="278"/>
      <c r="L1283" s="278"/>
      <c r="M1283" s="278"/>
      <c r="N1283" s="278"/>
    </row>
    <row r="1284" spans="1:14">
      <c r="A1284" s="307"/>
      <c r="B1284" s="278"/>
      <c r="C1284" s="278"/>
      <c r="D1284" s="278"/>
      <c r="E1284" s="278"/>
      <c r="F1284" s="278"/>
      <c r="G1284" s="278"/>
      <c r="H1284" s="278"/>
      <c r="I1284" s="278"/>
      <c r="J1284" s="278"/>
      <c r="K1284" s="278"/>
      <c r="L1284" s="278"/>
      <c r="M1284" s="278"/>
      <c r="N1284" s="278"/>
    </row>
    <row r="1285" spans="1:14">
      <c r="A1285" s="307"/>
      <c r="B1285" s="278"/>
      <c r="C1285" s="278"/>
      <c r="D1285" s="278"/>
      <c r="E1285" s="278"/>
      <c r="F1285" s="278"/>
      <c r="G1285" s="278"/>
      <c r="H1285" s="278"/>
      <c r="I1285" s="278"/>
      <c r="J1285" s="278"/>
      <c r="K1285" s="278"/>
      <c r="L1285" s="278"/>
      <c r="M1285" s="278"/>
      <c r="N1285" s="278"/>
    </row>
    <row r="1286" spans="1:14">
      <c r="A1286" s="307"/>
      <c r="B1286" s="278"/>
      <c r="C1286" s="278"/>
      <c r="D1286" s="278"/>
      <c r="E1286" s="278"/>
      <c r="F1286" s="278"/>
      <c r="G1286" s="278"/>
      <c r="H1286" s="278"/>
      <c r="I1286" s="278"/>
      <c r="J1286" s="278"/>
      <c r="K1286" s="278"/>
      <c r="L1286" s="278"/>
      <c r="M1286" s="278"/>
      <c r="N1286" s="278"/>
    </row>
    <row r="1287" spans="1:14">
      <c r="A1287" s="307"/>
      <c r="B1287" s="278"/>
      <c r="C1287" s="278"/>
      <c r="D1287" s="278"/>
      <c r="E1287" s="278"/>
      <c r="F1287" s="278"/>
      <c r="G1287" s="278"/>
      <c r="H1287" s="278"/>
      <c r="I1287" s="278"/>
      <c r="J1287" s="278"/>
      <c r="K1287" s="278"/>
      <c r="L1287" s="278"/>
      <c r="M1287" s="278"/>
      <c r="N1287" s="278"/>
    </row>
    <row r="1288" spans="1:14">
      <c r="A1288" s="307"/>
      <c r="B1288" s="278"/>
      <c r="C1288" s="278"/>
      <c r="D1288" s="278"/>
      <c r="E1288" s="278"/>
      <c r="F1288" s="278"/>
      <c r="G1288" s="278"/>
      <c r="H1288" s="278"/>
      <c r="I1288" s="278"/>
      <c r="J1288" s="278"/>
      <c r="K1288" s="278"/>
      <c r="L1288" s="278"/>
      <c r="M1288" s="278"/>
      <c r="N1288" s="278"/>
    </row>
    <row r="1289" spans="1:14">
      <c r="A1289" s="307"/>
      <c r="B1289" s="278"/>
      <c r="C1289" s="278"/>
      <c r="D1289" s="278"/>
      <c r="E1289" s="278"/>
      <c r="F1289" s="278"/>
      <c r="G1289" s="278"/>
      <c r="H1289" s="278"/>
      <c r="I1289" s="278"/>
      <c r="J1289" s="278"/>
      <c r="K1289" s="278"/>
      <c r="L1289" s="278"/>
      <c r="M1289" s="278"/>
      <c r="N1289" s="278"/>
    </row>
    <row r="1290" spans="1:14">
      <c r="A1290" s="307"/>
      <c r="B1290" s="278"/>
      <c r="C1290" s="278"/>
      <c r="D1290" s="278"/>
      <c r="E1290" s="278"/>
      <c r="F1290" s="278"/>
      <c r="G1290" s="278"/>
      <c r="H1290" s="278"/>
      <c r="I1290" s="278"/>
      <c r="J1290" s="278"/>
      <c r="K1290" s="278"/>
      <c r="L1290" s="278"/>
      <c r="M1290" s="278"/>
      <c r="N1290" s="278"/>
    </row>
    <row r="1291" spans="1:14">
      <c r="A1291" s="307"/>
      <c r="B1291" s="278"/>
      <c r="C1291" s="278"/>
      <c r="D1291" s="278"/>
      <c r="E1291" s="278"/>
      <c r="F1291" s="278"/>
      <c r="G1291" s="278"/>
      <c r="H1291" s="278"/>
      <c r="I1291" s="278"/>
      <c r="J1291" s="278"/>
      <c r="K1291" s="278"/>
      <c r="L1291" s="278"/>
      <c r="M1291" s="278"/>
      <c r="N1291" s="278"/>
    </row>
    <row r="1292" spans="1:14">
      <c r="A1292" s="307"/>
      <c r="B1292" s="278"/>
      <c r="C1292" s="278"/>
      <c r="D1292" s="278"/>
      <c r="E1292" s="278"/>
      <c r="F1292" s="278"/>
      <c r="G1292" s="278"/>
      <c r="H1292" s="278"/>
      <c r="I1292" s="278"/>
      <c r="J1292" s="278"/>
      <c r="K1292" s="278"/>
      <c r="L1292" s="278"/>
      <c r="M1292" s="278"/>
      <c r="N1292" s="278"/>
    </row>
    <row r="1293" spans="1:14">
      <c r="A1293" s="307"/>
      <c r="B1293" s="278"/>
      <c r="C1293" s="278"/>
      <c r="D1293" s="278"/>
      <c r="E1293" s="278"/>
      <c r="F1293" s="278"/>
      <c r="G1293" s="278"/>
      <c r="H1293" s="278"/>
      <c r="I1293" s="278"/>
      <c r="J1293" s="278"/>
      <c r="K1293" s="278"/>
      <c r="L1293" s="278"/>
      <c r="M1293" s="278"/>
      <c r="N1293" s="278"/>
    </row>
    <row r="1294" spans="1:14">
      <c r="A1294" s="307"/>
      <c r="B1294" s="278"/>
      <c r="C1294" s="278"/>
      <c r="D1294" s="278"/>
      <c r="E1294" s="278"/>
      <c r="F1294" s="278"/>
      <c r="G1294" s="278"/>
      <c r="H1294" s="278"/>
      <c r="I1294" s="278"/>
      <c r="J1294" s="278"/>
      <c r="K1294" s="278"/>
      <c r="L1294" s="278"/>
      <c r="M1294" s="278"/>
      <c r="N1294" s="278"/>
    </row>
    <row r="1295" spans="1:14">
      <c r="A1295" s="307"/>
      <c r="B1295" s="278"/>
      <c r="C1295" s="278"/>
      <c r="D1295" s="278"/>
      <c r="E1295" s="278"/>
      <c r="F1295" s="278"/>
      <c r="G1295" s="278"/>
      <c r="H1295" s="278"/>
      <c r="I1295" s="278"/>
      <c r="J1295" s="278"/>
      <c r="K1295" s="278"/>
      <c r="L1295" s="278"/>
      <c r="M1295" s="278"/>
      <c r="N1295" s="278"/>
    </row>
    <row r="1296" spans="1:14">
      <c r="A1296" s="307"/>
      <c r="B1296" s="278"/>
      <c r="C1296" s="278"/>
      <c r="D1296" s="278"/>
      <c r="E1296" s="278"/>
      <c r="F1296" s="278"/>
      <c r="G1296" s="278"/>
      <c r="H1296" s="278"/>
      <c r="I1296" s="278"/>
      <c r="J1296" s="278"/>
      <c r="K1296" s="278"/>
      <c r="L1296" s="278"/>
      <c r="M1296" s="278"/>
      <c r="N1296" s="278"/>
    </row>
    <row r="1297" spans="1:14">
      <c r="A1297" s="307"/>
      <c r="B1297" s="278"/>
      <c r="C1297" s="278"/>
      <c r="D1297" s="278"/>
      <c r="E1297" s="278"/>
      <c r="F1297" s="278"/>
      <c r="G1297" s="278"/>
      <c r="H1297" s="278"/>
      <c r="I1297" s="278"/>
      <c r="J1297" s="278"/>
      <c r="K1297" s="278"/>
      <c r="L1297" s="278"/>
      <c r="M1297" s="278"/>
      <c r="N1297" s="278"/>
    </row>
    <row r="1298" spans="1:14">
      <c r="A1298" s="307"/>
      <c r="B1298" s="278"/>
      <c r="C1298" s="278"/>
      <c r="D1298" s="278"/>
      <c r="E1298" s="278"/>
      <c r="F1298" s="278"/>
      <c r="G1298" s="278"/>
      <c r="H1298" s="278"/>
      <c r="I1298" s="278"/>
      <c r="J1298" s="278"/>
      <c r="K1298" s="278"/>
      <c r="L1298" s="278"/>
      <c r="M1298" s="278"/>
      <c r="N1298" s="278"/>
    </row>
    <row r="1299" spans="1:14">
      <c r="A1299" s="307"/>
      <c r="B1299" s="278"/>
      <c r="C1299" s="278"/>
      <c r="D1299" s="278"/>
      <c r="E1299" s="278"/>
      <c r="F1299" s="278"/>
      <c r="G1299" s="278"/>
      <c r="H1299" s="278"/>
      <c r="I1299" s="278"/>
      <c r="J1299" s="278"/>
      <c r="K1299" s="278"/>
      <c r="L1299" s="278"/>
      <c r="M1299" s="278"/>
      <c r="N1299" s="278"/>
    </row>
    <row r="1300" spans="1:14">
      <c r="A1300" s="307"/>
      <c r="B1300" s="278"/>
      <c r="C1300" s="278"/>
      <c r="D1300" s="278"/>
      <c r="E1300" s="278"/>
      <c r="F1300" s="278"/>
      <c r="G1300" s="278"/>
      <c r="H1300" s="278"/>
      <c r="I1300" s="278"/>
      <c r="J1300" s="278"/>
      <c r="K1300" s="278"/>
      <c r="L1300" s="278"/>
      <c r="M1300" s="278"/>
      <c r="N1300" s="278"/>
    </row>
    <row r="1301" spans="1:14">
      <c r="A1301" s="307"/>
      <c r="B1301" s="278"/>
      <c r="C1301" s="278"/>
      <c r="D1301" s="278"/>
      <c r="E1301" s="278"/>
      <c r="F1301" s="278"/>
      <c r="G1301" s="278"/>
      <c r="H1301" s="278"/>
      <c r="I1301" s="278"/>
      <c r="J1301" s="278"/>
      <c r="K1301" s="278"/>
      <c r="L1301" s="278"/>
      <c r="M1301" s="278"/>
      <c r="N1301" s="278"/>
    </row>
    <row r="1302" spans="1:14">
      <c r="A1302" s="307"/>
      <c r="B1302" s="278"/>
      <c r="C1302" s="278"/>
      <c r="D1302" s="278"/>
      <c r="E1302" s="278"/>
      <c r="F1302" s="278"/>
      <c r="G1302" s="278"/>
      <c r="H1302" s="278"/>
      <c r="I1302" s="278"/>
      <c r="J1302" s="278"/>
      <c r="K1302" s="278"/>
      <c r="L1302" s="278"/>
      <c r="M1302" s="278"/>
      <c r="N1302" s="278"/>
    </row>
    <row r="1303" spans="1:14">
      <c r="A1303" s="307"/>
      <c r="B1303" s="278"/>
      <c r="C1303" s="278"/>
      <c r="D1303" s="278"/>
      <c r="E1303" s="278"/>
      <c r="F1303" s="278"/>
      <c r="G1303" s="278"/>
      <c r="H1303" s="278"/>
      <c r="I1303" s="278"/>
      <c r="J1303" s="278"/>
      <c r="K1303" s="278"/>
      <c r="L1303" s="278"/>
      <c r="M1303" s="278"/>
      <c r="N1303" s="278"/>
    </row>
    <row r="1304" spans="1:14">
      <c r="A1304" s="307"/>
      <c r="B1304" s="278"/>
      <c r="C1304" s="278"/>
      <c r="D1304" s="278"/>
      <c r="E1304" s="278"/>
      <c r="F1304" s="278"/>
      <c r="G1304" s="278"/>
      <c r="H1304" s="278"/>
      <c r="I1304" s="278"/>
      <c r="J1304" s="278"/>
      <c r="K1304" s="278"/>
      <c r="L1304" s="278"/>
      <c r="M1304" s="278"/>
      <c r="N1304" s="278"/>
    </row>
    <row r="1305" spans="1:14">
      <c r="A1305" s="307"/>
      <c r="B1305" s="278"/>
      <c r="C1305" s="278"/>
      <c r="D1305" s="278"/>
      <c r="E1305" s="278"/>
      <c r="F1305" s="278"/>
      <c r="G1305" s="278"/>
      <c r="H1305" s="278"/>
      <c r="I1305" s="278"/>
      <c r="J1305" s="278"/>
      <c r="K1305" s="278"/>
      <c r="L1305" s="278"/>
      <c r="M1305" s="278"/>
      <c r="N1305" s="278"/>
    </row>
    <row r="1306" spans="1:14">
      <c r="A1306" s="307"/>
      <c r="B1306" s="278"/>
      <c r="C1306" s="278"/>
      <c r="D1306" s="278"/>
      <c r="E1306" s="278"/>
      <c r="F1306" s="278"/>
      <c r="G1306" s="278"/>
      <c r="H1306" s="278"/>
      <c r="I1306" s="278"/>
      <c r="J1306" s="278"/>
      <c r="K1306" s="278"/>
      <c r="L1306" s="278"/>
      <c r="M1306" s="278"/>
      <c r="N1306" s="278"/>
    </row>
    <row r="1307" spans="1:14">
      <c r="A1307" s="307"/>
      <c r="B1307" s="278"/>
      <c r="C1307" s="278"/>
      <c r="D1307" s="278"/>
      <c r="E1307" s="278"/>
      <c r="F1307" s="278"/>
      <c r="G1307" s="278"/>
      <c r="H1307" s="278"/>
      <c r="I1307" s="278"/>
      <c r="J1307" s="278"/>
      <c r="K1307" s="278"/>
      <c r="L1307" s="278"/>
      <c r="M1307" s="278"/>
      <c r="N1307" s="278"/>
    </row>
    <row r="1308" spans="1:14">
      <c r="A1308" s="307"/>
      <c r="B1308" s="278"/>
      <c r="C1308" s="278"/>
      <c r="D1308" s="278"/>
      <c r="E1308" s="278"/>
      <c r="F1308" s="278"/>
      <c r="G1308" s="278"/>
      <c r="H1308" s="278"/>
      <c r="I1308" s="278"/>
      <c r="J1308" s="278"/>
      <c r="K1308" s="278"/>
      <c r="L1308" s="278"/>
      <c r="M1308" s="278"/>
      <c r="N1308" s="278"/>
    </row>
    <row r="1309" spans="1:14">
      <c r="A1309" s="307"/>
      <c r="B1309" s="278"/>
      <c r="C1309" s="278"/>
      <c r="D1309" s="278"/>
      <c r="E1309" s="278"/>
      <c r="F1309" s="278"/>
      <c r="G1309" s="278"/>
      <c r="H1309" s="278"/>
      <c r="I1309" s="278"/>
      <c r="J1309" s="278"/>
      <c r="K1309" s="278"/>
      <c r="L1309" s="278"/>
      <c r="M1309" s="278"/>
      <c r="N1309" s="278"/>
    </row>
    <row r="1310" spans="1:14">
      <c r="A1310" s="307"/>
      <c r="B1310" s="278"/>
      <c r="C1310" s="278"/>
      <c r="D1310" s="278"/>
      <c r="E1310" s="278"/>
      <c r="F1310" s="278"/>
      <c r="G1310" s="278"/>
      <c r="H1310" s="278"/>
      <c r="I1310" s="278"/>
      <c r="J1310" s="278"/>
      <c r="K1310" s="278"/>
      <c r="L1310" s="278"/>
      <c r="M1310" s="278"/>
      <c r="N1310" s="278"/>
    </row>
    <row r="1311" spans="1:14">
      <c r="A1311" s="307"/>
      <c r="B1311" s="278"/>
      <c r="C1311" s="278"/>
      <c r="D1311" s="278"/>
      <c r="E1311" s="278"/>
      <c r="F1311" s="278"/>
      <c r="G1311" s="278"/>
      <c r="H1311" s="278"/>
      <c r="I1311" s="278"/>
      <c r="J1311" s="278"/>
      <c r="K1311" s="278"/>
      <c r="L1311" s="278"/>
      <c r="M1311" s="278"/>
      <c r="N1311" s="278"/>
    </row>
    <row r="1312" spans="1:14">
      <c r="A1312" s="307"/>
      <c r="B1312" s="278"/>
      <c r="C1312" s="278"/>
      <c r="D1312" s="278"/>
      <c r="E1312" s="278"/>
      <c r="F1312" s="278"/>
      <c r="G1312" s="278"/>
      <c r="H1312" s="278"/>
      <c r="I1312" s="278"/>
      <c r="J1312" s="278"/>
      <c r="K1312" s="278"/>
      <c r="L1312" s="278"/>
      <c r="M1312" s="278"/>
      <c r="N1312" s="278"/>
    </row>
    <row r="1313" spans="1:14">
      <c r="A1313" s="307"/>
      <c r="B1313" s="278"/>
      <c r="C1313" s="278"/>
      <c r="D1313" s="278"/>
      <c r="E1313" s="278"/>
      <c r="F1313" s="278"/>
      <c r="G1313" s="278"/>
      <c r="H1313" s="278"/>
      <c r="I1313" s="278"/>
      <c r="J1313" s="278"/>
      <c r="K1313" s="278"/>
      <c r="L1313" s="278"/>
      <c r="M1313" s="278"/>
      <c r="N1313" s="278"/>
    </row>
    <row r="1314" spans="1:14">
      <c r="A1314" s="307"/>
      <c r="B1314" s="278"/>
      <c r="C1314" s="278"/>
      <c r="D1314" s="278"/>
      <c r="E1314" s="278"/>
      <c r="F1314" s="278"/>
      <c r="G1314" s="278"/>
      <c r="H1314" s="278"/>
      <c r="I1314" s="278"/>
      <c r="J1314" s="278"/>
      <c r="K1314" s="278"/>
      <c r="L1314" s="278"/>
      <c r="M1314" s="278"/>
      <c r="N1314" s="278"/>
    </row>
    <row r="1315" spans="1:14">
      <c r="A1315" s="307"/>
      <c r="B1315" s="278"/>
      <c r="C1315" s="278"/>
      <c r="D1315" s="278"/>
      <c r="E1315" s="278"/>
      <c r="F1315" s="278"/>
      <c r="G1315" s="278"/>
      <c r="H1315" s="278"/>
      <c r="I1315" s="278"/>
      <c r="J1315" s="278"/>
      <c r="K1315" s="278"/>
      <c r="L1315" s="278"/>
      <c r="M1315" s="278"/>
      <c r="N1315" s="278"/>
    </row>
    <row r="1316" spans="1:14">
      <c r="A1316" s="307"/>
      <c r="B1316" s="278"/>
      <c r="C1316" s="278"/>
      <c r="D1316" s="278"/>
      <c r="E1316" s="278"/>
      <c r="F1316" s="278"/>
      <c r="G1316" s="278"/>
      <c r="H1316" s="278"/>
      <c r="I1316" s="278"/>
      <c r="J1316" s="278"/>
      <c r="K1316" s="278"/>
      <c r="L1316" s="278"/>
      <c r="M1316" s="278"/>
      <c r="N1316" s="278"/>
    </row>
    <row r="1317" spans="1:14">
      <c r="A1317" s="307"/>
      <c r="B1317" s="278"/>
      <c r="C1317" s="278"/>
      <c r="D1317" s="278"/>
      <c r="E1317" s="278"/>
      <c r="F1317" s="278"/>
      <c r="G1317" s="278"/>
      <c r="H1317" s="278"/>
      <c r="I1317" s="278"/>
      <c r="J1317" s="278"/>
      <c r="K1317" s="278"/>
      <c r="L1317" s="278"/>
      <c r="M1317" s="278"/>
      <c r="N1317" s="278"/>
    </row>
    <row r="1318" spans="1:14">
      <c r="A1318" s="307"/>
      <c r="B1318" s="278"/>
      <c r="C1318" s="278"/>
      <c r="D1318" s="278"/>
      <c r="E1318" s="278"/>
      <c r="F1318" s="278"/>
      <c r="G1318" s="278"/>
      <c r="H1318" s="278"/>
      <c r="I1318" s="278"/>
      <c r="J1318" s="278"/>
      <c r="K1318" s="278"/>
      <c r="L1318" s="278"/>
      <c r="M1318" s="278"/>
      <c r="N1318" s="278"/>
    </row>
    <row r="1319" spans="1:14">
      <c r="A1319" s="307"/>
      <c r="B1319" s="278"/>
      <c r="C1319" s="278"/>
      <c r="D1319" s="278"/>
      <c r="E1319" s="278"/>
      <c r="F1319" s="278"/>
      <c r="G1319" s="278"/>
      <c r="H1319" s="278"/>
      <c r="I1319" s="278"/>
      <c r="J1319" s="278"/>
      <c r="K1319" s="278"/>
      <c r="L1319" s="278"/>
      <c r="M1319" s="278"/>
      <c r="N1319" s="278"/>
    </row>
    <row r="1320" spans="1:14">
      <c r="A1320" s="307"/>
      <c r="B1320" s="278"/>
      <c r="C1320" s="278"/>
      <c r="D1320" s="278"/>
      <c r="E1320" s="278"/>
      <c r="F1320" s="278"/>
      <c r="G1320" s="278"/>
      <c r="H1320" s="278"/>
      <c r="I1320" s="278"/>
      <c r="J1320" s="278"/>
      <c r="K1320" s="278"/>
      <c r="L1320" s="278"/>
      <c r="M1320" s="278"/>
      <c r="N1320" s="278"/>
    </row>
    <row r="1321" spans="1:14">
      <c r="A1321" s="307"/>
      <c r="B1321" s="278"/>
      <c r="C1321" s="278"/>
      <c r="D1321" s="278"/>
      <c r="E1321" s="278"/>
      <c r="F1321" s="278"/>
      <c r="G1321" s="278"/>
      <c r="H1321" s="278"/>
      <c r="I1321" s="278"/>
      <c r="J1321" s="278"/>
      <c r="K1321" s="278"/>
      <c r="L1321" s="278"/>
      <c r="M1321" s="278"/>
      <c r="N1321" s="278"/>
    </row>
    <row r="1322" spans="1:14">
      <c r="A1322" s="307"/>
      <c r="B1322" s="278"/>
      <c r="C1322" s="278"/>
      <c r="D1322" s="278"/>
      <c r="E1322" s="278"/>
      <c r="F1322" s="278"/>
      <c r="G1322" s="278"/>
      <c r="H1322" s="278"/>
      <c r="I1322" s="278"/>
      <c r="J1322" s="278"/>
      <c r="K1322" s="278"/>
      <c r="L1322" s="278"/>
      <c r="M1322" s="278"/>
      <c r="N1322" s="278"/>
    </row>
    <row r="1323" spans="1:14">
      <c r="A1323" s="307"/>
      <c r="B1323" s="278"/>
      <c r="C1323" s="278"/>
      <c r="D1323" s="278"/>
      <c r="E1323" s="278"/>
      <c r="F1323" s="278"/>
      <c r="G1323" s="278"/>
      <c r="H1323" s="278"/>
      <c r="I1323" s="278"/>
      <c r="J1323" s="278"/>
      <c r="K1323" s="278"/>
      <c r="L1323" s="278"/>
      <c r="M1323" s="278"/>
      <c r="N1323" s="278"/>
    </row>
    <row r="1324" spans="1:14">
      <c r="A1324" s="307"/>
      <c r="B1324" s="278"/>
      <c r="C1324" s="278"/>
      <c r="D1324" s="278"/>
      <c r="E1324" s="278"/>
      <c r="F1324" s="278"/>
      <c r="G1324" s="278"/>
      <c r="H1324" s="278"/>
      <c r="I1324" s="278"/>
      <c r="J1324" s="278"/>
      <c r="K1324" s="278"/>
      <c r="L1324" s="278"/>
      <c r="M1324" s="278"/>
      <c r="N1324" s="278"/>
    </row>
    <row r="1325" spans="1:14">
      <c r="A1325" s="307"/>
      <c r="B1325" s="278"/>
      <c r="C1325" s="278"/>
      <c r="D1325" s="278"/>
      <c r="E1325" s="278"/>
      <c r="F1325" s="278"/>
      <c r="G1325" s="278"/>
      <c r="H1325" s="278"/>
      <c r="I1325" s="278"/>
      <c r="J1325" s="278"/>
      <c r="K1325" s="278"/>
      <c r="L1325" s="278"/>
      <c r="M1325" s="278"/>
      <c r="N1325" s="278"/>
    </row>
    <row r="1326" spans="1:14">
      <c r="A1326" s="307"/>
      <c r="B1326" s="278"/>
      <c r="C1326" s="278"/>
      <c r="D1326" s="278"/>
      <c r="E1326" s="278"/>
      <c r="F1326" s="278"/>
      <c r="G1326" s="278"/>
      <c r="H1326" s="278"/>
      <c r="I1326" s="278"/>
      <c r="J1326" s="278"/>
      <c r="K1326" s="278"/>
      <c r="L1326" s="278"/>
      <c r="M1326" s="278"/>
      <c r="N1326" s="278"/>
    </row>
    <row r="1327" spans="1:14">
      <c r="A1327" s="307"/>
      <c r="B1327" s="278"/>
      <c r="C1327" s="278"/>
      <c r="D1327" s="278"/>
      <c r="E1327" s="278"/>
      <c r="F1327" s="278"/>
      <c r="G1327" s="278"/>
      <c r="H1327" s="278"/>
      <c r="I1327" s="278"/>
      <c r="J1327" s="278"/>
      <c r="K1327" s="278"/>
      <c r="L1327" s="278"/>
      <c r="M1327" s="278"/>
      <c r="N1327" s="278"/>
    </row>
    <row r="1328" spans="1:14">
      <c r="A1328" s="307"/>
      <c r="B1328" s="278"/>
      <c r="C1328" s="278"/>
      <c r="D1328" s="278"/>
      <c r="E1328" s="278"/>
      <c r="F1328" s="278"/>
      <c r="G1328" s="278"/>
      <c r="H1328" s="278"/>
      <c r="I1328" s="278"/>
      <c r="J1328" s="278"/>
      <c r="K1328" s="278"/>
      <c r="L1328" s="278"/>
      <c r="M1328" s="278"/>
      <c r="N1328" s="278"/>
    </row>
    <row r="1329" spans="1:14">
      <c r="A1329" s="307"/>
      <c r="B1329" s="278"/>
      <c r="C1329" s="278"/>
      <c r="D1329" s="278"/>
      <c r="E1329" s="278"/>
      <c r="F1329" s="278"/>
      <c r="G1329" s="278"/>
      <c r="H1329" s="278"/>
      <c r="I1329" s="278"/>
      <c r="J1329" s="278"/>
      <c r="K1329" s="278"/>
      <c r="L1329" s="278"/>
      <c r="M1329" s="278"/>
      <c r="N1329" s="278"/>
    </row>
    <row r="1330" spans="1:14">
      <c r="A1330" s="307"/>
      <c r="B1330" s="278"/>
      <c r="C1330" s="278"/>
      <c r="D1330" s="278"/>
      <c r="E1330" s="278"/>
      <c r="F1330" s="278"/>
      <c r="G1330" s="278"/>
      <c r="H1330" s="278"/>
      <c r="I1330" s="278"/>
      <c r="J1330" s="278"/>
      <c r="K1330" s="278"/>
      <c r="L1330" s="278"/>
      <c r="M1330" s="278"/>
      <c r="N1330" s="278"/>
    </row>
    <row r="1331" spans="1:14">
      <c r="A1331" s="307"/>
      <c r="B1331" s="278"/>
      <c r="C1331" s="278"/>
      <c r="D1331" s="278"/>
      <c r="E1331" s="278"/>
      <c r="F1331" s="278"/>
      <c r="G1331" s="278"/>
      <c r="H1331" s="278"/>
      <c r="I1331" s="278"/>
      <c r="J1331" s="278"/>
      <c r="K1331" s="278"/>
      <c r="L1331" s="278"/>
      <c r="M1331" s="278"/>
      <c r="N1331" s="278"/>
    </row>
    <row r="1332" spans="1:14">
      <c r="A1332" s="307"/>
      <c r="B1332" s="278"/>
      <c r="C1332" s="278"/>
      <c r="D1332" s="278"/>
      <c r="E1332" s="278"/>
      <c r="F1332" s="278"/>
      <c r="G1332" s="278"/>
      <c r="H1332" s="278"/>
      <c r="I1332" s="278"/>
      <c r="J1332" s="278"/>
      <c r="K1332" s="278"/>
      <c r="L1332" s="278"/>
      <c r="M1332" s="278"/>
      <c r="N1332" s="278"/>
    </row>
    <row r="1333" spans="1:14">
      <c r="A1333" s="307"/>
      <c r="B1333" s="278"/>
      <c r="C1333" s="278"/>
      <c r="D1333" s="278"/>
      <c r="E1333" s="278"/>
      <c r="F1333" s="278"/>
      <c r="G1333" s="278"/>
      <c r="H1333" s="278"/>
      <c r="I1333" s="278"/>
      <c r="J1333" s="278"/>
      <c r="K1333" s="278"/>
      <c r="L1333" s="278"/>
      <c r="M1333" s="278"/>
      <c r="N1333" s="278"/>
    </row>
    <row r="1334" spans="1:14">
      <c r="A1334" s="307"/>
      <c r="B1334" s="278"/>
      <c r="C1334" s="278"/>
      <c r="D1334" s="278"/>
      <c r="E1334" s="278"/>
      <c r="F1334" s="278"/>
      <c r="G1334" s="278"/>
      <c r="H1334" s="278"/>
      <c r="I1334" s="278"/>
      <c r="J1334" s="278"/>
      <c r="K1334" s="278"/>
      <c r="L1334" s="278"/>
      <c r="M1334" s="278"/>
      <c r="N1334" s="278"/>
    </row>
    <row r="1335" spans="1:14">
      <c r="A1335" s="307"/>
      <c r="B1335" s="278"/>
      <c r="C1335" s="278"/>
      <c r="D1335" s="278"/>
      <c r="E1335" s="278"/>
      <c r="F1335" s="278"/>
      <c r="G1335" s="278"/>
      <c r="H1335" s="278"/>
      <c r="I1335" s="278"/>
      <c r="J1335" s="278"/>
      <c r="K1335" s="278"/>
      <c r="L1335" s="278"/>
      <c r="M1335" s="278"/>
      <c r="N1335" s="278"/>
    </row>
    <row r="1336" spans="1:14">
      <c r="A1336" s="307"/>
      <c r="B1336" s="278"/>
      <c r="C1336" s="278"/>
      <c r="D1336" s="278"/>
      <c r="E1336" s="278"/>
      <c r="F1336" s="278"/>
      <c r="G1336" s="278"/>
      <c r="H1336" s="278"/>
      <c r="I1336" s="278"/>
      <c r="J1336" s="278"/>
      <c r="K1336" s="278"/>
      <c r="L1336" s="278"/>
      <c r="M1336" s="278"/>
      <c r="N1336" s="278"/>
    </row>
    <row r="1337" spans="1:14">
      <c r="A1337" s="307"/>
      <c r="B1337" s="278"/>
      <c r="C1337" s="278"/>
      <c r="D1337" s="278"/>
      <c r="E1337" s="278"/>
      <c r="F1337" s="278"/>
      <c r="G1337" s="278"/>
      <c r="H1337" s="278"/>
      <c r="I1337" s="278"/>
      <c r="J1337" s="278"/>
      <c r="K1337" s="278"/>
      <c r="L1337" s="278"/>
      <c r="M1337" s="278"/>
      <c r="N1337" s="278"/>
    </row>
  </sheetData>
  <mergeCells count="2">
    <mergeCell ref="W6:AD6"/>
    <mergeCell ref="AE6:AL6"/>
  </mergeCells>
  <phoneticPr fontId="114" type="noConversion"/>
  <hyperlinks>
    <hyperlink ref="A3" location="Entrada!A1" display="Voltar" xr:uid="{00000000-0004-0000-0C00-000000000000}"/>
  </hyperlinks>
  <pageMargins left="0.78740157499999996" right="0.78740157499999996" top="0.984251969" bottom="0.984251969" header="0.5" footer="0.5"/>
  <pageSetup paperSize="9" scale="84" orientation="portrait" r:id="rId1"/>
  <headerFooter alignWithMargins="0"/>
  <rowBreaks count="1" manualBreakCount="1">
    <brk id="100" max="17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>
      <selection activeCell="I10" sqref="I10"/>
    </sheetView>
  </sheetViews>
  <sheetFormatPr defaultColWidth="9.109375" defaultRowHeight="13.2"/>
  <cols>
    <col min="1" max="2" width="10.33203125" style="486" bestFit="1" customWidth="1"/>
    <col min="3" max="3" width="11.33203125" style="486" bestFit="1" customWidth="1"/>
    <col min="4" max="16384" width="9.109375" style="486"/>
  </cols>
  <sheetData>
    <row r="1" spans="1:12">
      <c r="A1" s="487" t="s">
        <v>498</v>
      </c>
    </row>
    <row r="3" spans="1:12">
      <c r="A3" s="486">
        <v>2013</v>
      </c>
      <c r="B3" s="486">
        <f>A3+1</f>
        <v>2014</v>
      </c>
      <c r="C3" s="486">
        <f t="shared" ref="C3:F3" si="0">B3+1</f>
        <v>2015</v>
      </c>
      <c r="D3" s="486">
        <f t="shared" si="0"/>
        <v>2016</v>
      </c>
      <c r="E3" s="486">
        <f t="shared" si="0"/>
        <v>2017</v>
      </c>
      <c r="F3" s="486">
        <f t="shared" si="0"/>
        <v>2018</v>
      </c>
    </row>
    <row r="4" spans="1:12">
      <c r="A4" s="489">
        <v>6415</v>
      </c>
      <c r="B4" s="489">
        <v>5619</v>
      </c>
      <c r="C4" s="489">
        <v>7449</v>
      </c>
    </row>
    <row r="5" spans="1:12">
      <c r="A5" s="489">
        <v>16987</v>
      </c>
      <c r="B5" s="489">
        <v>16987</v>
      </c>
      <c r="C5" s="489">
        <f>B5</f>
        <v>16987</v>
      </c>
      <c r="D5" s="489">
        <f t="shared" ref="D5:F5" si="1">C5</f>
        <v>16987</v>
      </c>
      <c r="E5" s="489">
        <f t="shared" si="1"/>
        <v>16987</v>
      </c>
      <c r="F5" s="489">
        <f t="shared" si="1"/>
        <v>16987</v>
      </c>
    </row>
    <row r="7" spans="1:12">
      <c r="A7" s="548">
        <f>SUM(A4:A5)</f>
        <v>23402</v>
      </c>
      <c r="B7" s="548">
        <f t="shared" ref="B7:F7" si="2">SUM(B4:B5)</f>
        <v>22606</v>
      </c>
      <c r="C7" s="548">
        <f t="shared" si="2"/>
        <v>24436</v>
      </c>
      <c r="D7" s="548">
        <f t="shared" si="2"/>
        <v>16987</v>
      </c>
      <c r="E7" s="548">
        <f t="shared" si="2"/>
        <v>16987</v>
      </c>
      <c r="F7" s="548">
        <f t="shared" si="2"/>
        <v>16987</v>
      </c>
      <c r="G7" s="548">
        <f>F7</f>
        <v>16987</v>
      </c>
      <c r="H7" s="548">
        <f t="shared" ref="H7:L7" si="3">G7</f>
        <v>16987</v>
      </c>
      <c r="I7" s="548">
        <f t="shared" si="3"/>
        <v>16987</v>
      </c>
      <c r="J7" s="548">
        <f t="shared" si="3"/>
        <v>16987</v>
      </c>
      <c r="K7" s="548">
        <f t="shared" si="3"/>
        <v>16987</v>
      </c>
      <c r="L7" s="548">
        <f t="shared" si="3"/>
        <v>16987</v>
      </c>
    </row>
    <row r="9" spans="1:12">
      <c r="A9" s="515">
        <f>'Balance Sheet'!I69</f>
        <v>219078</v>
      </c>
    </row>
    <row r="10" spans="1:12">
      <c r="A10" s="515">
        <f>A9-A7</f>
        <v>195676</v>
      </c>
      <c r="B10" s="515">
        <f>A10-B7</f>
        <v>173070</v>
      </c>
      <c r="C10" s="515">
        <f t="shared" ref="C10:L10" si="4">B10-C7</f>
        <v>148634</v>
      </c>
      <c r="D10" s="515">
        <f t="shared" si="4"/>
        <v>131647</v>
      </c>
      <c r="E10" s="515">
        <f t="shared" si="4"/>
        <v>114660</v>
      </c>
      <c r="F10" s="515">
        <f t="shared" si="4"/>
        <v>97673</v>
      </c>
      <c r="G10" s="515">
        <f t="shared" si="4"/>
        <v>80686</v>
      </c>
      <c r="H10" s="515">
        <f t="shared" si="4"/>
        <v>63699</v>
      </c>
      <c r="I10" s="515">
        <f t="shared" si="4"/>
        <v>46712</v>
      </c>
      <c r="J10" s="515">
        <f t="shared" si="4"/>
        <v>29725</v>
      </c>
      <c r="K10" s="515">
        <f t="shared" si="4"/>
        <v>12738</v>
      </c>
      <c r="L10" s="515">
        <f t="shared" si="4"/>
        <v>-4249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e1bfde-49c2-47d6-a5b2-add9d570b5d3">
      <Terms xmlns="http://schemas.microsoft.com/office/infopath/2007/PartnerControls"/>
    </lcf76f155ced4ddcb4097134ff3c332f>
    <TaxCatchAll xmlns="0bd68e0d-5071-4c19-b669-36302fdc33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B3066E0DCB1748AE880DBBA0783A33" ma:contentTypeVersion="13" ma:contentTypeDescription="Crie um novo documento." ma:contentTypeScope="" ma:versionID="6790d572c4bab0713cc53e33f0a5225f">
  <xsd:schema xmlns:xsd="http://www.w3.org/2001/XMLSchema" xmlns:xs="http://www.w3.org/2001/XMLSchema" xmlns:p="http://schemas.microsoft.com/office/2006/metadata/properties" xmlns:ns2="0de1bfde-49c2-47d6-a5b2-add9d570b5d3" xmlns:ns3="0bd68e0d-5071-4c19-b669-36302fdc3354" targetNamespace="http://schemas.microsoft.com/office/2006/metadata/properties" ma:root="true" ma:fieldsID="6870c77dfcd0fa89551ada2824dc4c32" ns2:_="" ns3:_="">
    <xsd:import namespace="0de1bfde-49c2-47d6-a5b2-add9d570b5d3"/>
    <xsd:import namespace="0bd68e0d-5071-4c19-b669-36302fdc33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1bfde-49c2-47d6-a5b2-add9d570b5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5177e6e-2d28-4da0-be4c-31017c47c7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68e0d-5071-4c19-b669-36302fdc33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50ee7d-5387-4dcf-8f70-6287b2bb199d}" ma:internalName="TaxCatchAll" ma:showField="CatchAllData" ma:web="0bd68e0d-5071-4c19-b669-36302fdc33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22797E-7F74-4B6C-8061-CBA3710DBDB9}">
  <ds:schemaRefs>
    <ds:schemaRef ds:uri="http://schemas.microsoft.com/office/2006/metadata/properties"/>
    <ds:schemaRef ds:uri="http://schemas.microsoft.com/office/infopath/2007/PartnerControls"/>
    <ds:schemaRef ds:uri="0de1bfde-49c2-47d6-a5b2-add9d570b5d3"/>
    <ds:schemaRef ds:uri="0bd68e0d-5071-4c19-b669-36302fdc3354"/>
  </ds:schemaRefs>
</ds:datastoreItem>
</file>

<file path=customXml/itemProps2.xml><?xml version="1.0" encoding="utf-8"?>
<ds:datastoreItem xmlns:ds="http://schemas.openxmlformats.org/officeDocument/2006/customXml" ds:itemID="{5794C12D-8CA6-470B-9B9A-8C69C66C2F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86BC40-B370-4CAF-A912-5C59FD580F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1bfde-49c2-47d6-a5b2-add9d570b5d3"/>
    <ds:schemaRef ds:uri="0bd68e0d-5071-4c19-b669-36302fdc33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Considerações</vt:lpstr>
      <vt:lpstr>Capa</vt:lpstr>
      <vt:lpstr>Output</vt:lpstr>
      <vt:lpstr>Revenues, COGS &amp; SG&amp;A</vt:lpstr>
      <vt:lpstr>Premissas</vt:lpstr>
      <vt:lpstr>Income Statement</vt:lpstr>
      <vt:lpstr>Balance Sheet</vt:lpstr>
      <vt:lpstr>Working Capital</vt:lpstr>
      <vt:lpstr>ST Inv. &amp; Debt</vt:lpstr>
      <vt:lpstr>Fixed Assets &amp; CAPEX</vt:lpstr>
      <vt:lpstr>Cash Flow</vt:lpstr>
      <vt:lpstr>Goodwill, Taxes &amp; Div.</vt:lpstr>
      <vt:lpstr>Anual</vt:lpstr>
      <vt:lpstr>Tributos a Recolher</vt:lpstr>
      <vt:lpstr>Anual!Print_Area</vt:lpstr>
      <vt:lpstr>'Balance Sheet'!Print_Area</vt:lpstr>
      <vt:lpstr>'Cash Flow'!Print_Area</vt:lpstr>
      <vt:lpstr>'Income Statement'!Print_Area</vt:lpstr>
      <vt:lpstr>Output!Print_Area</vt:lpstr>
    </vt:vector>
  </TitlesOfParts>
  <Company>Santander Banespa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 Sayão</dc:creator>
  <cp:lastModifiedBy>Gustavo</cp:lastModifiedBy>
  <cp:lastPrinted>2012-12-05T08:19:17Z</cp:lastPrinted>
  <dcterms:created xsi:type="dcterms:W3CDTF">2008-01-11T12:37:57Z</dcterms:created>
  <dcterms:modified xsi:type="dcterms:W3CDTF">2026-03-16T04:35:25Z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0x0101004EB3066E0DCB1748AE880DBBA0783A33</vt:lpwstr>
  </property>
  <property fmtid="{D5CDD505-2E9C-101B-9397-08002B2CF9AE}" pid="4" name="MediaServiceImageTags">
    <vt:lpwstr/>
  </property>
</Properties>
</file>